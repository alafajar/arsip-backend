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JTM UPNVY\KERJA!\AKREDITASI JTM\JTM-LAMTEK\SUBMIT\PSTM UPN\DTPS 24\"/>
    </mc:Choice>
  </mc:AlternateContent>
  <xr:revisionPtr revIDLastSave="0" documentId="13_ncr:1_{EF0D76D2-1027-4C27-8AAD-19D5098BEB73}" xr6:coauthVersionLast="47" xr6:coauthVersionMax="47" xr10:uidLastSave="{00000000-0000-0000-0000-000000000000}"/>
  <bookViews>
    <workbookView xWindow="-108" yWindow="-108" windowWidth="23256" windowHeight="12456" tabRatio="815" firstSheet="14" activeTab="16" xr2:uid="{B935CEF8-3230-4A8D-B803-9500AD3E936D}"/>
  </bookViews>
  <sheets>
    <sheet name="Daftar Sheet" sheetId="64" r:id="rId1"/>
    <sheet name="PS" sheetId="2" r:id="rId2"/>
    <sheet name="Kebijakan" sheetId="37" r:id="rId3"/>
    <sheet name="1. Kondisi Eksternal" sheetId="59" r:id="rId4"/>
    <sheet name="3. Kesesuaian VMTS PT, UPPS, PS" sheetId="41" r:id="rId5"/>
    <sheet name="4. Penyusunan-Perubahan VMTS PS" sheetId="38" r:id="rId6"/>
    <sheet name="5. Pemahaman VMTS PS" sheetId="43" r:id="rId7"/>
    <sheet name="6. Strategi Pencapaian Tujuan" sheetId="45" r:id="rId8"/>
    <sheet name="10. Kerjasama - Pendidikan" sheetId="11" r:id="rId9"/>
    <sheet name="10. Kerjasama - Penelitian" sheetId="14" r:id="rId10"/>
    <sheet name="10. Kerjasama - PkM" sheetId="15" r:id="rId11"/>
    <sheet name="13. Seleksi Mahasiswa" sheetId="16" r:id="rId12"/>
    <sheet name="14. Peningkatan Animo" sheetId="50" r:id="rId13"/>
    <sheet name="15A. Layanan Mhs (Beasiswa)" sheetId="46" r:id="rId14"/>
    <sheet name="15B. Nalar, Minat dan Bakat Mhs" sheetId="47" r:id="rId15"/>
    <sheet name="16, 17, 18, 19 Data Dosen Tetap" sheetId="3" r:id="rId16"/>
    <sheet name="20. Pembimbingan TA" sheetId="17" r:id="rId17"/>
    <sheet name="21. EWMP" sheetId="18" r:id="rId18"/>
    <sheet name="22. Dosen Tidak Tetap" sheetId="48" r:id="rId19"/>
    <sheet name="Dosen Industri-Praktisi" sheetId="51" r:id="rId20"/>
    <sheet name="23. Rekognisi Dosen" sheetId="1" r:id="rId21"/>
    <sheet name="24,50,51. Penelitian Dosen-Mhs" sheetId="4" r:id="rId22"/>
    <sheet name="25,52,53. PkM Dosen-Mhs" sheetId="5" r:id="rId23"/>
    <sheet name="26&amp;66. Publikasi Dosen-Mhs" sheetId="6" r:id="rId24"/>
    <sheet name="27. Sitasi Dosen" sheetId="7" r:id="rId25"/>
    <sheet name="28&amp;67. Luaran Dosen-Mahasiswa" sheetId="8" r:id="rId26"/>
    <sheet name="29. Pengembangan Dosen" sheetId="49" r:id="rId27"/>
    <sheet name="30. Tendik" sheetId="19" r:id="rId28"/>
    <sheet name="31, 32, 33. Keuangan" sheetId="39" r:id="rId29"/>
    <sheet name="34, 35. Reliasasi dan Kecukupan" sheetId="65" r:id="rId30"/>
    <sheet name="37. Kurikulum" sheetId="52" r:id="rId31"/>
    <sheet name="38. Karakteristik Pembelajaran" sheetId="53" r:id="rId32"/>
    <sheet name="39. Rencana Proses Pembelajaran" sheetId="54" r:id="rId33"/>
    <sheet name="40. Pelaksanaan Pembelajaran" sheetId="55" r:id="rId34"/>
    <sheet name="41. RPS Kurikulum" sheetId="20" r:id="rId35"/>
    <sheet name="42. Monev Proses Pembelajaran" sheetId="56" r:id="rId36"/>
    <sheet name="43. Penilaian Pembelajaran" sheetId="57" r:id="rId37"/>
    <sheet name="44. Basic Science" sheetId="22" r:id="rId38"/>
    <sheet name="45. MK Capstone Design" sheetId="23" r:id="rId39"/>
    <sheet name="Distribusi Pembimbing TA" sheetId="21" r:id="rId40"/>
    <sheet name="46. MBKM" sheetId="24" r:id="rId41"/>
    <sheet name="46. Peserta MBKM" sheetId="63" r:id="rId42"/>
    <sheet name="47. Integrasi PenelitianPkMMK " sheetId="26" r:id="rId43"/>
    <sheet name="48. Suasana Akademik" sheetId="58" r:id="rId44"/>
    <sheet name="49. Kepuasan Mahasiswa" sheetId="27" r:id="rId45"/>
    <sheet name="50&amp;52 Roadmap Penelitian - PkM" sheetId="61" r:id="rId46"/>
    <sheet name="55. IPK Mahasiswa" sheetId="28" r:id="rId47"/>
    <sheet name="56. Prestasi Akademik Mahasiswa" sheetId="9" r:id="rId48"/>
    <sheet name="57. Prestasi Non-Akademik Mhs" sheetId="10" r:id="rId49"/>
    <sheet name="58, 59, 60. Masa Studi Lulusan" sheetId="29" r:id="rId50"/>
    <sheet name="61. Tracer Study" sheetId="66" r:id="rId51"/>
    <sheet name="62. Waktu Tunggu Lulusan" sheetId="30" r:id="rId52"/>
    <sheet name="63. Kesesuaian Bidang Kerja" sheetId="31" r:id="rId53"/>
    <sheet name="64. Tempat Kerja Lulusan" sheetId="32" r:id="rId54"/>
    <sheet name="65. Kepuasan Pengguna" sheetId="33" r:id="rId55"/>
    <sheet name="68. Penjaminan Mutu" sheetId="34" r:id="rId56"/>
    <sheet name="69. Dokumen SPMI" sheetId="35" r:id="rId57"/>
    <sheet name="71. Survey Kepuasan Stakeholder" sheetId="67" r:id="rId58"/>
  </sheets>
  <definedNames>
    <definedName name="_xlnm._FilterDatabase" localSheetId="8" hidden="1">'10. Kerjasama - Pendidikan'!$A$1:$M$30</definedName>
    <definedName name="_xlnm._FilterDatabase" localSheetId="9" hidden="1">'10. Kerjasama - Penelitian'!$A$1:$M$30</definedName>
    <definedName name="_xlnm._FilterDatabase" localSheetId="10" hidden="1">'10. Kerjasama - PkM'!$A$1:$L$30</definedName>
    <definedName name="_xlnm._FilterDatabase" localSheetId="13" hidden="1">'15A. Layanan Mhs (Beasiswa)'!$A$1:$G$1603</definedName>
    <definedName name="_xlnm._FilterDatabase" localSheetId="15" hidden="1">'16, 17, 18, 19 Data Dosen Tetap'!$A$3:$G$27</definedName>
    <definedName name="_xlnm._FilterDatabase" localSheetId="20" hidden="1">'23. Rekognisi Dosen'!$A$3:$J$24</definedName>
    <definedName name="_xlnm._FilterDatabase" localSheetId="21" hidden="1">'24,50,51. Penelitian Dosen-Mhs'!$A$8:$K$89</definedName>
    <definedName name="_xlnm._FilterDatabase" localSheetId="22" hidden="1">'25,52,53. PkM Dosen-Mhs'!$A$1:$J$81</definedName>
    <definedName name="_xlnm._FilterDatabase" localSheetId="23" hidden="1">'26&amp;66. Publikasi Dosen-Mhs'!$A$8:$K$180</definedName>
    <definedName name="_xlnm._FilterDatabase" localSheetId="25" hidden="1">'28&amp;67. Luaran Dosen-Mahasiswa'!$A$2:$F$86</definedName>
    <definedName name="_xlnm._FilterDatabase" localSheetId="41" hidden="1">'46. Peserta MBKM'!$A$2:$L$178</definedName>
    <definedName name="_xlnm._FilterDatabase" localSheetId="47" hidden="1">'56. Prestasi Akademik Mahasiswa'!$A$3:$H$66</definedName>
    <definedName name="_xlnm._FilterDatabase" localSheetId="39" hidden="1">'Distribusi Pembimbing TA'!$A$3:$N$31</definedName>
    <definedName name="_xlnm.Print_Area" localSheetId="15">'16, 17, 18, 19 Data Dosen Tetap'!$A$1:$G$40</definedName>
    <definedName name="_xlnm.Print_Area" localSheetId="20">'23. Rekognisi Dosen'!$A$1:$J$32</definedName>
    <definedName name="_xlnm.Print_Area" localSheetId="46">'55. IPK Mahasiswa'!$A$1:$G$14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18" l="1"/>
  <c r="H28" i="18"/>
  <c r="G28" i="18"/>
  <c r="D28" i="18"/>
  <c r="J28" i="17"/>
  <c r="F28" i="17"/>
  <c r="K28" i="17" s="1"/>
  <c r="J28" i="18" l="1"/>
  <c r="K28" i="18" s="1"/>
  <c r="B85" i="5" l="1"/>
  <c r="B86" i="5"/>
  <c r="B84" i="5"/>
  <c r="C86" i="5"/>
  <c r="C85" i="5"/>
  <c r="C84" i="5"/>
  <c r="C89" i="4"/>
  <c r="B89" i="4"/>
  <c r="C88" i="4"/>
  <c r="B88" i="4"/>
  <c r="C87" i="4"/>
  <c r="B87" i="4"/>
  <c r="J19" i="15" l="1"/>
  <c r="J31" i="14" l="1"/>
  <c r="I27" i="18"/>
  <c r="H27" i="18"/>
  <c r="G27" i="18"/>
  <c r="D27" i="18"/>
  <c r="I26" i="18"/>
  <c r="H26" i="18"/>
  <c r="G26" i="18"/>
  <c r="D26" i="18"/>
  <c r="I25" i="18"/>
  <c r="H25" i="18"/>
  <c r="G25" i="18"/>
  <c r="D25" i="18"/>
  <c r="I24" i="18"/>
  <c r="H24" i="18"/>
  <c r="G24" i="18"/>
  <c r="D24" i="18"/>
  <c r="I23" i="18"/>
  <c r="H23" i="18"/>
  <c r="G23" i="18"/>
  <c r="D23" i="18"/>
  <c r="I22" i="18"/>
  <c r="H22" i="18"/>
  <c r="G22" i="18"/>
  <c r="D22" i="18"/>
  <c r="I21" i="18"/>
  <c r="H21" i="18"/>
  <c r="G21" i="18"/>
  <c r="D21" i="18"/>
  <c r="I20" i="18"/>
  <c r="H20" i="18"/>
  <c r="G20" i="18"/>
  <c r="J20" i="18" s="1"/>
  <c r="K20" i="18" s="1"/>
  <c r="I19" i="18"/>
  <c r="H19" i="18"/>
  <c r="G19" i="18"/>
  <c r="D19" i="18"/>
  <c r="J19" i="18" s="1"/>
  <c r="K19" i="18" s="1"/>
  <c r="I18" i="18"/>
  <c r="H18" i="18"/>
  <c r="G18" i="18"/>
  <c r="E18" i="18"/>
  <c r="D18" i="18"/>
  <c r="I17" i="18"/>
  <c r="H17" i="18"/>
  <c r="G17" i="18"/>
  <c r="D17" i="18"/>
  <c r="I16" i="18"/>
  <c r="H16" i="18"/>
  <c r="G16" i="18"/>
  <c r="D16" i="18"/>
  <c r="I15" i="18"/>
  <c r="H15" i="18"/>
  <c r="G15" i="18"/>
  <c r="D15" i="18"/>
  <c r="I14" i="18"/>
  <c r="H14" i="18"/>
  <c r="G14" i="18"/>
  <c r="D14" i="18"/>
  <c r="I13" i="18"/>
  <c r="H13" i="18"/>
  <c r="G13" i="18"/>
  <c r="D13" i="18"/>
  <c r="I12" i="18"/>
  <c r="H12" i="18"/>
  <c r="G12" i="18"/>
  <c r="D12" i="18"/>
  <c r="I11" i="18"/>
  <c r="H11" i="18"/>
  <c r="G11" i="18"/>
  <c r="E11" i="18"/>
  <c r="D11" i="18"/>
  <c r="I10" i="18"/>
  <c r="H10" i="18"/>
  <c r="G10" i="18"/>
  <c r="E10" i="18"/>
  <c r="D10" i="18"/>
  <c r="I9" i="18"/>
  <c r="H9" i="18"/>
  <c r="G9" i="18"/>
  <c r="E9" i="18"/>
  <c r="D9" i="18"/>
  <c r="I8" i="18"/>
  <c r="H8" i="18"/>
  <c r="G8" i="18"/>
  <c r="E8" i="18"/>
  <c r="D8" i="18"/>
  <c r="I7" i="18"/>
  <c r="H7" i="18"/>
  <c r="G7" i="18"/>
  <c r="I6" i="18"/>
  <c r="H6" i="18"/>
  <c r="G6" i="18"/>
  <c r="J5" i="18"/>
  <c r="K5" i="18" s="1"/>
  <c r="J27" i="17"/>
  <c r="F27" i="17"/>
  <c r="J26" i="17"/>
  <c r="F26" i="17"/>
  <c r="J25" i="17"/>
  <c r="F25" i="17"/>
  <c r="J24" i="17"/>
  <c r="F24" i="17"/>
  <c r="J23" i="17"/>
  <c r="F23" i="17"/>
  <c r="J22" i="17"/>
  <c r="F22" i="17"/>
  <c r="K22" i="17" s="1"/>
  <c r="J21" i="17"/>
  <c r="F21" i="17"/>
  <c r="J20" i="17"/>
  <c r="F20" i="17"/>
  <c r="J19" i="17"/>
  <c r="F19" i="17"/>
  <c r="J18" i="17"/>
  <c r="F18" i="17"/>
  <c r="J17" i="17"/>
  <c r="F17" i="17"/>
  <c r="J16" i="17"/>
  <c r="F16" i="17"/>
  <c r="J15" i="17"/>
  <c r="F15" i="17"/>
  <c r="J14" i="17"/>
  <c r="F14" i="17"/>
  <c r="J13" i="17"/>
  <c r="F13" i="17"/>
  <c r="J12" i="17"/>
  <c r="F12" i="17"/>
  <c r="J11" i="17"/>
  <c r="F11" i="17"/>
  <c r="J10" i="17"/>
  <c r="F10" i="17"/>
  <c r="J9" i="17"/>
  <c r="F9" i="17"/>
  <c r="J8" i="17"/>
  <c r="F8" i="17"/>
  <c r="J7" i="17"/>
  <c r="F7" i="17"/>
  <c r="J6" i="17"/>
  <c r="F6" i="17"/>
  <c r="K6" i="17" s="1"/>
  <c r="J5" i="17"/>
  <c r="F5" i="17"/>
  <c r="K7" i="17" l="1"/>
  <c r="K19" i="17"/>
  <c r="K26" i="17"/>
  <c r="K23" i="17"/>
  <c r="K27" i="17"/>
  <c r="K12" i="17"/>
  <c r="K14" i="17"/>
  <c r="K16" i="17"/>
  <c r="K18" i="17"/>
  <c r="K20" i="17"/>
  <c r="J21" i="18"/>
  <c r="K21" i="18" s="1"/>
  <c r="J22" i="18"/>
  <c r="K22" i="18" s="1"/>
  <c r="J23" i="18"/>
  <c r="K23" i="18" s="1"/>
  <c r="J24" i="18"/>
  <c r="K24" i="18" s="1"/>
  <c r="J25" i="18"/>
  <c r="K25" i="18" s="1"/>
  <c r="J26" i="18"/>
  <c r="K26" i="18" s="1"/>
  <c r="J27" i="18"/>
  <c r="K27" i="18" s="1"/>
  <c r="K11" i="17"/>
  <c r="K17" i="17"/>
  <c r="K10" i="17"/>
  <c r="J7" i="18"/>
  <c r="K7" i="18" s="1"/>
  <c r="J10" i="18"/>
  <c r="K10" i="18" s="1"/>
  <c r="J6" i="18"/>
  <c r="K6" i="18" s="1"/>
  <c r="J9" i="18"/>
  <c r="K9" i="18" s="1"/>
  <c r="J8" i="18"/>
  <c r="K8" i="18" s="1"/>
  <c r="J11" i="18"/>
  <c r="K11" i="18" s="1"/>
  <c r="J12" i="18"/>
  <c r="K12" i="18" s="1"/>
  <c r="J13" i="18"/>
  <c r="K13" i="18" s="1"/>
  <c r="J14" i="18"/>
  <c r="K14" i="18" s="1"/>
  <c r="J15" i="18"/>
  <c r="K15" i="18" s="1"/>
  <c r="J16" i="18"/>
  <c r="K16" i="18" s="1"/>
  <c r="J17" i="18"/>
  <c r="K17" i="18" s="1"/>
  <c r="J18" i="18"/>
  <c r="K18" i="18" s="1"/>
  <c r="K5" i="17"/>
  <c r="K21" i="17"/>
  <c r="K9" i="17"/>
  <c r="K25" i="17"/>
  <c r="K8" i="17"/>
  <c r="K13" i="17"/>
  <c r="K15" i="17"/>
  <c r="K24" i="17"/>
  <c r="J18" i="15" l="1"/>
  <c r="I17" i="39" l="1"/>
  <c r="H17" i="39"/>
  <c r="G17" i="39"/>
  <c r="E17" i="39"/>
  <c r="D17" i="39"/>
  <c r="C17" i="39"/>
  <c r="J16" i="39"/>
  <c r="F16" i="39"/>
  <c r="J15" i="39"/>
  <c r="F15" i="39"/>
  <c r="J14" i="39"/>
  <c r="F14" i="39"/>
  <c r="I13" i="39"/>
  <c r="H13" i="39"/>
  <c r="G13" i="39"/>
  <c r="E13" i="39"/>
  <c r="D13" i="39"/>
  <c r="C13" i="39"/>
  <c r="J12" i="39"/>
  <c r="F12" i="39"/>
  <c r="F13" i="39" s="1"/>
  <c r="J11" i="39"/>
  <c r="F11" i="39"/>
  <c r="I10" i="39"/>
  <c r="H10" i="39"/>
  <c r="G10" i="39"/>
  <c r="E10" i="39"/>
  <c r="D10" i="39"/>
  <c r="C10" i="39"/>
  <c r="J9" i="39"/>
  <c r="F9" i="39"/>
  <c r="J8" i="39"/>
  <c r="F8" i="39"/>
  <c r="J7" i="39"/>
  <c r="F7" i="39"/>
  <c r="J6" i="39"/>
  <c r="F6" i="39"/>
  <c r="J5" i="39"/>
  <c r="F5" i="39"/>
  <c r="J17" i="39" l="1"/>
  <c r="I18" i="39"/>
  <c r="F17" i="39"/>
  <c r="J13" i="39"/>
  <c r="G18" i="39"/>
  <c r="E18" i="39"/>
  <c r="C18" i="39"/>
  <c r="H18" i="39"/>
  <c r="D18" i="39"/>
  <c r="F10" i="39"/>
  <c r="J10" i="39"/>
  <c r="F18" i="39" l="1"/>
  <c r="J18" i="39"/>
  <c r="H27" i="34"/>
  <c r="G27" i="34"/>
  <c r="F27" i="34"/>
  <c r="E27" i="34"/>
  <c r="D27" i="34"/>
  <c r="G7" i="32"/>
  <c r="F7" i="32"/>
  <c r="E7" i="32"/>
  <c r="D7" i="32"/>
  <c r="C7" i="32"/>
  <c r="B7" i="32"/>
  <c r="F7" i="31"/>
  <c r="E7" i="31"/>
  <c r="D7" i="31"/>
  <c r="C7" i="31"/>
  <c r="B7" i="31"/>
  <c r="F7" i="30"/>
  <c r="E7" i="30"/>
  <c r="D7" i="30"/>
  <c r="C7" i="30"/>
  <c r="B7" i="30"/>
  <c r="F9" i="27" l="1"/>
  <c r="E9" i="27"/>
  <c r="D9" i="27"/>
  <c r="C9" i="27"/>
  <c r="J17" i="15" l="1"/>
  <c r="J16" i="15"/>
  <c r="J15" i="15"/>
  <c r="J14" i="15"/>
  <c r="J13" i="15"/>
  <c r="J12" i="15"/>
  <c r="J11" i="15"/>
  <c r="J10" i="15"/>
  <c r="J9" i="15"/>
  <c r="J8" i="15"/>
  <c r="J7" i="15"/>
  <c r="J6" i="15"/>
  <c r="J5" i="15"/>
  <c r="J4" i="15"/>
  <c r="J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26886B60-3515-4649-8EDC-60CB87A1BE48}">
      <text>
        <r>
          <rPr>
            <sz val="11"/>
            <color theme="1"/>
            <rFont val="Arial"/>
            <family val="2"/>
          </rPr>
          <t>======
ID#AAAASk0MSdo
nabiel    (2021-12-27 10:33:35)
NIDN (Nomor Induk Dosen Nasional), NIDK (Nomor Induk Dosen Khusus), diisi jika ada.</t>
        </r>
      </text>
    </comment>
    <comment ref="D2" authorId="0" shapeId="0" xr:uid="{F21790E3-5B8E-4A58-A807-CC72323C87B1}">
      <text>
        <r>
          <rPr>
            <sz val="11"/>
            <color theme="1"/>
            <rFont val="Arial"/>
            <family val="2"/>
          </rPr>
          <t>======
ID#AAAASk0MSbw
nabiel    (2021-12-27 10:33:35)
Diisi dengan jenis program (Magister/Magister Terapan/Doktor/Doktor Terapan) dan nama Program Studi pada pendidikan pasca
sarjana yang pernah diikuti.</t>
        </r>
      </text>
    </comment>
    <comment ref="F2" authorId="0" shapeId="0" xr:uid="{686864E9-4D73-44AB-8E5E-71EC09A7BF72}">
      <text>
        <r>
          <rPr>
            <sz val="11"/>
            <color theme="1"/>
            <rFont val="Arial"/>
            <family val="2"/>
          </rPr>
          <t>======
ID#AAAASk0MScs
nabiel    (2021-12-27 10:33:35)
Diisi dengan bidang keahlian sesuai pendidikan pasca sarjana yang relevan dengan mata kuliah yang diampu.</t>
        </r>
      </text>
    </comment>
    <comment ref="H2" authorId="0" shapeId="0" xr:uid="{895B2C5B-0606-48FB-8CCC-5BEA3D879DBA}">
      <text>
        <r>
          <rPr>
            <sz val="11"/>
            <color theme="1"/>
            <rFont val="Arial"/>
            <family val="2"/>
          </rPr>
          <t>======
ID#AAAASk0MSa4
nabiel    (2021-12-27 10:33:35)
Diisi dengan nomor sertifikat pendidik profesional.</t>
        </r>
      </text>
    </comment>
    <comment ref="K2" authorId="0" shapeId="0" xr:uid="{AA6702CC-24F6-4E30-AEAD-9DAB7EC6076C}">
      <text>
        <r>
          <rPr>
            <sz val="11"/>
            <color theme="1"/>
            <rFont val="Arial"/>
            <family val="2"/>
          </rPr>
          <t>======
ID#AAAASk0MSe8
nabiel    (2021-12-27 10:33:35)
Diisi dengan nama mata kuliah yang diampu pada Program Studi yang diakreditasi pada saat TS-2 s.d. TS.</t>
        </r>
      </text>
    </comment>
    <comment ref="L2" authorId="0" shapeId="0" xr:uid="{E7E6E457-9BF8-4942-AD9C-DE7AB83675A3}">
      <text>
        <r>
          <rPr>
            <sz val="11"/>
            <color theme="1"/>
            <rFont val="Arial"/>
            <family val="2"/>
          </rPr>
          <t>======
ID#AAAASk0MSbU
nabiel    (2021-12-27 10:33:35)
Diisi dengan tanda centang V jika bidang keahlian sesuai dengan mata kuliah yang diampu.</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EAE02EC4-044B-46DB-AC67-D41FAADDFDD1}">
      <text>
        <r>
          <rPr>
            <sz val="11"/>
            <color theme="1"/>
            <rFont val="Arial"/>
            <family val="2"/>
          </rPr>
          <t>======
ID#AAAASk0MSbM
nabiel    (2021-12-27 10:33:35)
NIDK = Nomor Induk Dosen Khusus, diisi jika ada.</t>
        </r>
      </text>
    </comment>
    <comment ref="D2" authorId="0" shapeId="0" xr:uid="{1CB5638D-A07F-4079-B7BE-068F8F1AED0A}">
      <text>
        <r>
          <rPr>
            <sz val="11"/>
            <color theme="1"/>
            <rFont val="Arial"/>
            <family val="2"/>
          </rPr>
          <t>======
ID#AAAASk0MSes
nabiel    (2021-12-27 10:33:35)
Diisi dengan nama perusahaan/industri asal dosen industri/praktisi.</t>
        </r>
      </text>
    </comment>
    <comment ref="F2" authorId="0" shapeId="0" xr:uid="{D38017C3-90DE-4DAF-B7F5-E06DD3E2A058}">
      <text>
        <r>
          <rPr>
            <sz val="11"/>
            <color theme="1"/>
            <rFont val="Arial"/>
            <family val="2"/>
          </rPr>
          <t>======
ID#AAAASk0MSbE
nabiel    (2021-12-27 10:33:35)
Bidang keahlian sesuai pendidikan tertinggi.</t>
        </r>
      </text>
    </comment>
    <comment ref="I2" authorId="0" shapeId="0" xr:uid="{AC537150-B68F-45A5-8491-822B9B9BEACC}">
      <text>
        <r>
          <rPr>
            <sz val="11"/>
            <color theme="1"/>
            <rFont val="Arial"/>
            <family val="2"/>
          </rPr>
          <t>======
ID#AAAASk0MSc4
nabiel    (2021-12-27 10:33:35)
Diisi dengan nama mata kuliah yang diampu pada saat TS-2 s.d. TS. Dosen industri/praktisi dapat terlibat sebagai pengampu
secara penuh atau sebagai bagian dari kelompok dosen atau team teaching.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8" authorId="0" shapeId="0" xr:uid="{8713C287-4514-45AF-A431-A84F6C7E9EF5}">
      <text>
        <r>
          <rPr>
            <sz val="11"/>
            <color theme="1"/>
            <rFont val="Arial"/>
            <family val="2"/>
          </rPr>
          <t>======
ID#AAAASk0MSbY
nabiel    (2021-12-27 10:33:35)
Judul Penelitian dan PkM tercatat di unit/lembaga yang mengelola kegiatan Penelitian/PkM di tingkat Perguruan Tinggi/UPPS.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F7A8D790-0B00-4374-BE75-2A8ECFC9890E}">
      <text>
        <r>
          <rPr>
            <sz val="11"/>
            <color theme="1"/>
            <rFont val="Arial"/>
            <family val="2"/>
          </rPr>
          <t>======
ID#AAAASk0MSbY
nabiel    (2021-12-27 10:33:35)
Judul Penelitian dan PkM tercatat di unit/lembaga yang mengelola kegiatan Penelitian/PkM di tingkat Perguruan Tinggi/UPPS.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2E546D4C-2E71-4873-B88A-4966A8B2B8AA}">
      <text>
        <r>
          <rPr>
            <sz val="11"/>
            <color theme="1"/>
            <rFont val="Arial"/>
            <family val="2"/>
          </rPr>
          <t>======
ID#AAAASk0MSbY
nabiel    (2021-12-27 10:33:35)
Judul Penelitian dan PkM tercatat di unit/lembaga yang mengelola kegiatan Penelitian/PkM di tingkat Perguruan Tinggi/UPPS.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Reviewer</author>
  </authors>
  <commentList>
    <comment ref="H14" authorId="0" shapeId="0" xr:uid="{BD370654-D6FA-4BB6-829C-53782C892729}">
      <text>
        <r>
          <rPr>
            <b/>
            <sz val="9"/>
            <color indexed="81"/>
            <rFont val="Tahoma"/>
            <family val="2"/>
          </rPr>
          <t>Tidak ada anggaran untuk TM</t>
        </r>
      </text>
    </comment>
    <comment ref="E15" authorId="0" shapeId="0" xr:uid="{DB24CC6B-DFD1-43A2-8C5D-5D9F73142B8D}">
      <text>
        <r>
          <rPr>
            <b/>
            <sz val="9"/>
            <color indexed="81"/>
            <rFont val="Tahoma"/>
            <family val="2"/>
          </rPr>
          <t>Kok kosong.
Karena yang mengerjakan BIRO UMUM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C366EC95-3171-4C86-96ED-F1979028D84C}">
      <text>
        <r>
          <rPr>
            <sz val="11"/>
            <color theme="1"/>
            <rFont val="Arial"/>
            <family val="2"/>
          </rPr>
          <t>======
ID#AAAASk0MSbY
nabiel    (2021-12-27 10:33:35)
Judul Penelitian dan PkM tercatat di unit/lembaga yang mengelola kegiatan Penelitian/PkM di tingkat Perguruan Tinggi/UPPS.</t>
        </r>
      </text>
    </comment>
    <comment ref="E2" authorId="0" shapeId="0" xr:uid="{BC908036-F3A8-48E6-A015-0AA3C6DBC3D8}">
      <text>
        <r>
          <rPr>
            <sz val="11"/>
            <color theme="1"/>
            <rFont val="Arial"/>
            <family val="2"/>
          </rPr>
          <t>======
ID#AAAASk0MSco
nabiel    (2021-12-27 10:33:35)
Bentuk integrasi dapat berupa tambahan materi perkuliahan, studi kasus, Bab/ Subbab dalam buku ajar, bahan ajar, atau bentuk lain yang relevan.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8F887904-3859-4B55-A1CB-06057DFDEE75}">
      <text>
        <r>
          <rPr>
            <sz val="11"/>
            <color theme="1"/>
            <rFont val="Arial"/>
            <family val="2"/>
          </rPr>
          <t>======
ID#AAAASk0MSfM
nabiel    (2021-12-27 10:33:35)
Tidak memasukkan Mahasiswa Transfer</t>
        </r>
      </text>
    </comment>
    <comment ref="B4" authorId="0" shapeId="0" xr:uid="{64D1DB16-A0DD-4D29-B2FA-647F7A4A47A9}">
      <text>
        <r>
          <rPr>
            <sz val="11"/>
            <color theme="1"/>
            <rFont val="Arial"/>
            <family val="2"/>
          </rPr>
          <t>======
ID#AAAASk0MSfQ
nabiel    (2021-12-27 10:33:35)
(a)</t>
        </r>
      </text>
    </comment>
    <comment ref="H4" authorId="0" shapeId="0" xr:uid="{5A8F8170-11B4-489B-AD7F-674D5ACC03C0}">
      <text>
        <r>
          <rPr>
            <sz val="11"/>
            <color theme="1"/>
            <rFont val="Arial"/>
            <family val="2"/>
          </rPr>
          <t>======
ID#AAAASk0MSdc
nabiel    (2021-12-27 10:33:35)
(b)</t>
        </r>
      </text>
    </comment>
    <comment ref="I4" authorId="0" shapeId="0" xr:uid="{BA62211A-3E23-4651-9EA7-CF7B71E48B7C}">
      <text>
        <r>
          <rPr>
            <sz val="11"/>
            <color theme="1"/>
            <rFont val="Arial"/>
            <family val="2"/>
          </rPr>
          <t>======
ID#AAAASk0MSdQ
nabiel    (2021-12-27 10:33:35)
(c)</t>
        </r>
      </text>
    </comment>
    <comment ref="E7" authorId="0" shapeId="0" xr:uid="{07E5800F-3D57-454E-ABD9-8FCEAD792743}">
      <text>
        <r>
          <rPr>
            <sz val="11"/>
            <color theme="1"/>
            <rFont val="Arial"/>
            <family val="2"/>
          </rPr>
          <t>======
ID#AAAASk0MSbk
nabiel    (2021-12-27 10:33:35)
(d)</t>
        </r>
      </text>
    </comment>
    <comment ref="H7" authorId="0" shapeId="0" xr:uid="{D0908D74-AA5F-4178-B5E1-D66FDD048D42}">
      <text>
        <r>
          <rPr>
            <sz val="11"/>
            <color theme="1"/>
            <rFont val="Arial"/>
            <family val="2"/>
          </rPr>
          <t>======
ID#AAAASk0MSdE
nabiel    (2021-12-27 10:33:35)
(e)</t>
        </r>
      </text>
    </comment>
    <comment ref="I7" authorId="0" shapeId="0" xr:uid="{E14600E8-EE2C-43FF-89F2-C810B4032500}">
      <text>
        <r>
          <rPr>
            <sz val="11"/>
            <color theme="1"/>
            <rFont val="Arial"/>
            <family val="2"/>
          </rPr>
          <t>======
ID#AAAASk0MSdg
nabiel    (2021-12-27 10:33:35)
(f)</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513B84E8-768A-4EA4-AFDE-AF8A3F84D636}">
      <text>
        <r>
          <rPr>
            <sz val="11"/>
            <color theme="1"/>
            <rFont val="Arial"/>
            <family val="2"/>
          </rPr>
          <t>======
ID#AAAASk0MSec
nabiel    (2021-12-27 10:33:35)
Jenis pekerjaan/posisi jabatan dalam pekerjaan tidak sesuai atau kurang sesuai dengan profil lulusan yang direncanakan dalam dokumen kurikulum.</t>
        </r>
      </text>
    </comment>
    <comment ref="E3" authorId="0" shapeId="0" xr:uid="{797E6147-4DDC-40BB-88FF-9D659E0DE803}">
      <text>
        <r>
          <rPr>
            <sz val="11"/>
            <color theme="1"/>
            <rFont val="Arial"/>
            <family val="2"/>
          </rPr>
          <t>======
ID#AAAASk0MSc8
nabiel    (2021-12-27 10:33:35)
Jenis pekerjaan/posisi jabatan dalam pekerjaan cukup sesuai dengan profil lulusan yang direncanakan dalam dokumen kurikulum.</t>
        </r>
      </text>
    </comment>
    <comment ref="F3" authorId="0" shapeId="0" xr:uid="{48A9264E-6058-4057-BA10-71FF5EAC80C3}">
      <text>
        <r>
          <rPr>
            <sz val="11"/>
            <color theme="1"/>
            <rFont val="Arial"/>
            <family val="2"/>
          </rPr>
          <t>======
ID#AAAASk0MSdw
nabiel    (2021-12-27 10:33:35)
Jenis pekerjaan/posisi jabatan dalam pekerjaan sesuai atau sangat sesuai dengan profil lulusan yang direncanakan dalam dokumen kurikulum</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979A7078-1C1A-454E-AEBD-248A47036A88}">
      <text>
        <r>
          <rPr>
            <sz val="11"/>
            <color theme="1"/>
            <rFont val="Arial"/>
            <family val="2"/>
          </rPr>
          <t>======
ID#AAAASk0MSdU
nabiel    (2021-12-27 10:33:35)
isi dengan Ada atau Tidak Ada</t>
        </r>
      </text>
    </comment>
    <comment ref="E2" authorId="0" shapeId="0" xr:uid="{2F325C49-5354-44A3-B6EE-29582950936D}">
      <text>
        <r>
          <rPr>
            <sz val="11"/>
            <color theme="1"/>
            <rFont val="Arial"/>
            <family val="2"/>
          </rPr>
          <t>======
ID#AAAASk0MScg
nabiel    (2021-12-27 10:33:35)
isi dengan Ada atau Tidak Ada</t>
        </r>
      </text>
    </comment>
    <comment ref="F2" authorId="0" shapeId="0" xr:uid="{62FD1405-4162-462F-97DA-BF8C6555D837}">
      <text>
        <r>
          <rPr>
            <sz val="11"/>
            <color theme="1"/>
            <rFont val="Arial"/>
            <family val="2"/>
          </rPr>
          <t>======
ID#AAAASk0MScw
nabiel    (2021-12-27 10:33:35)
isi dengan Ada atau Tidak Ada</t>
        </r>
      </text>
    </comment>
    <comment ref="G2" authorId="0" shapeId="0" xr:uid="{95ACC0FE-8C2F-470C-A4B2-6B89CB864C8A}">
      <text>
        <r>
          <rPr>
            <sz val="11"/>
            <color theme="1"/>
            <rFont val="Arial"/>
            <family val="2"/>
          </rPr>
          <t>======
ID#AAAASk0MSeY
nabiel    (2021-12-27 10:33:35)
isi dengan Ada atau Tidak Ada</t>
        </r>
      </text>
    </comment>
    <comment ref="H2" authorId="0" shapeId="0" xr:uid="{7EA7C0DC-12F8-4225-8DEA-DDC8EBFF2416}">
      <text>
        <r>
          <rPr>
            <sz val="11"/>
            <color theme="1"/>
            <rFont val="Arial"/>
            <family val="2"/>
          </rPr>
          <t>======
ID#AAAASk0MSdI
nabiel    (2021-12-27 10:33:35)
isi dengan Ada atau Tidak Ada</t>
        </r>
      </text>
    </comment>
  </commentList>
</comments>
</file>

<file path=xl/sharedStrings.xml><?xml version="1.0" encoding="utf-8"?>
<sst xmlns="http://schemas.openxmlformats.org/spreadsheetml/2006/main" count="16282" uniqueCount="4154">
  <si>
    <t>No</t>
  </si>
  <si>
    <t>Jenis Program</t>
  </si>
  <si>
    <t>Nama 
Program Studi</t>
  </si>
  <si>
    <t>Akreditasi Program Studi</t>
  </si>
  <si>
    <t>Jumlah Mahasiswa saat TS</t>
  </si>
  <si>
    <r>
      <t xml:space="preserve">Link </t>
    </r>
    <r>
      <rPr>
        <b/>
        <sz val="11"/>
        <color theme="1"/>
        <rFont val="Calibri"/>
        <family val="2"/>
        <scheme val="minor"/>
      </rPr>
      <t>Dokumen</t>
    </r>
  </si>
  <si>
    <t>Status/ Peringkat</t>
  </si>
  <si>
    <t>No. dan Tgl. SK</t>
  </si>
  <si>
    <t>Tgl. Kadaluarsa (HH/BB/TTTT)</t>
  </si>
  <si>
    <t>Sarjana</t>
  </si>
  <si>
    <t>Teknik Geologi</t>
  </si>
  <si>
    <t>Terakreditasi A</t>
  </si>
  <si>
    <t>3325/SK/BAN-PT/Akred/S/XII/2018; 19 Desember 2018</t>
  </si>
  <si>
    <t>http://lp3m.upnyk.ac.id/asset/upload/Sertifikat_S1_Teknik_Geologi_2018.pdf</t>
  </si>
  <si>
    <t>sarjana</t>
  </si>
  <si>
    <t>Teknik Pertambangan</t>
  </si>
  <si>
    <t>Terakreditasi Unggul</t>
  </si>
  <si>
    <t>1616/SK/BAN-PT/Akred-PMT/S/III/2022; 15 Maret 2022</t>
  </si>
  <si>
    <t>https://drive.google.com/file/d/1y1sFGRdEViwy8trex4E0dPrgFoTPYqv3/view</t>
  </si>
  <si>
    <t>Teknik Perminyakan</t>
  </si>
  <si>
    <t>2533/SK/BAN-PT/Akred/S/VII/2019; 23 Juli 2019</t>
  </si>
  <si>
    <t>https://drive.google.com/file/d/1CCA_74b-RHUptJt68YsCdl59XhyulUUc/view</t>
  </si>
  <si>
    <t>Teknik Lingkungan</t>
  </si>
  <si>
    <t>Terakreditasi Baik Sekali</t>
  </si>
  <si>
    <t>2596/SK/BAN-PT/Ak-PPJ/S/VII/2022; 07 Juli 2023</t>
  </si>
  <si>
    <t>http://lp3m.upnyk.ac.id/asset/upload/SSertifikat-TL-Baik_Sekali.pdf</t>
  </si>
  <si>
    <t>Teknik Geofisika</t>
  </si>
  <si>
    <t>3879/SK/BAN-PT/Akred/S/X/2019; 15 Oktober 2019</t>
  </si>
  <si>
    <t>https://drive.google.com/file/d/12dmq9_qGbeIvo6h47Nyy4FcEY416yRQP/view</t>
  </si>
  <si>
    <t>Teknik Metalurgi</t>
  </si>
  <si>
    <t>Terakreditasi Baik</t>
  </si>
  <si>
    <t>4343/SK/BAN-PT/AK-ISK/S/VII/2022; 12 Juli 2022</t>
  </si>
  <si>
    <t>https://drive.google.com/file/d/1RdA6BmUfjbv4_gSE5wKFpu6TDfQ0OxQ7/view</t>
  </si>
  <si>
    <t>Teknik Geomatika</t>
  </si>
  <si>
    <t>8778/SK/BAN-PT/Akred/S/VI/2021; 16 Juni 2021</t>
  </si>
  <si>
    <t>https://drive.google.com/file/d/1XGYm7HAB8MF9wLfw35l45iUbnHYkQxCA/view</t>
  </si>
  <si>
    <t>Magister</t>
  </si>
  <si>
    <t>0071 /SK/LAM Teknik/AM/Vlll/2022; 21 Agustus 2022</t>
  </si>
  <si>
    <t>https://drive.google.com/file/d/1lh517l-R2LRRnRQF3ndmyMLqzV4X8C-3/view</t>
  </si>
  <si>
    <t>Terakreditasi B</t>
  </si>
  <si>
    <t>2814/SK/BAN-PT/Akred/M/X/2018; 10 Oktober 2022</t>
  </si>
  <si>
    <t>http://lp3m.upnyk.ac.id/asset/upload/Sertifikat_S2_Teknik_Pertambangan_2018.pdf</t>
  </si>
  <si>
    <t>Manajemen Bencana</t>
  </si>
  <si>
    <t>808/SK/BAN-PT/Akred/M/IV/2019; 9 April 2019</t>
  </si>
  <si>
    <t>http://lp3m.upnyk.ac.id/asset/upload/Sertifikat_S2_Manajemen_Bencana_2019.pdf</t>
  </si>
  <si>
    <t>3291/SK/BAN-PT/Akred/M/V/2021; 22 Mei 2021</t>
  </si>
  <si>
    <t>https://drive.google.com/file/d/1XHVto2AkhPbis0_ulICsvkt4Z3B9b0NA/view</t>
  </si>
  <si>
    <t>Doktor</t>
  </si>
  <si>
    <t>3256/SK/BAN-PT/Akred/D/V/2021; 25 Mei 2021</t>
  </si>
  <si>
    <t>https://drive.google.com/file/d/1XLgnSIRHo0tvfBRQ6vvs8JXR46ZqNFgL/view</t>
  </si>
  <si>
    <t>Data Dosen Tetap PSTM UPN "Veteran" Yogyakarta</t>
  </si>
  <si>
    <t>No.</t>
  </si>
  <si>
    <t>Nama Dosen</t>
  </si>
  <si>
    <t>NIDN</t>
  </si>
  <si>
    <r>
      <rPr>
        <b/>
        <i/>
        <sz val="11"/>
        <rFont val="Arial"/>
        <family val="2"/>
      </rPr>
      <t>Link</t>
    </r>
    <r>
      <rPr>
        <b/>
        <sz val="11"/>
        <rFont val="Arial"/>
        <family val="2"/>
      </rPr>
      <t xml:space="preserve"> Dokumen</t>
    </r>
  </si>
  <si>
    <t>Anas Puji Santoso, Ir., M.T.</t>
  </si>
  <si>
    <t xml:space="preserve">0017026012 </t>
  </si>
  <si>
    <t>https://drive.google.com/drive/folders/1RSKIxzFsuyInpY-ZQXQEZ97aBtOJkId9?usp=sharing</t>
  </si>
  <si>
    <t>Aris Buntoro, Prof., Dr., Ir., M.T.</t>
  </si>
  <si>
    <t xml:space="preserve">0028035911 </t>
  </si>
  <si>
    <t>https://drive.google.com/drive/folders/1akFLAwEJfuGgbietto6buRZHThou63yo?usp=sharing</t>
  </si>
  <si>
    <t>Avianto Kabul Pratiknyo, Ir., M.T.</t>
  </si>
  <si>
    <t xml:space="preserve">0504086101 </t>
  </si>
  <si>
    <t>https://drive.google.com/drive/folders/1fwxAoKu4IYmffOV2gCZTHcO-uMFvBHyX?usp=sharing</t>
  </si>
  <si>
    <t>Bambang Bintarto, Ir., M.T.</t>
  </si>
  <si>
    <t xml:space="preserve">0021016115 </t>
  </si>
  <si>
    <t>https://drive.google.com/drive/folders/1VLku7T78WZuGn0mNkbaZmtc1_knL33rS?usp=sharing</t>
  </si>
  <si>
    <t>Boni Swadesi, Dr., S.T., M.T.</t>
  </si>
  <si>
    <t>0507127101</t>
  </si>
  <si>
    <t>https://drive.google.com/drive/folders/1GE4TnCvLL0s5RcZsdRKFEy82zI2sB-C5?usp=sharing</t>
  </si>
  <si>
    <t>Dedy Kristanto, Dr., Ir., M.T.</t>
  </si>
  <si>
    <t>0029126504</t>
  </si>
  <si>
    <t>https://drive.google.com/drive/folders/1VMnPF7NJy4iljj4Z8JOME6-hVuOr9AHR?usp=sharing</t>
  </si>
  <si>
    <t>Dyah Rini Ratnaningsih, Dr. S.T., M.T.</t>
  </si>
  <si>
    <t>0529016001</t>
  </si>
  <si>
    <t>https://drive.google.com/drive/folders/1oiaSVlD2fp_KgeLcdEP8naIi005tIdFp?usp=sharing</t>
  </si>
  <si>
    <t>Eko Widi Pramudiohadi, S.T., M.T.</t>
  </si>
  <si>
    <t xml:space="preserve">0009036007 </t>
  </si>
  <si>
    <t>https://drive.google.com/drive/folders/1N8NQu1hgJqksIJxuJzgMSv5R18vXK0YP?usp=sharing</t>
  </si>
  <si>
    <t>Hariyadi, S.T., M.T.</t>
  </si>
  <si>
    <t>0502117201</t>
  </si>
  <si>
    <t>https://drive.google.com/drive/folders/1beOGpU3akymCkbg0Ogv90WCGYL1Py2Q3?usp=sharing</t>
  </si>
  <si>
    <t>Harry Budiharjo Sulistyarso, Dr., Ir., M.T.</t>
  </si>
  <si>
    <t>0004096312</t>
  </si>
  <si>
    <t>https://drive.google.com/drive/folders/1dd28eSf81vZcQD-bqq6ZaWGpSYdFNfgH?usp=sharing</t>
  </si>
  <si>
    <t>Herianto, Prof., Dr., Ir., M.T.</t>
  </si>
  <si>
    <t xml:space="preserve">0021065910 </t>
  </si>
  <si>
    <t>https://drive.google.com/drive/folders/1dS74wDqpN5L7hg_v45n3OeJwZ-o-sZyh?usp=sharing</t>
  </si>
  <si>
    <t>Joko Pamungkas, Ir., M.T.</t>
  </si>
  <si>
    <t>0025066509</t>
  </si>
  <si>
    <t>https://drive.google.com/drive/folders/1THrOjmCzmXgr3SBA9eGZqYs1qvFMh3eN?usp=sharing</t>
  </si>
  <si>
    <t>KRT. Nur Suhascaryo</t>
  </si>
  <si>
    <t>00170561006</t>
  </si>
  <si>
    <t>https://drive.google.com/drive/folders/1tClbKIgv3M0yR2efBK5rzPAOV-hUQ56c?usp=sharing</t>
  </si>
  <si>
    <t>M. Th. Kristiati EA., S.T., M.T.</t>
  </si>
  <si>
    <t>0005126013</t>
  </si>
  <si>
    <t>https://drive.google.com/drive/folders/13rZgKm2EpmkuvLAaYkRSCmqEXQPMxo6Y?usp=sharing</t>
  </si>
  <si>
    <t xml:space="preserve">0028085818 </t>
  </si>
  <si>
    <t>https://drive.google.com/drive/folders/11G-nE35znLHk3EaOCQXin_BQ5U8-wJOW?usp=sharing</t>
  </si>
  <si>
    <t>Sayoga Heru Prayitno, Ir., M.T.</t>
  </si>
  <si>
    <t xml:space="preserve">0508076301 </t>
  </si>
  <si>
    <t>https://drive.google.com/drive/folders/1vZkF8MjMBxYy334EYxCPp8xW4vJD0eZ0?usp=sharing</t>
  </si>
  <si>
    <t>Suranto, Dr., S.T., M.T.</t>
  </si>
  <si>
    <t>0517047201</t>
  </si>
  <si>
    <t>https://drive.google.com/drive/folders/1jJkJbFZ_BoAIiR-V4D7mP3qZIK2g1gCd?usp=sharing</t>
  </si>
  <si>
    <t>Suwardi, Ir., M.T.</t>
  </si>
  <si>
    <t>0011036118</t>
  </si>
  <si>
    <t>https://drive.google.com/drive/folders/1WbYJKNBVN9BTQUHokHJuXXzGuz4mLwL8?usp=sharing</t>
  </si>
  <si>
    <t>Damar Nandiwardhana, S.T., M.T.</t>
  </si>
  <si>
    <t>Dewi Asmorowati, S.T., M.Eng.</t>
  </si>
  <si>
    <t>Edgie Yuda Kaesti, S.T., M.T.</t>
  </si>
  <si>
    <t>Indah Widiyaningsih, S.T., M.T.</t>
  </si>
  <si>
    <t>0004058502</t>
  </si>
  <si>
    <t>https://drive.google.com/drive/folders/1Ej6aZN4LhHhUBYldCsvsx_Bl5d4D7JkD?usp=sharing</t>
  </si>
  <si>
    <t>Mia Ferian Helmy, S.T., M.T.</t>
  </si>
  <si>
    <t>0520108302</t>
  </si>
  <si>
    <t>https://drive.google.com/drive/folders/1TwwdCfGM6H1LOxJSZ06pynTP_CcoOrPv?usp=sharing</t>
  </si>
  <si>
    <t>Muhammad Zakiy Yusrizal, S.T., M.T.</t>
  </si>
  <si>
    <t>0003088904</t>
  </si>
  <si>
    <t>https://drive.google.com/drive/folders/1w1XSrOnxqGLPmBpRRg93N4lYbCwvOAqt?usp=sharing</t>
  </si>
  <si>
    <t>Ratna Widyaningsih, S.T., M.Eng.</t>
  </si>
  <si>
    <t>0006048604</t>
  </si>
  <si>
    <t>https://drive.google.com/drive/folders/1y5lq4uPDvnXCQOM3Y1QySh60gBtF7Ld7?usp=sharing</t>
  </si>
  <si>
    <t>Ristiyan Ragil Putradianto, S.T., M.T.</t>
  </si>
  <si>
    <t>0025098706</t>
  </si>
  <si>
    <t>https://drive.google.com/drive/folders/13W0OuQP_QKZ9aq00eBub9qIrbM3rCaI2?usp=sharing</t>
  </si>
  <si>
    <t>Kharisma Idea, Dr., S.T., M.T.</t>
  </si>
  <si>
    <t>0010018502</t>
  </si>
  <si>
    <t>https://drive.google.com/drive/folders/1Nk4021sS5WUlEOViYK8R06nJggrAFCtj?usp=sharing</t>
  </si>
  <si>
    <t>Brian Tony, S.T., M.T.</t>
  </si>
  <si>
    <t>Skema Biaya</t>
  </si>
  <si>
    <t>Judul Penelitian/PkM</t>
  </si>
  <si>
    <t>Nama Dosen Ketua</t>
  </si>
  <si>
    <t>Nama Dosen Anggota I</t>
  </si>
  <si>
    <t>Nama Dosen Anggota II</t>
  </si>
  <si>
    <t>Nama Mahasiswa</t>
  </si>
  <si>
    <t>Tahun Penelitian</t>
  </si>
  <si>
    <t>Link Dokumen</t>
  </si>
  <si>
    <t>Internal</t>
  </si>
  <si>
    <t>Feasibility Study &amp; Engineering Desain Kolam Budidaya Ikan Gurame dan Pengeringan Ikan Laut Struktur Kontrol Kaskade dengan Fulida Panas Bumi, di Parangwedang, Kabupaten Bantul, Yogyakarta</t>
  </si>
  <si>
    <t xml:space="preserve">Allen H. Lukmana S.T., M.T.    </t>
  </si>
  <si>
    <t xml:space="preserve">Mia Ferian Helmy, S.T., M.T. </t>
  </si>
  <si>
    <t>-</t>
  </si>
  <si>
    <t>Mayda Ade Baskhara</t>
  </si>
  <si>
    <t>https://drive.google.com/file/d/1Vw3OffZ1n2itRb2jUKR9sbwAVo4V0rVU/view?usp=sharing</t>
  </si>
  <si>
    <t>Pemodelan Simulasi Reservoir dengan Skenario Injeksi Polimer pada Reservoir Rekah Alami Batuan Karbonat</t>
  </si>
  <si>
    <t>Indah Widyaningsih, S.T., M.T.</t>
  </si>
  <si>
    <t>Salma Azizah</t>
  </si>
  <si>
    <t>https://drive.google.com/file/d/1bKwaHRXZjAvtd1gOf0VB5jfBJonicmGG/view?usp=sharing</t>
  </si>
  <si>
    <t>Pengelolaan Journal of Petroleum and Geothermal Technology (JPGT) Melalui Open Journal System (OJS)</t>
  </si>
  <si>
    <t xml:space="preserve">Dr. Ir. Dyah Rini R., M.T. </t>
  </si>
  <si>
    <t>Dr. Boni Swadesi, S.T., M.T.</t>
  </si>
  <si>
    <t>Ristiyan Ragil, S.T., M.T.</t>
  </si>
  <si>
    <t>ATMA BUDI ARTA</t>
  </si>
  <si>
    <t>https://drive.google.com/file/d/1ui54Zzp92oFBz6ZYTyZv-OqN_jNiGCtg/view?usp=sharing</t>
  </si>
  <si>
    <t>Penerapan Sistem Online Sebagai Upaya Peningkatan Pelayanan Pengurusan dan Pelaporan Kerja Praktek Pada Prodi S1 Teknik Perminyakan, UPN “Veteran” Yogyakarta</t>
  </si>
  <si>
    <t xml:space="preserve">Ir. Bambang Bintarto, M.T. </t>
  </si>
  <si>
    <t>https://drive.google.com/file/d/1vmGQDeooV7daoOxtk6mQskSyRjAKMMdS/view?usp=sharing</t>
  </si>
  <si>
    <t>Penyelidikan 3G Terhadap Potensi Banasbumi Daerah Gunung Wilis Ngebel Jawa Timur</t>
  </si>
  <si>
    <t>https://drive.google.com/file/d/1EG0BJE5_QhFGDGnk2bvEo_QGcrSWL28P/view?usp=sharing</t>
  </si>
  <si>
    <t>Potensi Geo-Ekowisata Gua di Wilayah Kecamatan Tanjungsari Kabupaten Gunungkidul, Daerah Istimewa Yogyakarta</t>
  </si>
  <si>
    <t>Prof. Dr. Ir. Sari Bahagiarti K., M.Sc.</t>
  </si>
  <si>
    <t>https://drive.google.com/file/d/1HiIxsRZYfAJNntNVSZh5ig8kcP0h2Hqx/view?usp=sharing</t>
  </si>
  <si>
    <t xml:space="preserve">Optimasi Strategi Pengembangan Steamflooding dan Cyclic Steam Stimulation Dalam Meningkatkan Perolehan Minyak Berat Tahap Lanjut </t>
  </si>
  <si>
    <t>Dr. Suranto, S.T., M.T.</t>
  </si>
  <si>
    <t>Martrida Jani</t>
  </si>
  <si>
    <t>Studi Injeksi Polimer Dengan Menggunakan Media Micromodel Dalam Meningkatkan Perolehan Minyak Tahap Lanjut</t>
  </si>
  <si>
    <t>Dr. Ir. Dedy Kristanto, M.T.</t>
  </si>
  <si>
    <t>Sinosa Husenido</t>
  </si>
  <si>
    <t>https://drive.google.com/file/d/1WLOXoP9TK1bMYnEc8XybwQy6M3FWH4YF/view?usp=sharing</t>
  </si>
  <si>
    <t>Pemodelan Sifat Fisik Minyak Bumi dalam Proses Enhanced Oil Recovery (EOR) menggunakan Metode Naïve Bayes Classifier</t>
  </si>
  <si>
    <t xml:space="preserve">Dr. Ir. Harry Budiharjo, M.T. </t>
  </si>
  <si>
    <t>Ir. Joko Pamungkas, M.T.</t>
  </si>
  <si>
    <t>Hanqenina Damayanti</t>
  </si>
  <si>
    <t>https://drive.google.com/file/d/1WBuhZyznJiscMaaP62xQFdHFxd94EK00/view?usp=sharing</t>
  </si>
  <si>
    <t>Studi Evaluasi Sampel Core Batupasir Pada Singkapan Di Indonesia Sebagai Kandidat Artificial Core Batuan Reservoir Dalam Studi EOR</t>
  </si>
  <si>
    <t xml:space="preserve">Ir. Bambang Bintarto, MT. </t>
  </si>
  <si>
    <t xml:space="preserve">Ir. Siti Umiyatun Choiriah, M.T.  </t>
  </si>
  <si>
    <t>Edgie Yuda Kaesti, ST., MT</t>
  </si>
  <si>
    <t>https://drive.google.com/file/d/1ID5WgYol3ATAlGoI1q3Dutn6u07AzD9-/view?usp=sharing</t>
  </si>
  <si>
    <t>Studi Injeksi Air dengan Salinitas Rendah Dalam Meningkatkan Perolehan Minyak Tahap Lanjut</t>
  </si>
  <si>
    <t>Ratna Widyaningsih, ST., M.Eng.</t>
  </si>
  <si>
    <t>Sahat Glenten M.H</t>
  </si>
  <si>
    <t>https://drive.google.com/file/d/1rhFphdhRo_k8zGpsqEQSRq0Jfsd9n6j4/view?usp=sharing</t>
  </si>
  <si>
    <t>Eksternal</t>
  </si>
  <si>
    <t>Dr. Ir. Aris Buntoro, M.T.</t>
  </si>
  <si>
    <t>Dr. Ir. C. Prasetyadi, M.Sc.</t>
  </si>
  <si>
    <t>https://drive.google.com/file/d/163p1ce2zSggPCFq7NyjvKqGPEQ1bM_Ak/view?usp=sharing</t>
  </si>
  <si>
    <t>STRATEGI PENGEMBANGAN UKM PEMANFAATAN HASIL PENELITIAN VICOIL BOPANPROG SEBAGAI UPAYA UNTUK MENUNJANG KEGIATAN OPERASI PEMBORAN MIGAS DAN PANASBUMI</t>
  </si>
  <si>
    <t xml:space="preserve">Dr. Ir. KRT Nur Suhascaryo, M.T. </t>
  </si>
  <si>
    <t>https://drive.google.com/file/d/1kyb35psCN4jnYVL4HPQ7ZtNT4wR70Au6/view?usp=sharing</t>
  </si>
  <si>
    <t>SINTESIS, KARAKTERISASI DAN APLIKASI KATALIS BIODEGRADABLEMOF (METAL-ORGANIC FRAMEWORK) L-ALGINAT (L= Zn, Ca)
MENGGUNAKAN METODE PRESIPITASI</t>
  </si>
  <si>
    <t>https://drive.google.com/file/d/1gg-zXtDJt7DdPECODzPSGVSpkySUslf8/view?usp=sharing</t>
  </si>
  <si>
    <t>Uji Laboratorium Fluid Rock Behaviour Testing Pada Penerapan Hydraulic Fracturing</t>
  </si>
  <si>
    <t xml:space="preserve">Dr. Boni Swadesi, S.T., M.T.  </t>
  </si>
  <si>
    <t>Ahmad Azhar Ilyas</t>
  </si>
  <si>
    <t>https://drive.google.com/file/d/1GRT-6uz7crGYgbE4WpCS2KuV1RZbJ7pw/view?usp=sharing</t>
  </si>
  <si>
    <t>Studi Optimasi Skenario Injeksi Polimer Dengan Variasi Konsentrasi Menggunakan Media Micromodel Homogen dan Heterogen Dalam Meningkatkan Perolehan Minyak Tahap Lanjut</t>
  </si>
  <si>
    <t>Roiduz Zumar</t>
  </si>
  <si>
    <t>https://drive.google.com/file/d/1mb-fc6OkcvEnXhFnpALTngKwvTawbc72/view?usp=sharing</t>
  </si>
  <si>
    <t>Penyelidikan 3G Terhadap Potensi Panasbumi Daerah Gunung Wilis Ngebel Jawa Timur (tahun ke 2)</t>
  </si>
  <si>
    <t>Aplikasi Pemodelan Sifat Fisik Minyak Bumi Dalam Proses Enhanced Oil Recovery (Eor) Berbasis Desktop</t>
  </si>
  <si>
    <t>https://drive.google.com/file/d/12vZcbbFNoRXSjTFOBQ3a3cTZ5smljz6I/view?usp=sharing</t>
  </si>
  <si>
    <t>Pemanfaatan Gas Metana (CH4) Hasil Dari Pyrolisis Limbah Plastik Untuk Menunjang Kebutuhan Energi</t>
  </si>
  <si>
    <t>https://drive.google.com/file/d/1LkUB7K1IPCBTMxe1ClV3Wp-84kHNLAtQ/view?usp=sharing</t>
  </si>
  <si>
    <t>Kelayakan Geo-Ekowisata Gua Di Wilayah Kapanewon Tanjungsari, Kabupaten Gunungkidul, Daerah Istimewa Yogyakarta</t>
  </si>
  <si>
    <t>https://drive.google.com/file/d/1oZmuC1bXN9onIs7sAFkud15eUNml5wpF/view?usp=sharing</t>
  </si>
  <si>
    <t>STUDI INJEKSI UAP SIKLUS DALAM MENINGKATKAN PEROLEHAN MINYAK BERAT TAHAP LANJUT</t>
  </si>
  <si>
    <t>Pengaruh konsentrasi surfaktan-polimer terhadap penyebaran area pengurasan pada reservoir heterogen</t>
  </si>
  <si>
    <t>https://drive.google.com/file/d/1hn5JwtAZxnNyxY40T-VcgUO6erX6H5to/view?usp=sharing</t>
  </si>
  <si>
    <t>Pengembangan metode Material Balance Reservoir Gas Untuk Perkiraan Faktor Perolehan Gas Yang Akan Datang</t>
  </si>
  <si>
    <t>Cahyadi Julianto</t>
  </si>
  <si>
    <t>https://drive.google.com/file/d/11dHyZFcIbh8mEeSDlYctL5JFtxwHn7Do/view?usp=sharing</t>
  </si>
  <si>
    <t>Aplikasi Mikrofosil Untuk Menentukan Kecepatan Sedimentasi Di Zona Rembang</t>
  </si>
  <si>
    <t>https://drive.google.com/file/d/1lf68r9i5jlaRkT9AVzcZC4eLNQEzqDwo/view?usp=sharing</t>
  </si>
  <si>
    <t>Pemodelan Geomekanik 1D Berdasarkan Analisis Log Sumur dan Mineralogi: Studi Kasus Sumur OP-001 &amp; OP 002 pada Area Cekungan Sumatera Utara Mineralogi: Studi Kasus Sumur OP-001 &amp; OP-002 pada Area Cekungan Sumatera Utara</t>
  </si>
  <si>
    <t>Allen Haryanto Lukmana, ST, MT</t>
  </si>
  <si>
    <t>https://drive.google.com/file/d/1LQQJYOAtmtdN_avs4e8yjr2vNRdfYYOy/view?usp=sharing</t>
  </si>
  <si>
    <t>Kajian Penurunan Entalpi Dari Kepala Sumur Hingga Input Tubin Pada Lapangan Panasbumi Huluhulais</t>
  </si>
  <si>
    <t>Eko Widi P, ST., MT</t>
  </si>
  <si>
    <t>MT. Th. Kristiati EA, S.T., M.T.</t>
  </si>
  <si>
    <t>https://drive.google.com/file/d/16dBZ2R2maOzznuwirtYNuawzu5ri9nG9/view?usp=sharing</t>
  </si>
  <si>
    <t>Analisa dan Perhitungan Peningkatan Produksi Pada Sumur Minyak dengan Gas Kondensat</t>
  </si>
  <si>
    <t>https://drive.google.com/file/d/169WMqSKzLQEpbckvtxizYNnjYPviTsWd/view?usp=sharing</t>
  </si>
  <si>
    <t>Studi Model Konstruksi dan Profil Sumur Directional di Lepas Pantai, Berdasarkan Beban Mekanis Rangkaian dan Konsep Well Integrity</t>
  </si>
  <si>
    <t>Dr. Ir. Drs. H. Herianto, M.T.</t>
  </si>
  <si>
    <t>Ir. P. Subiatmono, M.T.</t>
  </si>
  <si>
    <t>Suto Wijoyo</t>
  </si>
  <si>
    <t>https://drive.google.com/file/d/1xp2hLp_JGOT-xADvkSod9FmqL1MRd1bJ/view?usp=sharing</t>
  </si>
  <si>
    <t>Peningkatan Publikasi Artikel Ilmiah Mahasiswa Teknik Perminyakan untuk Menunjang Indikator Kinerja Utama dengan Menyediakan Fasilitas Ruang Publikasi</t>
  </si>
  <si>
    <t>Th Laura Octa Daguesta</t>
  </si>
  <si>
    <t>https://drive.google.com/file/d/10O449aRLTAtdPa4N8iVZfaevbzukNZcF/view?usp=sharing</t>
  </si>
  <si>
    <t>Perencanaan Laboratorium Enhanced Oil Recovery (EOR) yang Efektif dan Efisien sebagai Laboratorium Riset Unggulan UPN “Veteran” Yogyakarta</t>
  </si>
  <si>
    <t>https://drive.google.com/file/d/1gFb0GeJxZG4TtVhnLxP2RDAh1FCDzd8D/view?usp=sharing</t>
  </si>
  <si>
    <t>Strategi Pengembangan Journal of Petroleum and Geothermal Techmology (JPGT) Menuju Akreditasi Nasional dan Internasional</t>
  </si>
  <si>
    <t>https://drive.google.com/file/d/1zpv0Lc0Z79Rw_qxzkLW7LCmIfjH00zWW/view?usp=sharing</t>
  </si>
  <si>
    <t>Analisa Daerah Potensi Panasbumi Songa-Wayaua, Bacan, Maluku Utara Berdasarkan Data Geologi dan Geokimia</t>
  </si>
  <si>
    <t>https://drive.google.com/file/d/15ALQA9tKcBhIH_0luzoUdw5CrWDb_TDq/view?usp=sharing</t>
  </si>
  <si>
    <t>ldentifikasi dan Penanganan Problem Scale pada Electric Submersible Pump (ESP) Sumur "AB" Lapangan Tanjung.</t>
  </si>
  <si>
    <t>Dr. Boni Swadesi, ST., MT</t>
  </si>
  <si>
    <t>Dr. Yulius Deddy Hermawan, MT</t>
  </si>
  <si>
    <t>Yoga Rahmad</t>
  </si>
  <si>
    <t>https://drive.google.com/file/d/18ZnaEPaBMYXCCz5R2B0uJJCSSdfRs9y2/view?usp=sharing</t>
  </si>
  <si>
    <t>Peningkatan Publikasi Ilmiah Dosen Jurusan Teknik Perminyakan Melalui Penerbitan Jurnal Nasional Cetak dan Online</t>
  </si>
  <si>
    <t>Hariyadi, ST., M.T.</t>
  </si>
  <si>
    <t>https://drive.google.com/file/d/11ySIUB8HzMVqDCD_RImip6ZOkign3lsi/view?usp=sharing</t>
  </si>
  <si>
    <t>Uji Compatibility Fluida Perekah Terhadap Breaker Dan Proppant</t>
  </si>
  <si>
    <t>Dr. Dedy Kristanto, M.T.</t>
  </si>
  <si>
    <t>Nur Ilham</t>
  </si>
  <si>
    <t>https://drive.google.com/file/d/1YBZuUGqXQnUMvDwLrhjxU8NSDdqKxGEi/view?usp=sharing</t>
  </si>
  <si>
    <t>Penerapan Konsep Mobility Desain Terhadap Incremental Oil Pada Injeksi Polimer</t>
  </si>
  <si>
    <t xml:space="preserve">Adela Paramita Kardin </t>
  </si>
  <si>
    <t>https://drive.google.com/file/d/11b0YG5sMA8YIc7X6CCmU-Hm64Lh8M9D9/view?usp=sharing</t>
  </si>
  <si>
    <t>Analisa Geohazard Zona Overpressured Shale Serta Penentuan Sumber Mud Vulcano Kesongo dan Sekitarnya Di Cekungan Rembang</t>
  </si>
  <si>
    <t>https://drive.google.com/file/d/1evx9a-cmGsu-akVJEd8sBXCVF3gnejvD/view?usp=sharing</t>
  </si>
  <si>
    <t>PROSPEK SURFAKTAN BERBAHAN DASAR KETAPANG SEBAGAI ALTERNATIF UNTUK INJEKSI KIMIA PADA METODE ENHANCED OIL RECOVERY (EOR)</t>
  </si>
  <si>
    <t>Dr. Eng. Y. Deddy Hermawan, S.T., M.T.</t>
  </si>
  <si>
    <t>Ahmad Aliya Akmal dan Salma Azizah</t>
  </si>
  <si>
    <t>https://drive.google.com/file/d/1ta0QFflbOEHBLk_w-j3eqZJ1O7BZLRN_/view?usp=sharing</t>
  </si>
  <si>
    <t>ANALISIS FOSIL JEJAK SEBAGAI PARAMETER POROSITAS RESERVOAR BATUAN PADA PETROLEUM SISTEM DI ZONA REMBANG, CEKUNGAN JAWA TIMUR UTARA</t>
  </si>
  <si>
    <t>Ir. Siti Umiyatun Choiriah, M.T.</t>
  </si>
  <si>
    <t>https://drive.google.com/file/d/1Lrak8Ri6zT6x0U07VFt70XFORCccqTYC/view?usp=sharing</t>
  </si>
  <si>
    <t>PEMANFAATAN LIMBAH PABRIK KERAMIK DAN KACA UNTUK ADDITIVE SEMEN PEMBORAN PADA INDUSTRI MIGAS DAN PABUM</t>
  </si>
  <si>
    <t>P. Subiatmono, S.T., M.T.</t>
  </si>
  <si>
    <t>Dr. KRT Nur Suhascaryo, MT</t>
  </si>
  <si>
    <t>https://drive.google.com/file/d/101i_t4k1nyzXhWk3g9a2Np8POGjG3yu-/view?usp=sharing</t>
  </si>
  <si>
    <t>PENGARUH POLA INJEKSI AIR DENGAN SALINITRAS RENDAH TERHADAP PEROLEHAN MINYAK PADA RESERVOIR  HETEROGEN</t>
  </si>
  <si>
    <t>Adzan Topaz Aditya</t>
  </si>
  <si>
    <t>https://drive.google.com/file/d/1Q73QW50BU0rKXLEla76healoNfymrkZT/view?usp=sharing</t>
  </si>
  <si>
    <t>ANALISIS PROVENANCE DAN KEDEWASAAN BUTIRAN SEDIMEN SERTA PENGARUHNYA TERHADAP KUALITAS AKUIFER DAN SUMBERDAYA AIR TANAH PADA DAERAH NGORO-ORO, KABUPATEN GUNUNGKIDUL, PROVINSI D. I. YOGYAKARTA</t>
  </si>
  <si>
    <t>https://drive.google.com/file/d/1xCjsuodGxPorE8vv1zJnCrE_jKwlbil8/view?usp=sharing</t>
  </si>
  <si>
    <t>PETROLOGI ORGANIK UNTUK MENGETAHUI PENGKAYAAN PEMBENTUKAN HIDROKARBON DI CEKUNGAN DEPAN BUSUR DAN CEKUNGAN BELAKANG BUSUR PULAU JAWA. STUDI KASUS: DAERAH PACITAN (JAWA TIMUR) DAN REMBANG (JAWA TENGAH)</t>
  </si>
  <si>
    <t>R. M. Basuki Rahmad</t>
  </si>
  <si>
    <t>https://drive.google.com/file/d/1ZYpKa0eGSTXsP_rpta2KOGTEZBDnHa_C/view?usp=sharing</t>
  </si>
  <si>
    <t>Pengembangan Hub-Clustering CO Management Di Cekungan Sumatera Selatan</t>
  </si>
  <si>
    <t>Fanata Yudha N., S.T., M.T.</t>
  </si>
  <si>
    <t>https://drive.google.com/file/d/1Z_bzo_vDI1ZaCdk-H9EaICwWB7K89H4B/view?usp=sharing</t>
  </si>
  <si>
    <t>Stimulasi Hydraulic Fracturing Pada Formasi Produktif Batu Pasir Untuk Peningkatan Perolehan Minyak</t>
  </si>
  <si>
    <t xml:space="preserve">Dr. Ir. Drs. H. Herianto, M.T     </t>
  </si>
  <si>
    <t>Dr. Dyah Rini Ratnaningsih, MT</t>
  </si>
  <si>
    <t>Dr. Siti Umiyatun Ch, MT</t>
  </si>
  <si>
    <t>Sunarfan</t>
  </si>
  <si>
    <t>https://drive.google.com/file/d/1n9vMBSUHGIR67ZXBTS0MCTL5YTns6g9V/view?usp=sharing</t>
  </si>
  <si>
    <t>Potensi Cadangan Pada Reservoir Gas Untuk Prediksi Pemenuhan Permintaan Gas Pada Lapangan Gundih PT. Pertamina EP Cepu</t>
  </si>
  <si>
    <t>https://drive.google.com/file/d/11yp07duzxDnqu94h1cUEuc14mRPsIbDq/view?usp=sharing</t>
  </si>
  <si>
    <t>Studi Injeksi Gas Karbondioksida Untuk Meningkatkan Perolehan Minyak</t>
  </si>
  <si>
    <t>Uji Kemampuan Isolat Bakateri Asam Laktat Dalam Microbial Enhanced Oil Recovery (MEOR) Pada Sumur-Sumur Migas Tua Di Kecamatan Ledok, Kabupaten Blora</t>
  </si>
  <si>
    <t>Damar Nandiwardhana, ST., MT</t>
  </si>
  <si>
    <t>Hariyadi, ST., MT</t>
  </si>
  <si>
    <t xml:space="preserve">M Iqbal </t>
  </si>
  <si>
    <t>https://drive.google.com/file/d/1soxicgrFRzJOCFxbhSFOXRSeBfqwtSBi/view?usp=sharing</t>
  </si>
  <si>
    <t>Uji Pengaruh Kandungan Kimia Air Formasi Terhadap Kecenderungan Pembentukan Residu Pada Fluida Perekah</t>
  </si>
  <si>
    <t xml:space="preserve">Dr. Ir. Dedy Kristanto, M.T. </t>
  </si>
  <si>
    <t>Tegar Rasyid</t>
  </si>
  <si>
    <t>https://drive.google.com/file/d/13QIW9HhU4g3ygd6sYwJFaQQpdGKFLwnP/view?usp=sharing</t>
  </si>
  <si>
    <t>Prospek Surfaktan Berbahan Dasar Ketapang Sebagai Alternatif Untuk Injeksi Kimia Pada Metode Enhanced Oil Recovery (EOR)</t>
  </si>
  <si>
    <t>Dr. Eng Y. Deddy Hermawan, MT</t>
  </si>
  <si>
    <t>https://drive.google.com/file/d/1otE5VDI7i8iW4DYVma_OH3IOmlhhC9Gn/view?usp=sharing</t>
  </si>
  <si>
    <t>APLIKASI BIOSURFAKTAN DALAM REMEDIASI OIL SPILLS DAN UPAYA PENINGKATAN PEROLEHAN MINYAK</t>
  </si>
  <si>
    <t>Triyana Wahyuningsih</t>
  </si>
  <si>
    <t>https://drive.google.com/file/d/1tqMeXktgpl-sdOFens28kU8QfM4L-KpJ/view?usp=sharing</t>
  </si>
  <si>
    <t>https://drive.google.com/file/d/1igvnb98ucPW3H-QoDjl6K4d2wg1js8jh/view?usp=sharing</t>
  </si>
  <si>
    <t>Konsep Pemanfaatan Energi Fluida Buang Untuk Energi Listrik Dengan Sistem Binary Cycle Pada Lapangan Panasbumi Indonesia</t>
  </si>
  <si>
    <t>M Rizki Illahi</t>
  </si>
  <si>
    <t>https://drive.google.com/file/d/1bpXQrJZMDTz1N4nSCkWwxP643USrGSY4/view?usp=sharing</t>
  </si>
  <si>
    <t>https://drive.google.com/file/d/1pxxNXS2D0Dz964g5qN7VQ93dk5Epxxsi/view?usp=sharing</t>
  </si>
  <si>
    <t>https://drive.google.com/file/d/16ZdChqpjS_qsrdkMkAobXckLVFjMEly2/view?usp=sharing</t>
  </si>
  <si>
    <t>Internasional</t>
  </si>
  <si>
    <t>Skenario Pengembangan Lapangan "V" Dengan Penambahan Sumur Infill Menggunakan Simulasi Reservoir TNavigator</t>
  </si>
  <si>
    <t>Vernan Muhammad Rigzy</t>
  </si>
  <si>
    <t>https://drive.google.com/file/d/1RX03CI-HZacDgxhFjoGJM0_PDSYIJN5y/view?usp=sharing</t>
  </si>
  <si>
    <t>Assisted History Matching dengan Particle Swarm Optimization pada Lapangan "SHM" Menggunakan T-Navigator</t>
  </si>
  <si>
    <t>Shafiyranada HM</t>
  </si>
  <si>
    <t>https://drive.google.com/file/d/1iGXDtO7-rd8XjTvDR7rLhwK3rpeA6K_W/view?usp=sharing</t>
  </si>
  <si>
    <t>Perencanaan Pengembangan Lapangan Menggunakan Polymer Flooding pada Lapangan "FZT" Dengan Simulasi Reservoir</t>
  </si>
  <si>
    <t>Faizal Triatmoko</t>
  </si>
  <si>
    <t>https://drive.google.com/file/d/1jTFZj4wvZMEghlzVy6jTdmr2JBzEC2IU/view?usp=sharing</t>
  </si>
  <si>
    <t>Skenario Pengembangan Reservoir “KAS” Menggunakan Waterflooding Dengan Simulasi Reservoir</t>
  </si>
  <si>
    <t>Khairul Anwar Siregar</t>
  </si>
  <si>
    <t>https://drive.google.com/file/d/1VxsL-SUNiYyY5busqJlvt59armFSp8v1/view?usp=sharing</t>
  </si>
  <si>
    <t>Perencanaan Pengembangan Lapangan Minyak "TRI" Dengan Mengubah Sumur Produksi Menjadi Injeksi Guna Meningkatkan Recovery Factor Menggunakan Simulasi Reservoir</t>
  </si>
  <si>
    <t>Ir. Sayoga Heru P. M.T</t>
  </si>
  <si>
    <t>Ghozali Adi Putra</t>
  </si>
  <si>
    <t>https://drive.google.com/file/d/1q0DwKcChaeYudsONo999AXYOdP1gseSh/view?usp=sharing</t>
  </si>
  <si>
    <t>Pengembangan Lapangan "DNV" Dengan Injeksi Waterflooding Menggunakan Simulasi Reservoir</t>
  </si>
  <si>
    <t>Dzaky Naufal Valdiyantoro</t>
  </si>
  <si>
    <t>https://drive.google.com/file/d/1QuipnWHb2uaVMQ6fYarg3c6FqaNM2oGL/view?usp=sharing</t>
  </si>
  <si>
    <t>Optimasi Pengembangan Lapangan “FT” Terhadap Recovery Per Well Melalui Skenario Cyclic Waterflooding Menggunakan tNavigator</t>
  </si>
  <si>
    <t>Faskanata R. G.</t>
  </si>
  <si>
    <t>https://drive.google.com/file/d/13DT9YpY0NWqgtOtHZ441o78tjMyHAmzp/view?usp=sharing</t>
  </si>
  <si>
    <t>Pengembangan Lapangan Minyak “GID” Dengan Metode Cyclic Waterflooding Menggunakan AHM tNavigator</t>
  </si>
  <si>
    <t xml:space="preserve"> Ghani Irfan Darmawan</t>
  </si>
  <si>
    <t>https://drive.google.com/file/d/1S26auuet0siRi6qiaN-snoruPOSvUMP-/view?usp=sharing</t>
  </si>
  <si>
    <t>Optimasi Pengembangan Lapangan ZUL dengan Injeksi CO2 menggunakan Simulasi Reservoir dan Analisa Keekonomian</t>
  </si>
  <si>
    <t>Ovy Zulfikar Tyasenda</t>
  </si>
  <si>
    <t>https://drive.google.com/file/d/1VD14jv9YilND-6ojurmoUe7hhztUHP1H/view?usp=sharing</t>
  </si>
  <si>
    <t>Peningkatan Akurasi Model Reservoir Menggunakan Algoritma History Matching Pada Lapangan "WD"</t>
  </si>
  <si>
    <t xml:space="preserve"> Widi Hastuti Hasan Basri</t>
  </si>
  <si>
    <t>https://drive.google.com/file/d/1lX1cJCf4VIpMO1K5731p3tNL1DsUPcbU/view?usp=sharing</t>
  </si>
  <si>
    <t>Optimasi CO2 Injection untuk peningkatan oil recovery pada continuous co2 injection dan water alternating gas menggunakan particle swarm optimization</t>
  </si>
  <si>
    <t>Reynaldi Mulyawan</t>
  </si>
  <si>
    <t>https://drive.google.com/file/d/1gIIdCn5y2nKP7U_wPhdL01Er1E1qCQ-S/view?usp=sharing</t>
  </si>
  <si>
    <t>Enhancing Oil Recovery in a Carbonate Reservoir through Polymer Injection</t>
  </si>
  <si>
    <t>https://drive.google.com/file/d/1NiC-wlWxbP5NEFdjrZOJCV9FOn-xhHTO/view?usp=sharing</t>
  </si>
  <si>
    <t>Peningkatan Reovery Factor Minyak Menggunakan Metode Waterflooding pada Lapangan "BRAVO"</t>
  </si>
  <si>
    <t>Dr. Ir. Herianto, M.T.</t>
  </si>
  <si>
    <t>https://drive.google.com/file/d/1a87EApBTEyIDR8dfPnd7XOM04pE6L2EL/view?usp=sharing</t>
  </si>
  <si>
    <t>Judul PkM</t>
  </si>
  <si>
    <t>Pemberdayaan Kelompok Wanita Tani "UMBUL MAKMUR" Sebagai Upaya Menumbuhkan Motivasi Berwirausaha</t>
  </si>
  <si>
    <t xml:space="preserve">Dr. Ir. Harry Budiharjo Sulistyarso, MT. </t>
  </si>
  <si>
    <t>Harvi A. Prasetyo</t>
  </si>
  <si>
    <t>PEMBERDAYAAN KELOMPOK PENGRAJIN MEBEL KAYU GUNA MENINGKATKAN PENDAPATAN USAHA KELOMPOK USAHA BERSAMA “ SIDO MAKMUR “</t>
  </si>
  <si>
    <t>Hanqenina Damayanti dan Riska I. Octavian</t>
  </si>
  <si>
    <t>https://drive.google.com/file/d/1V63DrbbW-gVuX_p40oiJz0AtMGk5dtIz/view?usp=sharing</t>
  </si>
  <si>
    <t>Diversifikasi Produk, Product Branding dan Optimalisasi Pemasaran Guna Meningkatkan Pendapatan Usaha Kelompok Usaha Bersama “ SOPONYONO ”</t>
  </si>
  <si>
    <t>Narasumber dalam Studi dan Analisa Keekonomian Longterm Pembangkit Listrik Panas Bumi WKP Jailolo Halmahera</t>
  </si>
  <si>
    <t>Bambang Bintarto</t>
  </si>
  <si>
    <t>Arib Hanandra Tsani</t>
  </si>
  <si>
    <t>Pengujian Sampel Air Konsumsi untuk Unsur pH, TDS dan TSS di Sekitaran Dusun Cupuwatu, Purwomartani, Kalasan, Sleman.</t>
  </si>
  <si>
    <t>Ratana Widyaningsih, S.T., M.Eng.</t>
  </si>
  <si>
    <t>Ristyan Ragil P., S.T., M.T.</t>
  </si>
  <si>
    <t>Memberi kursus perangkat lunak Oil Field Manager</t>
  </si>
  <si>
    <t>Edgie Yuda Kaesti</t>
  </si>
  <si>
    <t>Pembicara pada Kursus Pengolahan Data Lapangan (PDL) di Universitas Proklamasi 45</t>
  </si>
  <si>
    <t>https://drive.google.com/file/d/1dWZn8V4QN9EiM4gjR3I7cQUGMxtFTMlr/view?usp=sharing</t>
  </si>
  <si>
    <t>PENGUATAN EKSISTENSI USAHA BAGI PENINGKATAN KESEJAHTERAAN ANGGOTA KELOMPOK USAHA BERSAMA MAJU LANCAR DESA PENGKOL, KECAMATAN NGLIPAR KABUPATEN GUNUNG KIDUL</t>
  </si>
  <si>
    <t>Indah Widiyaningsih</t>
  </si>
  <si>
    <t>Annisa S. Maylabita, Hanqenina Damayanti dan Harvi A. Prasetyo</t>
  </si>
  <si>
    <t>https://drive.google.com/file/d/1pQhULjp2BKh7zytCLDuNKavXaqKm8wkY/view?usp=sharing</t>
  </si>
  <si>
    <t>Penguji CAPSTONE Design ITB</t>
  </si>
  <si>
    <t>Mia Ferian Helmy</t>
  </si>
  <si>
    <t>Bima Erdy P.</t>
  </si>
  <si>
    <t>https://drive.google.com/file/d/11hEOliRLUxZNnw-Xg17y69Im4d3y2IK2/view?usp=sharing</t>
  </si>
  <si>
    <t>Standar Operasional Prosedur (SOP) Taman Bacaan Masyarakat Karangmojo</t>
  </si>
  <si>
    <t>Ristiyan Ragil Putradianto. S.T., M.T.</t>
  </si>
  <si>
    <t>Intan Zuhaira dan Dewi N. Khasanah</t>
  </si>
  <si>
    <t>https://drive.google.com/file/d/1U0RPt9Svd3Bter7Dfn1ZdNmQmLc9pLkF/view?usp=sharing</t>
  </si>
  <si>
    <t>Nadia I. Maharani dan Nur F. Nawing</t>
  </si>
  <si>
    <t>https://drive.google.com/file/d/1blrkP-fHmK4Dx9oYIGyJEKnxBEMG_mkA/view?usp=sharing</t>
  </si>
  <si>
    <t>Pemanfaatan Oil Based Mud (OBM) Berbahan Dasar Crude Coconut Oil (CCO) Untuk Mengatasi Differential Pipe Sticking Pada Proses Pemboran Yang Menembus Formasi Shale</t>
  </si>
  <si>
    <t>https://drive.google.com/file/d/13Wmrb0XQOfnL60I-ePiQqp8htEmcY8WM/view?usp=sharing</t>
  </si>
  <si>
    <t>PKM Kelompok Ternak Berbasis Biogas Sebagai Alternatif Energi Ramah Lingkungan Untuk Upaya Pemberdayaan Masyarakat Desa Sumberarum D.I. Yogyakarta</t>
  </si>
  <si>
    <t>https://drive.google.com/file/d/1gxKx-arSviphlKY7xWDvYifYe-1Pmmn_/view?usp=sharing</t>
  </si>
  <si>
    <t>Peningkatan Kapasitas Produksi dan Pendapatan Kelompok Pengrajin Mebel Kayu Kelompok Usaha Bersama "Sido Makmur"</t>
  </si>
  <si>
    <t>Hanqenina Damayanti dan Annisa S. Maylabita</t>
  </si>
  <si>
    <t>https://drive.google.com/file/d/1sTBgFWwq_LHxbhxse474ThT_ekcrBfwh/view?usp=sharing</t>
  </si>
  <si>
    <t>Pengelola Pusat Pengembangan Studi Minyak dan Gas Bumi</t>
  </si>
  <si>
    <t>Boni Swadesi</t>
  </si>
  <si>
    <t>https://drive.google.com/file/d/1gSRAJ7nJe9W1e4aheI_jTIEh918NYhvS/view?usp=sharing</t>
  </si>
  <si>
    <t>Pembicara Studi "Chemical Enhanced Oil Recovery EOR from Laboratory to Implementation"</t>
  </si>
  <si>
    <t>https://drive.google.com/file/d/1kBJeK0jf9b2IgI5Mqme8qzGHX48OMuv5/view?usp=sharing</t>
  </si>
  <si>
    <t>Feasibility Study - Geologi Produksi - Program lndeks Profesional Aparatur Sipil Negara Kementrian Energi dan Sumber Daya Mineral</t>
  </si>
  <si>
    <t>Feasibility Study - Reservoir Data Validation - Program lndeks Profesional Aparatur Sipil Negara Kementrian Energi dan Sumber Daya Mineral</t>
  </si>
  <si>
    <t>Feasibility Study - Reserve Estimation - Program lndeks Profesional Aparatur Sipil Negara Kementrian Energi dan Sumber Daya Mineral</t>
  </si>
  <si>
    <t>Feasibility Study - Optimasi Produksi dan Surface Facility - Program lndeks Profesional Aparatur Sipil Negara Kementrian Energi dan Sumber Daya Mineral</t>
  </si>
  <si>
    <t>Feasibility Study - Abandonment Site and Restoration - Program lndeks Profesional Aparatur Sipil Negara Kementrian Energi dan Sumber Daya Mineral</t>
  </si>
  <si>
    <t>Allen Haryanto L.</t>
  </si>
  <si>
    <t>Feasibility Study - Keekonomian Migas - Program lndeks Profesional Aparatur Sipil Negara Kementrian Energi dan Sumber Daya Mineral</t>
  </si>
  <si>
    <t>Dewi Asmorowati</t>
  </si>
  <si>
    <t>Gama Ahmad Z.</t>
  </si>
  <si>
    <t>PENINGKATAN KAPASITAS USAHA KELOMPOK WANITA TANI “ UMBUL MAKMUR ” MELALUI OPTIMALISASI SISTEM PEMASARAN MENUJU TERWUJUDNYA KEMANDIRIAN EKONOMI WARGA</t>
  </si>
  <si>
    <t>Harry Budiharjo Sulistyarso</t>
  </si>
  <si>
    <t>https://drive.google.com/file/d/13ojHJ0i-Kb4n9EcuNjXnM880xZ93Bcz_/view?usp=sharing</t>
  </si>
  <si>
    <t>Wirausaha Agribisnis</t>
  </si>
  <si>
    <t>https://drive.google.com/file/d/1PV2spWhZ7MZA1gCZdorPm5RtDcMTydpI/view?usp=sharing</t>
  </si>
  <si>
    <t>PKM Kelompok Usaha Bersama " SOPONYONO " Desa Sumberharjo : Penguatan Eksistensi Usaha Melalui Edukasi Pemasaran Online , Penerapan Teknologi dan Manajemen Keuangan</t>
  </si>
  <si>
    <t>Paskalis Louis</t>
  </si>
  <si>
    <t>Reviu Eksternal Soal Baru Seleksi PPG Daljab 2022</t>
  </si>
  <si>
    <t>https://drive.google.com/file/d/1XTEAHY5xCQDijpjpGzq5Zk5CGq22799S/view?usp=sharing</t>
  </si>
  <si>
    <t>Sosialisasi Teknologi Pengelolaan Limbah Kotoran Hewan Menjadi Biogas dan Pupuk Organik sebagai Upaya Pemberdayaan Masyarakat Dusun Semuten, Desa Jatimulyo, Bantul, DIY</t>
  </si>
  <si>
    <t>P. Subiatmono</t>
  </si>
  <si>
    <t>https://drive.google.com/file/d/1Jm4VgXm_f_XErL9DgkiL-Flpr5wgy768/view?usp=sharing</t>
  </si>
  <si>
    <t>Suranto</t>
  </si>
  <si>
    <t>Muhammad Hamdan Zulfa</t>
  </si>
  <si>
    <t>Studi Simulasi Reservoir Chemical EOR Fullscale Lapangan Tanjung Zona A, B, C, dan D</t>
  </si>
  <si>
    <t>Dedy Kristanto</t>
  </si>
  <si>
    <t>Naura Luthfia Annafi</t>
  </si>
  <si>
    <t>Analisis X-Ray Diffraction (XRD) Sampel Cutting Sumur East Mandala-001</t>
  </si>
  <si>
    <t>Dr. Ir. Aris Buntoro, MT</t>
  </si>
  <si>
    <t>Allen Haryanto L., S.T., M.T.</t>
  </si>
  <si>
    <t>Ichsan Farandi Dananjaya, M. Faritsi Luqman dan Jumrianitha Vilastri</t>
  </si>
  <si>
    <t>https://drive.google.com/file/d/17Xiltokc2aZ-KmJ5YlhqRnNHHEyhu1Yj/view?usp=sharing</t>
  </si>
  <si>
    <t>Jasa Analisa XRD Sumur CMA-001</t>
  </si>
  <si>
    <t>Moulana Ichsan</t>
  </si>
  <si>
    <t>Non Subsurface Study (Pre-Feed) of Belato POD</t>
  </si>
  <si>
    <t>Ir. Joko pamungkas, MT</t>
  </si>
  <si>
    <t>https://drive.google.com/file/d/134VbKjzFkYmjl4nar2ziWIWi63pSeZqw/view?usp=sharing</t>
  </si>
  <si>
    <t>Studi Penyusunan Plan Of Develompent (POD) Lapangan ENC, South East Madura Block, East Java</t>
  </si>
  <si>
    <t>https://drive.google.com/file/d/1ub-gvAtWu99J1MNZcECZKjL9t4rB-gvH/view?usp=sharing</t>
  </si>
  <si>
    <t>GGR Study of Tampi Field For Optimization Development</t>
  </si>
  <si>
    <t>Pengembangan Perangkat Lunak yang Mengintegrasi Mineralogi, Prediksi Tekanan Abnormal dan Model 3D Geomekanik untuk Meningkatkan Efisiensi Pemboran</t>
  </si>
  <si>
    <t>Didin Muhidin, Ichsan Farandi D. dan Faritsi Luqman</t>
  </si>
  <si>
    <t>https://drive.google.com/file/d/1HsBBikLZJ-kskEmo2xKPyNFueUFz-8Ww/view?usp=sharing</t>
  </si>
  <si>
    <t>Study Update Static dan Dynamic Model Blok Rokan (Lapangan : Bangko, Kotabatak, Bekasap, Sikladi)</t>
  </si>
  <si>
    <t>Sahat Glenten Martua</t>
  </si>
  <si>
    <t>Kajian Artificial Lift di PT Pertamina EP Asset 4 Field Sukowati</t>
  </si>
  <si>
    <t>Analisa XRD untuk 75 kantong sampel cutting dari sumur ASB Aset 5 Sangatta Tanjung PT. Pertamina EP</t>
  </si>
  <si>
    <t>Muhammad Farhan Alif</t>
  </si>
  <si>
    <t>Hasyim Alie</t>
  </si>
  <si>
    <t>Muhammad Ilhan Abda'i</t>
  </si>
  <si>
    <t>Studi Update Static dan Dynamic Model Lapangan Petapahan &amp; Hitam Blok Rokan</t>
  </si>
  <si>
    <t>https://drive.google.com/file/d/1VSurW9MX5S2fEZMEjMyF-shZSKSE0XGl/view?usp=sharing</t>
  </si>
  <si>
    <t>Studi Inovasi Penggunaan Machine Learning dalam Penerapan Cementing untuk Mengatasi Loss Circulation pada Pemboran Sumur Minyak dan Gas Bumi</t>
  </si>
  <si>
    <t>Ichsan Farandi dan Faritsi Luqman A.</t>
  </si>
  <si>
    <t>https://drive.google.com/file/d/1uYUsVBIMeqtYiyTPP-RFW25tq-FljZ4S/view?usp=sharing</t>
  </si>
  <si>
    <t>Studi Interaktif Dashboard Mineralogi Batuan dan Geomechanics Wellbore Stability</t>
  </si>
  <si>
    <t>https://drive.google.com/file/d/16xHgxW4WpjB09QCeYXTzWkgyrBdkRMQ0/view?usp=sharing</t>
  </si>
  <si>
    <t>Uji Validasi dan Pengembangan User Interface Perangkat Lunak Yang Mengintegrasi Mineralogi, Prediksi Tekanan Abnormal dan Model 3D Pore Pressure, Fracture Gradient,  Shear Failure Gradient Untuk Meningkatkan Efisiensi Pemboran (Model OCLC 02)</t>
  </si>
  <si>
    <t>https://drive.google.com/file/d/1RzfsfHtu5ef2DIo9Ib6-AC2NvUAQM1xi/view?usp=sharing</t>
  </si>
  <si>
    <t>STUDI OPTIMASI PENGEMBANGAN LAPANGAN (OPL) LAPANGAN DORAL - DORAL NORTH BOB PT. BUMI SIAK PUSAKO - PERTAMINA HULU</t>
  </si>
  <si>
    <t>Dr. Ir. Dedy Kristanto, M.T., IPM</t>
  </si>
  <si>
    <t>Dr. Ir. Jatmika Setiawan, M.T.</t>
  </si>
  <si>
    <t>Dr. Y. Deddy. Hermawan, S.T., M.T.</t>
  </si>
  <si>
    <t>Hasyim Alie dan Moulana Ichsan</t>
  </si>
  <si>
    <t>https://drive.google.com/file/d/1h0RSYIRcUCuUvCNeMm2AOiH0wbgwSkTM/view?usp=sharing</t>
  </si>
  <si>
    <t>Pemateri dengan Judul "Pengenalan Petroleum System" dalam acara Pendidikan Sistem Ganda SMK 1 Sorong - Program Studi Sarjana Teknik Perminyakan UPN "Veteran" Yogyakarta</t>
  </si>
  <si>
    <t>M. Faijih</t>
  </si>
  <si>
    <t>Pemateri dengan Judul "Pengenalan Reservoir Fluid Properties" dalam acara Pendidikan Sistem Ganda SMK 1 Sorong - Program Studi Sarjana Teknik Perminyakan UPN "Veteran" Yogyakarta</t>
  </si>
  <si>
    <t>M.Th. Kristiati, S.T., M.T.</t>
  </si>
  <si>
    <t>https://drive.google.com/file/d/1pvx1VxQZJId_le0TFYAHXb44TaFWAaVz/view?usp=sharing</t>
  </si>
  <si>
    <t>Pemateri dengan Judul "Pengantar Teknik Perminyakan" dalam acara Pendidikan Sistem Ganda SMK 1 Sorong - Program Studi Sarjana Teknik Perminyakan UPN "Veteran" Yogyakarta</t>
  </si>
  <si>
    <t>https://drive.google.com/file/d/1joZYlZtdH9_FMjRY-Y6dS4tHv430MRze/view?usp=sharing</t>
  </si>
  <si>
    <t>Pemateri dengan Judul "Pengenalan Uji Sumur" dalam acara Pendidikan Sistem Ganda SMK 1 Sorong - Program Studi Sarjana Teknik Perminyakan UPN "Veteran" Yogyakarta</t>
  </si>
  <si>
    <t>Nabila Hasna Afif</t>
  </si>
  <si>
    <t>Pemateri dengan Judul "Pengenalan Peralatan Produksi di Permukaan" dalam acara Pendidikan Sistem Ganda SMK 1 Sorong - Program Studi Sarjana Teknik Perminyakan UPN "Veteran" Yogyakarta</t>
  </si>
  <si>
    <t>https://drive.google.com/file/d/1NGfIZ-SL7BoORvioT_pylq7hItGpZ7K7/view?usp=sharing</t>
  </si>
  <si>
    <t>Pemateri dengan Judul "Pengenalan Teknik Panasbumi" dalam acara Pendidikan Sistem Ganda SMK 1 Sorong - Program Studi Sarjana Teknik Perminyakan UPN "Veteran" Yogyakarta</t>
  </si>
  <si>
    <t>https://drive.google.com/file/d/157g6FgM-LZO59H7KZvgEYO3Ebq0fo4Br/view?usp=sharing</t>
  </si>
  <si>
    <t>Pemateri dengan Judul "Pengenalan Teknik Reservoir" dalam acara Pendidikan Sistem Ganda SMK 1 Sorong - Program Studi Sarjana Teknik Perminyakan UPN "Veteran" Yogyakarta</t>
  </si>
  <si>
    <t>https://drive.google.com/file/d/1M6WEXqLZFfs6xb6Ln55zITYinWEeLMax/view?usp=sharing</t>
  </si>
  <si>
    <t>Pemateri dengan Judul "Pengenalan Teknik Produksi" dalam acara Pendidikan Sistem Ganda SMK 1 Sorong - Program Studi Sarjana Teknik Perminyakan UPN "Veteran" Yogyakarta</t>
  </si>
  <si>
    <t>https://drive.google.com/file/d/1MvGXtDCnSWwSVk11LzahjodvAsnzsRQx/view?usp=sharing</t>
  </si>
  <si>
    <t>Pemateri dengan Judul "Pengenalan Reservoir Components" dalam acara Pendidikan Sistem Ganda SMK 1 Sorong - Program Studi Sarjana Teknik Perminyakan UPN "Veteran" Yogyakarta</t>
  </si>
  <si>
    <t>Allen Haryanto, S.T., M.T.</t>
  </si>
  <si>
    <t>https://drive.google.com/file/d/1hDu9Pr3e28fk77MKAnz4FwaEfiD64rtr/view?usp=sharing</t>
  </si>
  <si>
    <t>Pemateri dengan Judul "Pengenalan Praktikum Peralatan Produksi" dalam acara Pendidikan Sistem Ganda SMK 1 Sorong - Program Studi Sarjana Teknik Perminyakan UPN "Veteran" Yogyakarta</t>
  </si>
  <si>
    <t>https://drive.google.com/file/d/1dIhZANZ-HYDvSkurl27MWh11NtvjpM6L/view?usp=sharing</t>
  </si>
  <si>
    <t>Instruktur Kursus "Mud School PT Sumber Data Persada"</t>
  </si>
  <si>
    <t>Dr. Kharisma Idea, S.T., M.T.</t>
  </si>
  <si>
    <t>Instruktur Kursus "Mud School Batch 3 - PT Madani Alam Lestari"</t>
  </si>
  <si>
    <t>Isaac Aaron Zefanya Ola</t>
  </si>
  <si>
    <t>Instruktur Kursus "Mud School Batch 4 - PT Madani Alam Lestari"</t>
  </si>
  <si>
    <t>https://drive.google.com/file/d/1IlDpRU7IlSL9h_sy-VFXD6jKMF3QNkB1/view?usp=sharing</t>
  </si>
  <si>
    <t>Dosen Penguji Sidang Skripsi Eksternal - Institut Teknologi Bandung</t>
  </si>
  <si>
    <t xml:space="preserve">https://drive.google.com/file/d/1NYke5nQKOU0wxHWtbFeKDpMY7ZUMN5ki/view?usp=sharing </t>
  </si>
  <si>
    <t>Studi Optimasi POD I Lapangan Asap, Kido, Merah &amp; Studi Lokasi Alternatif Kilang Petrokimia di Luar Daerah Onar</t>
  </si>
  <si>
    <t>William Arthur S.</t>
  </si>
  <si>
    <t>Muhammad Rusli Alwies</t>
  </si>
  <si>
    <t>Nasional</t>
  </si>
  <si>
    <t>Dr. Aris Buntoro, MT</t>
  </si>
  <si>
    <t>https://drive.google.com/file/d/1sGsg-7lswrlfftDGX-7_XBUPaBXKWmlj/view?usp=sharing</t>
  </si>
  <si>
    <t xml:space="preserve">Narasumber Lemigas </t>
  </si>
  <si>
    <t>https://drive.google.com/file/d/1PMBd5o_yjb3-MPXZT0Tr1VlUKvC460uH/view?usp=sharing</t>
  </si>
  <si>
    <t>SISTEM INFORMASI MANAJEMEN PEMELIHARAAN TERNAK SAPI PADA KELOMPOK PETERNAK SAPI DESA KATEKAN, GANTIWARNO,  KLATEN</t>
  </si>
  <si>
    <t>Indah Wdiyaningsih</t>
  </si>
  <si>
    <t>https://drive.google.com/file/d/1AGTsnZFZEgeqQmcq-fJEwei4pX7ghHOE/view?usp=sharing</t>
  </si>
  <si>
    <t xml:space="preserve">APLIKASI INTERNET MARKETING  dan  PRODUCT BRANDING PADA INDUSTRI  KERIPIK SINGKONG DAN PISANG    KELOMPOK USAHA BERSAMA  “ MAJU LANCAR ”   DESA PENGKOL, KECAMATAN NGLIPAR, KABUPATEN GUNUNGKIDUL </t>
  </si>
  <si>
    <t>https://drive.google.com/file/d/1ZlXv5b7so8qCHlLbD2uq3pM8aeu2sO0z/view?usp=sharing</t>
  </si>
  <si>
    <t>Reviu Eksternal Soal Uji Pengetahuan - Uji Kompetensi Mahasiswa Pendidikan Profesi Guru (UP-UKMPPG) Tahun 2022</t>
  </si>
  <si>
    <t>https://drive.google.com/file/d/1G2SpSAHhoruJTDFk-6NLAEIZ87pSnO0Z/view?usp=sharing</t>
  </si>
  <si>
    <t>M. Zakiy Yusrizal</t>
  </si>
  <si>
    <t>https://drive.google.com/file/d/10cqCrd3WHRKCIHNdJM8XD13E_d2D8QYL/view?usp=sharing</t>
  </si>
  <si>
    <t>Judul Publikasi</t>
  </si>
  <si>
    <t>Jenis Publisher (Jurnal/Seminar/Media Massa)</t>
  </si>
  <si>
    <t>Nama Publisher</t>
  </si>
  <si>
    <t>Akreditasi/Indeks Publisher</t>
  </si>
  <si>
    <t>Kategori</t>
  </si>
  <si>
    <t>Nama Dosen Penulis I</t>
  </si>
  <si>
    <t>Nama Dosen Penulis II</t>
  </si>
  <si>
    <t>Nama Dosen Penulis III</t>
  </si>
  <si>
    <t>Tahun Publiksi</t>
  </si>
  <si>
    <t>PREDICTION OF ”RATE OF PENETRATION” (ROP) ON DRILLING FORMATION ”X” PROGNOSIS WELL ”YN2” BASED ON THE REPRESENTATIVE MODELLING FROM DRILLING FORMATION ”X’’ ACTUAL WELL ’’YN1’’ FIELD ’’IP’’</t>
  </si>
  <si>
    <t>Jurnal</t>
  </si>
  <si>
    <t>Journal Techno -  LPPM UPN "Veteran" Yogyakarta</t>
  </si>
  <si>
    <t>NA1</t>
  </si>
  <si>
    <t>Inrianto Pratomo</t>
  </si>
  <si>
    <t>https://drive.google.com/file/d/1LEajj80tzhAX9EzgAR1V1VsOXsAb6ZeX/view?usp=sharing</t>
  </si>
  <si>
    <t>OIL RESERVES ANALYSIS IN BATANG FIELD WITH MATERIAL BALANCE METHOD FOR PRESSURE MAINTENANCE</t>
  </si>
  <si>
    <t>https://drive.google.com/file/d/1_0RcANMfS76OXyAP66fGN5bJT6swY1XO/view?usp=sharing</t>
  </si>
  <si>
    <t>THE MOST SHALLOW OIL TRAP IN THE WORLD OF WONOCOLO ANTICLINE AS A BEAUTIFUL EDUCATION OBJECT</t>
  </si>
  <si>
    <t>Jatmika Setiawan</t>
  </si>
  <si>
    <t>dedy Kris</t>
  </si>
  <si>
    <t>hariyadi</t>
  </si>
  <si>
    <t>https://drive.google.com/file/d/11cKCiEueQeiOOQMMPMkB2jHFguCbbyA3/view?usp=sharing</t>
  </si>
  <si>
    <t>TECHNICAL AND ECONOMICAL EVALUATION FOR ELECTRICAL SUBMERCIBLE PUMP OPTIMAZATION USING VARIETY OF STAGES AND FREQUENCIES AT THE “INTB-12” WELL IN THE WIDURI FIELD</t>
  </si>
  <si>
    <t>Dyah Rini R.</t>
  </si>
  <si>
    <t>https://drive.google.com/file/d/16aME9wg6VZ_s9PDYKzAy2wfCj3Ic4YhG/view?usp=sharing</t>
  </si>
  <si>
    <t>GAMBUT, BATUBARA DAN BATUAN SEDIMEN ORGANIK</t>
  </si>
  <si>
    <t>LPPM UPN" Veteran" Yogyakarta</t>
  </si>
  <si>
    <t>Eko Widi P.</t>
  </si>
  <si>
    <t>https://drive.google.com/file/d/18gVtJ0yRIk9ILCJ55YuM6xe9V9-dbqJd/view?usp=sharing</t>
  </si>
  <si>
    <t>Polymer Injection Modeling in a Solution Gas Drive-Naturally Fractured Reservoir</t>
  </si>
  <si>
    <t>Mia Ferian H.</t>
  </si>
  <si>
    <t>Edgie Yuda K.</t>
  </si>
  <si>
    <t>Atma Budi Arta</t>
  </si>
  <si>
    <t>https://drive.google.com/file/d/1xfR2h_2Ab3C4YAWhWhTtAe7h7jiBCHfH/view?usp=sharing</t>
  </si>
  <si>
    <t>MEMFASILITASI MINAT BACA MASYARAKAT MELALUI PERPUSTAKAAN FISIK DAN DIGITAL DUSUN KARANGMOJO</t>
  </si>
  <si>
    <t>Journal Dharma -  LPPM UPN "Veteran" Yogyakarta</t>
  </si>
  <si>
    <t>Ratna Widyaningsih</t>
  </si>
  <si>
    <t>Ristiyan Ragil</t>
  </si>
  <si>
    <t>https://drive.google.com/file/d/1TokoRE8pkFNsRaThXsrRo-DSzxzp31GW/view?usp=sharing</t>
  </si>
  <si>
    <t>Perhitungan dan Analisa Petrofisik Lapangan Betung, Formasi Air Benakat, Sub-Cekungan Jambi-Cekungan Sumatera Selatan</t>
  </si>
  <si>
    <t>Jurnal Sumberdaya Bumi Berkelanjutan (SEMITAN)</t>
  </si>
  <si>
    <t>Aris Buntoro</t>
  </si>
  <si>
    <t>https://drive.google.com/file/d/1cv8ai9A1ptoUNW5wq_XU1FlITalEF3GE/view?usp=sharing</t>
  </si>
  <si>
    <t>RCP GAS FIELD DEVELOPMENT PLAN TO FULLFILL GAS SALES AGREEMENT PLAN</t>
  </si>
  <si>
    <t>Herianto</t>
  </si>
  <si>
    <t>https://drive.google.com/file/d/1OCQILugMEP9qU5AcR1DcGfuAaqyWvr_J/view?usp=sharing</t>
  </si>
  <si>
    <t>PEMANFAATAN LAHAN PEKARANGAN UNTUK PERTANIAN ORGANIK DI BANTUL, YOGYAKARTA</t>
  </si>
  <si>
    <t>https://drive.google.com/file/d/1nhN8AX7g67IiAMn1BUeEuJST1l2aAzcg/view?usp=sharing</t>
  </si>
  <si>
    <t>Integrated Of Geomechanics Wellbore Stability &amp; Sweet Zone Analysis To Unconventional Well Drilling Optimization</t>
  </si>
  <si>
    <t>PETRO: Jurnal Ilmiah Teknik Perminyakan - Universitas Trisakti</t>
  </si>
  <si>
    <t>SINTA 5</t>
  </si>
  <si>
    <t>NA2</t>
  </si>
  <si>
    <t>Allen Haryanto</t>
  </si>
  <si>
    <t>https://drive.google.com/file/d/1UjFGr_-dZCwngVjXvm3o1cxMeEFryBXl/view?usp=sharing</t>
  </si>
  <si>
    <t>Application of Fracture Barrier Analysis in Well Stimulation Planning for Upper Baturaja Limestone Formation Based on Well Log &amp; Drill Cutting Data from OBF-01 and OBF-04 Wells, Offshore Southeast Sumatra</t>
  </si>
  <si>
    <t>Journal of Petroleum and Geothermal Technology (JPGT) - PSTM UPN "Veteran" Yogyakarta</t>
  </si>
  <si>
    <t>SINTA 4</t>
  </si>
  <si>
    <t>Allen Haryanyo</t>
  </si>
  <si>
    <t>https://drive.google.com/file/d/1nHh7c0snkdwRld6FeSzQ6eQoxK_YKvKu/view?usp=sharing</t>
  </si>
  <si>
    <t>Production Data Analysis and Sonolog for Determining Artificial Lift Design and Well Characteristic</t>
  </si>
  <si>
    <t>Riza Andhika M., Afif Surya P., dan Rafli Arie K.</t>
  </si>
  <si>
    <t>https://drive.google.com/file/d/1PIpfai96OFB7clWZ8CM5f_4s1o6UTqOs/view?usp=sharing</t>
  </si>
  <si>
    <t>Optimization Study of Integrated Scenarios on Cyclic Steam Stimulation (CSS) Using CMG STARS Simulator</t>
  </si>
  <si>
    <t>https://drive.google.com/file/d/1oGEmgN2090mJ859REkGV2J6XFjwmf6Vs/view?usp=sharing</t>
  </si>
  <si>
    <t>PERBANDINGAN POTENSI GUNUNG KENDENG DAN GUNUNG PATUHA BERDASARKAN STUDI VULKANOSTRATIGRAFI</t>
  </si>
  <si>
    <t>Bulletin of Scientific Contribution: GEOLOGY - Universitas Padjajaran</t>
  </si>
  <si>
    <t>Damar Nandiwardhana</t>
  </si>
  <si>
    <t>https://drive.google.com/file/d/1-hK6-V-5n7l7alTn3QpW2Qvno0GUKEqh/view?usp=sharing</t>
  </si>
  <si>
    <t>Identification of The Presence of Water in The Production Fluid Distribution Process in the Offshore Oil Field</t>
  </si>
  <si>
    <t>Journal Eksergi - LPPM UPN "Veteran" Yogyakarta</t>
  </si>
  <si>
    <t>Hariyadi</t>
  </si>
  <si>
    <t>Y. Deddy Hermawan</t>
  </si>
  <si>
    <t>https://drive.google.com/file/d/1jyPsnkyhZyS-fBFG7VyxWDHeOKXNKnvS/view?usp=sharing</t>
  </si>
  <si>
    <t>Simulation Study of Fluid Flow and Estimation of a Heterogeneous Porous Media Properties Using Lattice Gas Automata Method</t>
  </si>
  <si>
    <t>Windyanesha Paradhita</t>
  </si>
  <si>
    <t>https://drive.google.com/file/d/1xUFy1HTh-UR6Q1lBchfUQD1nG5xWR0eD/view?usp=sharing</t>
  </si>
  <si>
    <t>Identifikasi Keberadaan Air pada Proses Penyaluran Fluida Produksi di Lapangan Minyak Lepas Pantai</t>
  </si>
  <si>
    <t>https://drive.google.com/file/d/1mWGhuMZT2ag9iC2mpIuzn0y6hMKjJYIQ/view?usp=sharing</t>
  </si>
  <si>
    <t>Analysis of the Difference between Hydraulic Fracturing and Flow Channel Fracturing</t>
  </si>
  <si>
    <t xml:space="preserve">Mia Ferian </t>
  </si>
  <si>
    <t>Maulida Aulia F. dan Anisa Novia R.</t>
  </si>
  <si>
    <t>https://drive.google.com/file/d/1_2IRri-CUVniRftwZ6JKpG-QorYL2gv7/view?usp=sharing</t>
  </si>
  <si>
    <t>The Application of Diagnostic Plots to Evaluate Water Flooding</t>
  </si>
  <si>
    <t>M. Zamzam Istimaqom dan Atma Budi Arta</t>
  </si>
  <si>
    <t>https://drive.google.com/file/d/1qRo4eMxJTyvb196RscmT-gUZl6lKShr8/view?usp=sharing</t>
  </si>
  <si>
    <t>DIAMETER OPTIMIZATION IN MULTIPHASE PIPELINE NETWORK</t>
  </si>
  <si>
    <t>https://drive.google.com/file/d/1hopQdw-x9IWRdZBe2Vnu14Ajp2sl8gl1/view?usp=sharing</t>
  </si>
  <si>
    <t>Squeeze Cementing Using Braden Head Squeeze Method On ‘Dsr-29’ Well Tarakan Field PT. Medco E&amp;P Indonesia</t>
  </si>
  <si>
    <t>Dafa Surya R.</t>
  </si>
  <si>
    <t>https://drive.google.com/file/d/10VxgzYDTgRO12qaIOi2V0d5dEID8ADdW/view?usp=sharing</t>
  </si>
  <si>
    <t>Validation of the Cullender and Smith Method for Determining Pressure Loss in the Tubing of Gas Wells</t>
  </si>
  <si>
    <t>Anas Puji S.</t>
  </si>
  <si>
    <t>https://drive.google.com/file/d/1HTWHiJD1WY9SBFA6BXbLA5ck9EBjc2Y5/view?usp=sharing</t>
  </si>
  <si>
    <t>Analisis Daerah Potensi Panas bumi Songa-Wayaua, Bacan, Maluku Utara Berdasarkan Data Geologi dan Geokimia</t>
  </si>
  <si>
    <t>https://drive.google.com/file/d/1CIIrsU0ChG-Vj12XRWxvL8WULHKMkhVe/view?usp=sharing</t>
  </si>
  <si>
    <t>Evaluation and Optimization Production Of Low Permeability Carbonate Reservoir By Hydraulic Fracturing In “Jaso Field”</t>
  </si>
  <si>
    <t>https://drive.google.com/file/d/12DSJ_zbIPgIEsyZw1TDV3Jxy0MPluTP-/view?usp=sharing</t>
  </si>
  <si>
    <t>Evaluation and Optimization of Bypassed Oil in Carbonate Reservoir at Mature Field with Integration of Saturation Log and Cement Bond Quality</t>
  </si>
  <si>
    <t>https://drive.google.com/file/d/1dsKskePHhIqnpfK_gc6Ch7gcfTo4__pG/view?usp=sharing</t>
  </si>
  <si>
    <t>Optimization of Cyclic Steam Stimulation Process Using Response Surface Methodology</t>
  </si>
  <si>
    <t>Anisa Novia Risky</t>
  </si>
  <si>
    <t>https://drive.google.com/file/d/112tGMwg2aAG0gIw1-NKrj0TM6kx9ajUH/view?usp=sharing</t>
  </si>
  <si>
    <t>Uji Laboratorium Efektivitas Biosurfaktan “U-Champ” dalam Bioremediasi Oil Spill</t>
  </si>
  <si>
    <t>Jurnal Mineral, Energi, dan Lingkungan (JMEL) - FTM UPN "Veteran" Yogyakarta</t>
  </si>
  <si>
    <t>Harry Budiharjo</t>
  </si>
  <si>
    <t>Joko Pamungkas</t>
  </si>
  <si>
    <t>https://drive.google.com/file/d/125wqpTVsXuIrc5nxBrqtTlFcn7P-Pepn/view?usp=sharing</t>
  </si>
  <si>
    <t>RESERVOIR PERFORMANCE ANALYSIS USING MATERIAL BALANCE METHOD IN GAS FIELD</t>
  </si>
  <si>
    <t>Suwardi</t>
  </si>
  <si>
    <t>Riska Fitri Nurul K.</t>
  </si>
  <si>
    <t>https://drive.google.com/file/d/1fBqrSiVMf9mp6lDRaC36Op6-jBY2vW5i/view?usp=sharing</t>
  </si>
  <si>
    <t>Gas Injection Optimization to Increase Oil Production at MRA PT. PHE ONWJ</t>
  </si>
  <si>
    <t>https://drive.google.com/file/d/14vF2WasPwiT5cxboWJpBTXanGqdvU-Jf/view?usp=sharing</t>
  </si>
  <si>
    <t>Utilization of Crude Oil as an Alternative Oil Base Mud Drilling Operation by “VICOIL” Standard Drilling Simulation Rig in MGTM Well UPN “Veteran” Yogyakarta Education Park Mineral Geotechnology Museum Field</t>
  </si>
  <si>
    <t>Scientific Contribution Oil and Gas: Research and Development Center for Technology Oil and Gas Lemigas</t>
  </si>
  <si>
    <t>SINTA 1</t>
  </si>
  <si>
    <t>Yuan C. Guntoro</t>
  </si>
  <si>
    <t>https://drive.google.com/file/d/1PDhr7uzf7E_PoKwRRewHYyMcdLshT14H/view?usp=sharing</t>
  </si>
  <si>
    <t>Analisis Karakteristik Reservoar dan Deliverabilitas Gas Untuk Memprediksi Plateau time Produksi Sumur AR-01 pada Cekungan Jawa Timur</t>
  </si>
  <si>
    <t>Avianto Kabul P.</t>
  </si>
  <si>
    <t>Ardin Eka Y.</t>
  </si>
  <si>
    <t>https://drive.google.com/file/d/1hwP5iqYfHx-ZHO1mCF-4GTLzwvfBCtDg/view?usp=sharing</t>
  </si>
  <si>
    <t>Uncertainty Assessment for Field Development Study Using Monte Carlo Simulation on Salap Field Multilayer Gas Reservoir</t>
  </si>
  <si>
    <t>https://drive.google.com/file/d/19szyqqaBcupucgVRA9EuzJBXSMviJpJn/view?usp=sharing</t>
  </si>
  <si>
    <t>Evaluation of Water Channeling Problems and Planning for Its Improvement Using the Remedial Cementing Method and Its Economics in Well AB-30 Field AB PT. Pertamina EP</t>
  </si>
  <si>
    <t>Dr. Boni Swadesi</t>
  </si>
  <si>
    <t>https://drive.google.com/file/d/1DtuLrlZpnGIXigbXaB4iPCIYLjAqZ0w8/view?usp=sharing</t>
  </si>
  <si>
    <t>Selection &amp; Optimization of Artificial Lift Using Delphi, TOPSIS, and SAW Methods for Natural Flow Oil Wells at HAS Field</t>
  </si>
  <si>
    <t>Dimas Suryo W.</t>
  </si>
  <si>
    <t>https://drive.google.com/file/d/10_ScpUgTzk2QLOszGBTEWBl_mCuxljBI/view?usp=sharing</t>
  </si>
  <si>
    <t>Exergy Pada Surface Facilities Lapangan Panasbumi Hululais</t>
  </si>
  <si>
    <t>M.Th. Kristiati</t>
  </si>
  <si>
    <t>https://drive.google.com/file/d/13ij0kKR6ugQPAYnEuTNaBdkA0PprwUoT/view?usp=sharing</t>
  </si>
  <si>
    <t>Management Of Shallow Gas Kick At Syh-05 Well In West Java Area</t>
  </si>
  <si>
    <t>https://drive.google.com/file/d/15lwjDTfNtAQFUGY1mBQMa075CRQTO1X1/view?usp=sharing</t>
  </si>
  <si>
    <t>Correlation of Sillimanite &amp; Kaliophilite Minerals, TOC, Ro, and MBT from Drill Cutting of Well BS-03 in the Development of Shale Hydrocarbon, Brownshale Formation, Bengkalis Trough, Central Sumatra Basin, Indonesia</t>
  </si>
  <si>
    <t>Open Journal of Yangtze Oil and Gas (OJOGas)</t>
  </si>
  <si>
    <t>NA3</t>
  </si>
  <si>
    <t>https://drive.google.com/file/d/10_G221ER1qDNSFpBkAJbmbVBuPrhzbWN/view?usp=sharing</t>
  </si>
  <si>
    <t>Shale Hydrocabon Development Based on Drill Cuttings &amp; TOC Analysis: Case Study of Brownshale Drill Cuttings of Well BS-03, Pematang Formation, Bengkalis Trough, Central Sumatra Basin</t>
  </si>
  <si>
    <t>C. Prasetyadi</t>
  </si>
  <si>
    <t>https://drive.google.com/file/d/1pr30akaZiwwTdX2vwSrJp-bx0P1lMxzG/view?usp=sharing</t>
  </si>
  <si>
    <t>Production Improvement Efforts by Doing Condensate Trap from Gas Flare on EPF (Early Production Facilities)</t>
  </si>
  <si>
    <t>SCIREA Journal of Energy</t>
  </si>
  <si>
    <t>Theomas A. Jaya dan Michael J. Arinatama</t>
  </si>
  <si>
    <t>https://drive.google.com/file/d/16ptBKIpJZhDw2mmE7SHDUDeXR11KlFIY/view?usp=sharing</t>
  </si>
  <si>
    <t>Determining Reservoir Model Based on Welltest Analysis for Production Forecasting</t>
  </si>
  <si>
    <t>American Journal of Science, Engineering and Technology</t>
  </si>
  <si>
    <t>https://drive.google.com/file/d/1TJaftMIIxSdQ4usGlcRoQFJ56cHlUQfq/view?usp=sharing</t>
  </si>
  <si>
    <t>Core Flooding Experiment to Increase Recovery Factor Using U-Champ" Biosurfactant</t>
  </si>
  <si>
    <t>SCIREA Journal of Physics</t>
  </si>
  <si>
    <t>https://drive.google.com/file/d/1e6WsE5rODeRlXC1gUnBppDStADaeJmsO/view?usp=sharing</t>
  </si>
  <si>
    <t>Experimental Study of Polymer Injection Performance on Oil Recovery Factor Enhancement in Homogeneous and Heterogeneous Porous Media Using Acrylic Micromodel</t>
  </si>
  <si>
    <t>Dedy Kris</t>
  </si>
  <si>
    <t>Sinosa Husenido dan Roiduz Zumar</t>
  </si>
  <si>
    <t>https://drive.google.com/file/d/1MvJe6d9ma7BO-mFhcqVwIujxU4CX7eVb/view?usp=sharing</t>
  </si>
  <si>
    <t>Determination of Location and Production Rate of Infill Well Using Decline Curve Analysis Sectorization Method in Lakat Formation, Central Sumatra Field</t>
  </si>
  <si>
    <t>Journal of Multidisciplinary Engineering Science and Technology (JMEST)</t>
  </si>
  <si>
    <t>M. Noor Fikri</t>
  </si>
  <si>
    <t>https://drive.google.com/file/d/1l8kEUsjcfL1ei0_ynmsO_cfKdq-WChf6/view?usp=sharing</t>
  </si>
  <si>
    <t>Core Flooding Experiment to Increase Recovery Factor Using “U-Champ” Biosurfactant</t>
  </si>
  <si>
    <t>Determining of Water Saturation Using FuzzyLogicMethod in Mirah-1 Well, Central Sumatra Basin of Indonesia</t>
  </si>
  <si>
    <t>Journal of Advanced Research in Fluid Mechanics and Thermal Sciences</t>
  </si>
  <si>
    <t>Q3</t>
  </si>
  <si>
    <t>NA4</t>
  </si>
  <si>
    <t>https://drive.google.com/file/d/1cRV_4im91-7-OQdt6GoJgdN_TY_VMnXp/view?usp=sharing</t>
  </si>
  <si>
    <t>Engineering Design and Feasibility Analysis of Geothermal-heated Swimming Pool in Lembang,West Java</t>
  </si>
  <si>
    <t>Journal of Earth Energy Engineering - Universitas Islam Riau Press</t>
  </si>
  <si>
    <t>DOAJ, Google Scholar, SINTA S3, IPI, and BASE</t>
  </si>
  <si>
    <t>Rizqi Mahfudz P. dan Ria Ayu Rifani</t>
  </si>
  <si>
    <t>https://drive.google.com/file/d/1aLWpIo3zj8ijhw8m-48kcSDYcNHZLMVC/view?usp=sharing</t>
  </si>
  <si>
    <t>Combination of Cyclic Steam Stimulation and Steam Flooding to Improve Oil Recovery in Unconsolidated Sand Heavy Oil Reservoir</t>
  </si>
  <si>
    <t>Lufis A. Alannafi</t>
  </si>
  <si>
    <t>https://drive.google.com/file/d/1Sz_RtPKsUqqDvj5KqMuzEuUEfKTUqfIi/view?usp=sharing</t>
  </si>
  <si>
    <t>Integrated simulation system of CO2 gas injection application for enhanced oil recovery in the oil field</t>
  </si>
  <si>
    <t>Journal of Petroleum Exploration and Production Technology</t>
  </si>
  <si>
    <t>Q2</t>
  </si>
  <si>
    <t>https://drive.google.com/file/d/1bEFAa2hIW4ruqBB3bzaCuLf5P-VVmHgW/view?usp=sharing</t>
  </si>
  <si>
    <t>Comparative Analysis Between PI Conventional and Cascade Control in Heater-PFR-Series</t>
  </si>
  <si>
    <t>Reaktor Chemical Engineering Journal</t>
  </si>
  <si>
    <t>DOAJ, SINTA 2</t>
  </si>
  <si>
    <t>https://drive.google.com/file/d/1MzpjleyOdk3hyG1KRGrmrct1FZ8hrayB/view?usp=sharing</t>
  </si>
  <si>
    <t>Determination of sharing oil losses using proportional and stratified methods in Krisna field</t>
  </si>
  <si>
    <t>Wibowo</t>
  </si>
  <si>
    <t>https://drive.google.com/file/d/1j54kKIDrcPkbtDgI94WNjMV6ud5xIlTH/view?usp=sharing</t>
  </si>
  <si>
    <t>Biosurfaktan Injection "U-Champ" on Heavy Oil Sample in Laboratory for Preliminary to Pilot Project</t>
  </si>
  <si>
    <t>International Journal of Recent Technology and Engineering (IJRTE)</t>
  </si>
  <si>
    <t>Scopus</t>
  </si>
  <si>
    <t>https://drive.google.com/file/d/1VBt2FwxA1zjLgzpE0fyHDKPm6sYKXVdH/view?usp=sharing</t>
  </si>
  <si>
    <t>Geomechanical analysis from well log for brownshale hydrocarbon development in the Bengkalis Trough, Central Sumatra Basin, Indonesia</t>
  </si>
  <si>
    <t>Journal Geosystem Engineering</t>
  </si>
  <si>
    <t>Taylor &amp; Francis</t>
  </si>
  <si>
    <t>https://drive.google.com/file/d/1zEW5J7lDA-i9aro20o9IeAkLudG69o7n/view?usp=sharing</t>
  </si>
  <si>
    <t>Feasibility Study on the Application of Dynamic Elastic Rock Properties from Well Log for Shale Hydrocarbon Development of Brownshale Formation in the Bengkalis Trough, Central Sumatra Basin, Indonesia.</t>
  </si>
  <si>
    <t>Journal of Geoscience, Engineering, Environment, and Technology (JGEET)</t>
  </si>
  <si>
    <t>SINTA 2</t>
  </si>
  <si>
    <t>https://drive.google.com/file/d/1DBXXunBQ0CLzeTtumh9-qXPkW8ZzBXXc/view?usp=sharing</t>
  </si>
  <si>
    <t>Optimizing the development strategy of combined steam flooding &amp; cyclic steam stimulation for enhanced heavy oil recovery through reservoir proxy modeling</t>
  </si>
  <si>
    <t>https://drive.google.com/file/d/1AUb7Z95W0nYp9hWqvE1OHUGzb8UgBmCX/view?usp=sharing</t>
  </si>
  <si>
    <t>An Integrated Analysis for Post Hydraulic Fracturing Production Forecast in Conventional Oil Sand Reservoir</t>
  </si>
  <si>
    <t>Journal of Earth Energy Engineering</t>
  </si>
  <si>
    <t>DOAJ, SINTA 3</t>
  </si>
  <si>
    <t>https://drive.google.com/file/d/1o0cBiRZHuxB4auE6oVYfwp0efavfpyMs/view?usp=sharing</t>
  </si>
  <si>
    <t>Three-Dimensional Reservoir Modeling Based on Geostatistical Analysis to Determine Volumetric Oil in Place of Alpha Zone</t>
  </si>
  <si>
    <t>International Journal of Geology and Earth Sciences (IJGES)</t>
  </si>
  <si>
    <t>ELSEVIER</t>
  </si>
  <si>
    <t>https://drive.google.com/file/d/1rce-SMCuzUKk__Qc3yo0RWwBrUPK2ae6/view?usp=sharing</t>
  </si>
  <si>
    <t>3D Natural State Modeling of Mount Iyang-Argopuro Geothermal Area, East Java, Indonesia</t>
  </si>
  <si>
    <t>Rizqi Mahfudz P.</t>
  </si>
  <si>
    <t>https://drive.google.com/file/d/132QzWx1dbCCRHO8l80T4K35QbHsAm2i6/view?usp=sharing</t>
  </si>
  <si>
    <t>The Role of Clay Mineral Composition on Silicified Coal Genesa Based on X-Ray Diffraction (XRD)</t>
  </si>
  <si>
    <t>Journal of Geoscience and Environment Protection</t>
  </si>
  <si>
    <t>UGC CARE, Scopus, SCIE</t>
  </si>
  <si>
    <t>https://drive.google.com/file/d/10e8ktMpu-bHLCKNa8nxmIkR4Dhdr7f-0/view?usp=sharing</t>
  </si>
  <si>
    <t>https://drive.google.com/file/d/1KgjPzLKcrkqby5ZGvY344PvohdZepk9j/view?usp=sharing</t>
  </si>
  <si>
    <t>Field Test of "U-Champ" Biosurfactant in Oil Spil Bioremediation</t>
  </si>
  <si>
    <t>https://drive.google.com/file/d/1tCCO58NK2zGIY2Nh8cVqhHTYPRq3Qo9B/view?usp=sharing</t>
  </si>
  <si>
    <t>Optimization Rate of Penetration in Directional Drilling with Adjustable Bit Rotating and Hydraulic Hole Cleaning</t>
  </si>
  <si>
    <t>European Journal of Applied Sciences</t>
  </si>
  <si>
    <t>DOAJ</t>
  </si>
  <si>
    <t>https://drive.google.com/file/d/12elvN7V78PgUzEqcDUYfi5C0wZHjQ4Yv/view?usp=sharing</t>
  </si>
  <si>
    <t>Utilization waste brine water separator for binary electric energy conversion in geothermal wells</t>
  </si>
  <si>
    <t>International Journal of Design and Nature and Ecodynamics</t>
  </si>
  <si>
    <t>https://drive.google.com/file/d/16fQvUWHGSDLybtcEY0hgaYJUDgVsZI16/view?usp=sharing</t>
  </si>
  <si>
    <t>Petroleum Physical Properties Prediction Application in Enhanced Oil Recovery Process</t>
  </si>
  <si>
    <t>https://drive.google.com/file/d/1L9-yQMq-BMLNIYl50K3Gj0hEtV2kM12h/view?usp=sharing</t>
  </si>
  <si>
    <t>Field Test of "U-Champ" Biosurfactant in Oil Spill Bioremediation</t>
  </si>
  <si>
    <t>https://drive.google.com/file/d/1jIh4i4IHwjW2L4xAzMXzpv7u1AD6rVCi/view?usp=sharing</t>
  </si>
  <si>
    <t>Biosurfactan Injection of “U-Champ” on Heavy Oil Sample in Laboratory for Preliminary to Pilot Project</t>
  </si>
  <si>
    <t>https://drive.google.com/file/d/14bzcKfMh2yagZ2dbQV6tv3w5Echp7FvZ/view?usp=sharing</t>
  </si>
  <si>
    <t>An Investigation of Novel Technique Cyclic Steam-Solvent Stimulation Using Horizontal well to Escalate Heavy Oil Production</t>
  </si>
  <si>
    <t>M. Rizqi Al Asy'ari</t>
  </si>
  <si>
    <t>https://drive.google.com/file/d/10DO_Mok6VbB0_rwZo0fDGj7cLnfqxaNI/view?usp=sharing</t>
  </si>
  <si>
    <t>Overpressure mechanism prediction based on well log and mineralogy analysis from drill cuttings of well NSE-001 in the North Sumatra Basin area, Indonesia</t>
  </si>
  <si>
    <t>https://drive.google.com/file/d/19wC_4UdQlRBUF-0mH-wEmX8SXP4ddh29/view?usp=sharing</t>
  </si>
  <si>
    <t>Vertical Fracability Model on Lithofacies Association of Brownshale Formation from Outcrop Analog Using Rock Mechanical and Mineralogy Correlation Method: A Preliminary Study of Shale Hydrocarbon Development in Bengkalis Trough, Central Sumatra Basin</t>
  </si>
  <si>
    <t>Indonesian Journal on Geoscience</t>
  </si>
  <si>
    <t>https://drive.google.com/file/d/1QNa8lo9XxZhxDuWK6tWTn1eb0U4uuXhS/view?usp=sharing</t>
  </si>
  <si>
    <t>Experimental Study of Polymer Injection on Oil Recovery Factor Enhancement Using Homogenous and Heterogenous Micromodel Porous Media</t>
  </si>
  <si>
    <t>Roiduz Zumar dan Sinosa Husenido</t>
  </si>
  <si>
    <t>https://drive.google.com/file/d/15465n6qbMu-D4PpdDYbwxRqhg0mkHmRd/view?usp=sharing</t>
  </si>
  <si>
    <t>Evaluation of Remaining Gas Reserves Using the Material Balance Method for Planning Gas Field Development</t>
  </si>
  <si>
    <t>https://drive.google.com/file/d/1736Inb-w9IepKBINmvdwqOSCAc7ltC8r/view?usp=sharing</t>
  </si>
  <si>
    <t>The Effects Between Interfacial Tension and Viscosity Reduction in Viscous Crude Oil Through the Addition of Surfactant Sodium Lignosulfonate (SLS) for EOR Purpose</t>
  </si>
  <si>
    <t>Petroleum Science and Engineering - Science Publishing Group</t>
  </si>
  <si>
    <t>Elsevier Netherland</t>
  </si>
  <si>
    <t>https://drive.google.com/file/d/1d_Srh9g-z3FQf-uZtXccxyS4xCTNFaXh/view?usp=sharing</t>
  </si>
  <si>
    <t>Estimate Rig Capacity and Rental Cost in Drilling Operation GH-02 Well Exploration Mataloko Geothermal Field</t>
  </si>
  <si>
    <t>ASEAN Engineering Journal</t>
  </si>
  <si>
    <t>Q4</t>
  </si>
  <si>
    <t>https://drive.google.com/file/d/1_jlv4Ff_1XO-YFYFGy2Lymuk8TKFfhpE/view?usp=sharing</t>
  </si>
  <si>
    <t>Shale reservoir characterization based on geomechanical and mineralogy analysis: a case study of well BS-03 data of brown shale formation in the Bengkalis Trough, Central Sumatra Basin, Indonesia</t>
  </si>
  <si>
    <t>Arabian Journal of Geosciences</t>
  </si>
  <si>
    <t>https://drive.google.com/file/d/1KV0NUrcTCP87M95HVvGgnnTjHoh_Fz_o/view?usp=sharing</t>
  </si>
  <si>
    <t>Peramalan Kinerja Reservoir Lapangan Panas Bumi Gunung Iyang Argopuro, Jawa Timur, Indonesia Menggunakan Simulasi Numerik TOUGH2</t>
  </si>
  <si>
    <t>Seminar</t>
  </si>
  <si>
    <t>Seminar Nasional Teknik Kimia Kejuangan</t>
  </si>
  <si>
    <t>NB2</t>
  </si>
  <si>
    <t>Intan Sulistiyani</t>
  </si>
  <si>
    <t>https://drive.google.com/file/d/12nOvBzFXWvB4U1EbZmXhXB2WrrwmCBEQ/view?usp=sharing</t>
  </si>
  <si>
    <t>SIMULASI RESERVOIR HEAVY OIL DENGAN MULTISTAGING DEVELOPMENT MODIFIKASI INVERTED 5-SPOT KOMBINASI CYCLIC STEAM STIMULATION (CSS) DAN STEAMFLOODING</t>
  </si>
  <si>
    <t>https://drive.google.com/file/d/14WbzgHEz_5QqcFF3T3ueL3s-jRe17v75/view?usp=sharing</t>
  </si>
  <si>
    <t>ANALISA INDIKASI PEMBENTUKAN SCALING BERDASARKAN SIMULASI NUMERIK SUMUR PANAS BUMI</t>
  </si>
  <si>
    <t>https://drive.google.com/file/d/1UgGKKKTrWBtIvz7LT_ATZj9ypp4hEbt_/view?usp=sharing</t>
  </si>
  <si>
    <t>KAJIAN KEHILANGAN TEKANAN DAN TEMPERATUR PADA FLUIDA DUA FASA LAPANGAN PANAS BUMI DIENG</t>
  </si>
  <si>
    <t>https://drive.google.com/file/d/1Ev8sowZ6WFiewnatBfyuMX81mcDzWo7N/view?usp=sharing</t>
  </si>
  <si>
    <t>STUDY OF SINGLE STAGE COMPRESSIVE TEST (SST) LABORATORY DETERMINATION IN SOFT FORMATION RODS WITH VARIOUS COMPOSITIONS OF SILICA AND CALCITE IMPURITIES IN HIGH PRESSURE AND TEMPERATURE</t>
  </si>
  <si>
    <t>Ilham D. Wibowo dan Sandika Pratama</t>
  </si>
  <si>
    <t>https://drive.google.com/file/d/1rudCA00XcrS5OxXwCXqXECS0kKkgE5qU/view?usp=sharing</t>
  </si>
  <si>
    <t>SIMULASI FORECAST PRODUKSI DENGAN MEMPERTIMBANGKAN PROBLEM LIQUID LOADING DI LAPANGAN GAS JUPITER</t>
  </si>
  <si>
    <t>Prosiding/Seminar</t>
  </si>
  <si>
    <t>Prosiding Seminar Nasional Teknologi Energi dan Mineral</t>
  </si>
  <si>
    <t>https://drive.google.com/file/d/1OGYHqIqGXkaXGy99wQ0sCTFbR_GPcoyY/view?usp=sharing</t>
  </si>
  <si>
    <t>INJEKSI BIOSURFAKTAN “U-CHAMP” PADA UJI COREFLOODING SAMPEL MINYAK BERAT</t>
  </si>
  <si>
    <t>SEMNASTERA (Seminar Nasional Teknologi dan Riset Terapan)</t>
  </si>
  <si>
    <t>Yusril Ihza W.</t>
  </si>
  <si>
    <t>https://drive.google.com/file/d/1EypASbLFJji-mmBOUnWzPVqJk2iYKpBm/view?usp=sharing</t>
  </si>
  <si>
    <t>SISTEM INFORMASI MANAJEMEN PEMELIHARAAN TERNAK SAPI</t>
  </si>
  <si>
    <t>Prosiding Seminar Nasional LPPM UPN "Veteran" Yogyakarta</t>
  </si>
  <si>
    <t>https://drive.google.com/file/d/1-a0WtOBcp5XbgRlrOiFDwcdNP4P9_l-D/view?usp=sharing</t>
  </si>
  <si>
    <t>PENINGKATAN EKSISTENSI USAHA MENUJU TERWUJUDNYA KESEJAHTERAAN ANGGOTA KUB “ MAJU LANCAR ”</t>
  </si>
  <si>
    <t>https://drive.google.com/file/d/1PYltTcevYmA0UL1gJuCuVb9342fJC_hx/view?usp=sharing</t>
  </si>
  <si>
    <t>TEKNOLOGI TEPAT GUNA VCCO UNTUK PEMBENTUKAN UMKM DUSUN GAYAM, KULON PROGO</t>
  </si>
  <si>
    <t>https://drive.google.com/file/d/1Ypo5e-6qCG4kVYeP-5hm1UUB6GYT4Yq_/view?usp=sharing</t>
  </si>
  <si>
    <t>Diseminasi hasil penelitian peningkatan kualitas VCO menjadi VICOIL untuk Desa Bojong, Panjatan, Kulon Progo</t>
  </si>
  <si>
    <t>https://drive.google.com/file/d/1BuL8QGxb7NTkbOjbphyRByy1sgaWVVTk/view?usp=sharing</t>
  </si>
  <si>
    <t>Cost Effective Permanent Well Plug &amp; Abandon On Cluster-X With Complex Well Conditions</t>
  </si>
  <si>
    <t>Digital Technical Conference - Proceeding of Indonesian Petroleum Association (IPA)</t>
  </si>
  <si>
    <t>NB3</t>
  </si>
  <si>
    <t>Bion Biondi</t>
  </si>
  <si>
    <t>https://drive.google.com/file/d/1-wWc_jgOb_YrIaJmjecdw39lC8zh30dj/view?usp=sharing</t>
  </si>
  <si>
    <t>Sweet Spot Fracable Window of Lithofacies Association of Brown Shales in KiliranJao Sub-basin, West Sumatra Indonesia Using Rock Geomechanics Approach</t>
  </si>
  <si>
    <t>AIP Conference Proceedings</t>
  </si>
  <si>
    <t>Scopus, Inspec, Elsevier</t>
  </si>
  <si>
    <t>https://drive.google.com/file/d/16rKHcLXHSTZBARQz_MUNeEYAQoTrvXtk/view?usp=sharing</t>
  </si>
  <si>
    <t>Application of Online Administration System for Practical Work (PW) in the Petroleum Engineering Department, Universitas Pembangunan Nasional “Veteran” Yogyakarta</t>
  </si>
  <si>
    <t xml:space="preserve">Conference Series Proceeding on Engineering and Science Series (ESS) - LPPM UPN “Veteran” Yogyakarta </t>
  </si>
  <si>
    <t>https://drive.google.com/file/d/1ie1c30hLijbIhAxj-lwbnDXdV5kh_DcU/view?usp=sharing</t>
  </si>
  <si>
    <t>Core Sampling Procedure For Use As Artificial Core In Enhanced `Oil Recovery (EOR) Study</t>
  </si>
  <si>
    <t>https://drive.google.com/file/d/1gzfAj6SzGQegH25E_0oUrRLaGgBvau3u/view?usp=sharing</t>
  </si>
  <si>
    <t>Production test results for determining the well head pressure</t>
  </si>
  <si>
    <t>Basith Furqon</t>
  </si>
  <si>
    <t>https://drive.google.com/file/d/1i4B_6EcBhCWy_92AM0uPVdYmvjLmx-Pc/view?usp=sharing</t>
  </si>
  <si>
    <t>Pickett's plot method to estimate height above free-water table in oil reservoir</t>
  </si>
  <si>
    <t>https://drive.google.com/file/d/1Yv3L74Qz6Cwe8e-IoDbdnEB7LDvo1dLj/view?usp=sharing</t>
  </si>
  <si>
    <t>Engineering design and cost estimation of geothermal brine utilization for meeting room heating</t>
  </si>
  <si>
    <t>https://drive.google.com/file/d/1KkvJj-BTJST4n3jlvLDrIy-bUBZyLF4p/view?usp=sharing</t>
  </si>
  <si>
    <t>Utilization of Reservoir Proxy Model for Development Strategy Optimization of Combined Steam Flooding &amp; Cyclic Steam Stimulation for Enhanced Heavy Oil Recovery</t>
  </si>
  <si>
    <t>https://drive.google.com/file/d/1SVH9ipFxRGWM17x9L81QDK_YtEmtk3IG/view?usp=sharing</t>
  </si>
  <si>
    <t>An experimental study of inaccessible pore volume on polymer flooding and its effect on oil recovery</t>
  </si>
  <si>
    <t>Erdico Prasidya S</t>
  </si>
  <si>
    <t>https://drive.google.com/file/d/1K4qHqsIKpSbmHzpDKl2bairpbQmXh4G6/view?usp=sharing</t>
  </si>
  <si>
    <t>Research Culture and Productivity Improvement Through Online Journal System Development and Optimization</t>
  </si>
  <si>
    <t>Political and Social Science Series - Proceeding of LPPM UPN “Veteran" Yogyakarta</t>
  </si>
  <si>
    <t>https://drive.google.com/file/d/1xEHHKvD42yoBKAvOxt5Jm4jFsyItf62X/view?usp=sharing</t>
  </si>
  <si>
    <t>Sand handling using progressive cavity pump (PCP) in mangga field</t>
  </si>
  <si>
    <t>https://drive.google.com/file/d/1G5VcR448M4Ensmnf1CfimbazKPQMEJs7/view?usp=sharing</t>
  </si>
  <si>
    <t>Surface geological survey as preliminary study for providing water source of agriculture in Tayuban Village, Panjatan, Kulonprogo</t>
  </si>
  <si>
    <t>Sayoga Heru</t>
  </si>
  <si>
    <t>Sari Bahagiarti</t>
  </si>
  <si>
    <t>https://drive.google.com/file/d/1Dsq73M4dhcHwW-gSvRuKOn09EY4ePuM4/view?usp=sharing</t>
  </si>
  <si>
    <t>Connectivity analysis using of tracer or injection-production wells performance plot in NEASD and GRH field PHE Ogan Komering</t>
  </si>
  <si>
    <t>https://drive.google.com/file/d/1C6_tnEUhpKpta34E7JgOMking2uA_T86/view?usp=sharing</t>
  </si>
  <si>
    <t>Oily solid deposits cleaning in heavily fouled injection water pipeline at PT. Pertamina Hulu Energy Ogan Komering</t>
  </si>
  <si>
    <t>https://drive.google.com/file/d/1jEdsiYwjgKJ0wXO_cBmJIuwPpj6z6dK_/view?usp=sharing</t>
  </si>
  <si>
    <t>Water availability analysis for natural injection in geothermal reservoir water dominated</t>
  </si>
  <si>
    <t>https://drive.google.com/file/d/1kYxwj7EkneLUEXxM5I-QVIj8cYdbX1F3/view?usp=sharing</t>
  </si>
  <si>
    <t>Study of big hole slotted liners for developing water-dominated geothermal production in Central Java</t>
  </si>
  <si>
    <t>https://drive.google.com/file/d/1XY-x2ZghZv-tVDSU-3zlJBuNZdMQWgpc/view?usp=sharing</t>
  </si>
  <si>
    <t>Feasibility analysis of the 55 MWe Gedongsongo geothermal power plant project</t>
  </si>
  <si>
    <t>https://drive.google.com/file/d/1twN9dG2ujUvDow-t6_-Ca-hOt2EU8O9M/view?usp=sharing</t>
  </si>
  <si>
    <t>Application of bio-surfactants as an effort to enhanced oil recovery (EOR) in Kawengan oil field</t>
  </si>
  <si>
    <t>Raflie Arie K.</t>
  </si>
  <si>
    <t>https://drive.google.com/file/d/1pQE3_rEhDFiI1KlcUluIPdaez_EGJJAh/view?usp=sharing</t>
  </si>
  <si>
    <t>Rig capacity planning for PT Mantap Siak (MS) and PT Mantap Kampar (MK) drilling campaign</t>
  </si>
  <si>
    <t>https://drive.google.com/file/d/1eBykUwaj3_j--6ueHtJHClBDkrClJeEi/view?usp=sharing</t>
  </si>
  <si>
    <t>Review Paper: The Study of Flow Behavior and Performance of Polymer Injection at Pore Scale Using Micromodel</t>
  </si>
  <si>
    <t>https://drive.google.com/file/d/1QOkr6sl79UwyqPijBZM7I2R3UyIC-tOE/view?usp=sharing</t>
  </si>
  <si>
    <t>Integrated production modelling of “PCA” gas well for further workover strategy</t>
  </si>
  <si>
    <t>https://drive.google.com/file/d/1sSZJEQXLuH8EmP5H_S6a7KOsaQs2f4jj/view?usp=sharing</t>
  </si>
  <si>
    <t>The effect of well drainage area on original oil in place estimation using material balance equation in mature oil field</t>
  </si>
  <si>
    <t>https://drive.google.com/file/d/1cewAc9RzZ0jTjgSmRMgTM-fclZcoXHjB/view?usp=sharing</t>
  </si>
  <si>
    <r>
      <t>Wettability alteration study in light oil reservoir by </t>
    </r>
    <r>
      <rPr>
        <i/>
        <sz val="12"/>
        <color rgb="FF000000"/>
        <rFont val="Times New Roman"/>
        <family val="1"/>
      </rPr>
      <t>sodium lignosulfonate</t>
    </r>
    <r>
      <rPr>
        <sz val="12"/>
        <color rgb="FF000000"/>
        <rFont val="Times New Roman"/>
        <family val="1"/>
      </rPr>
      <t> (SLS) as surfactant injection</t>
    </r>
  </si>
  <si>
    <t>Raden Mas Feldza</t>
  </si>
  <si>
    <t>https://drive.google.com/file/d/1EUiwIs3LXMfMxmXxV6ynQIh83hMKmBSO/view?usp=sharing</t>
  </si>
  <si>
    <t>EMPOWERMENT OF THE WOOD FURNITURE CRAFTSMEN IN INCREASING THE INCOME OF JOINT BUSINESS GROUP "SIDO MAKMUR"</t>
  </si>
  <si>
    <t>https://drive.google.com/file/d/1KNckCk_tSUd9gwnYux8LlqP2M8ILxQIG/view?usp=sharing</t>
  </si>
  <si>
    <t>The Effects of VICOIL Bopanprog Usage as a Substitute for Crude Oil for Oil-Based Drilling Fluids</t>
  </si>
  <si>
    <t>https://drive.google.com/file/d/1Om1XOcMU2eLQ0rz1cWyKzl8Ujx7odajm/view?usp=sharing</t>
  </si>
  <si>
    <r>
      <t>Oil and gas field economic evaluation optimization method: Closed loop approach for CO</t>
    </r>
    <r>
      <rPr>
        <vertAlign val="subscript"/>
        <sz val="12"/>
        <color rgb="FF000000"/>
        <rFont val="Times New Roman"/>
        <family val="1"/>
      </rPr>
      <t>2</t>
    </r>
    <r>
      <rPr>
        <sz val="12"/>
        <color rgb="FF000000"/>
        <rFont val="Times New Roman"/>
        <family val="1"/>
      </rPr>
      <t> flooding</t>
    </r>
  </si>
  <si>
    <t>Kharisma Idea</t>
  </si>
  <si>
    <t>https://drive.google.com/file/d/13kBeglyb7zyKwtXf1VQ1s-RsAiuZNenN/view?usp=sharing</t>
  </si>
  <si>
    <t>The Efficiency of Produced Water Treatment Using Combination of Coagulation Process and Membrane Bioreactor</t>
  </si>
  <si>
    <t>Konferensi/Seminar</t>
  </si>
  <si>
    <t>Conference on Urban Sustainability, Environment, and Engineering (CUSME) 2020</t>
  </si>
  <si>
    <t>M.Th. Kristiati EA.</t>
  </si>
  <si>
    <t>https://drive.google.com/file/d/12bZnYa_AQkK6oCMJDMMEe05jp-33haoz/view?usp=sharing</t>
  </si>
  <si>
    <t>A Techno-Economic Analysis of Geothermal Energy in West Java</t>
  </si>
  <si>
    <t>https://drive.google.com/file/d/1bHhJUjL9UZf3kzPTAuHlh3zLUEkldhx3/view?usp=sharing</t>
  </si>
  <si>
    <t>Reservoir Simulation Modeling With Polymer Injection in Naturally Fractured Carbonate Reservoir</t>
  </si>
  <si>
    <t>https://drive.google.com/file/d/1XcFPjyQ3HYLdnAdYhIRQpAI7wwWJEDxz/view?usp=sharing</t>
  </si>
  <si>
    <t>Natural gas lift design as lifting operation at AST-04 well multilayer using multiple completion</t>
  </si>
  <si>
    <t>https://drive.google.com/file/d/1Gzw6mbohO79g6GYiIchGm_OqrRc94Cu7/view?usp=sharing</t>
  </si>
  <si>
    <t>Production optimization with ESP methods on high GOR wells</t>
  </si>
  <si>
    <t>https://drive.google.com/file/d/1QldwgJB9qq-NOjKUTaQps9DB7VjF61Mm/view?usp=sharing</t>
  </si>
  <si>
    <t>Real-Time Assessment Software Development to Improve Learning Quality in Petroleum Engineering Department Using Computer Assisted Test Method</t>
  </si>
  <si>
    <t>https://drive.google.com/file/d/14gyoqCCkiZWLHhYYHWdncPpEAKSadOiY/view?usp=sharing</t>
  </si>
  <si>
    <t>Modeling of A Low Salinity Waterflooding in Carbonate Reservoir</t>
  </si>
  <si>
    <t>https://drive.google.com/file/d/10skir8xFi_n-sSSVBTdSRPZL97mMNi2K/view?usp=sharing</t>
  </si>
  <si>
    <t>A Laboratory Experimental and Reservoir Simulation Estimation on Minimum Miscible Pressure (MMP) for CO2</t>
  </si>
  <si>
    <t>Digital Technical Conference - Indonesian Petroleum Association (IPA)</t>
  </si>
  <si>
    <t>Argavi Koto</t>
  </si>
  <si>
    <t>https://drive.google.com/file/d/1UrlQgNyqII8AaR0Wrmqd5KCaP8dvdwNX/view?usp=sharing</t>
  </si>
  <si>
    <t>Modeling of Crude Oil Types Classification Using the Naive Bayes Classifier Method</t>
  </si>
  <si>
    <t>https://drive.google.com/file/d/1It3PdoBvIWSWjZirqz6ES1ZJ_B1p_axa/view?usp=sharing</t>
  </si>
  <si>
    <t>Mud Weight Evaluation Based on Safe Mud Window in Drilling Well “X-1” to Overcome Caving and Partial Loss Problems in The Oil Field</t>
  </si>
  <si>
    <t>IOP Conference Series: Earth and Environmental Science (EES)</t>
  </si>
  <si>
    <t>Hanif Budi W. dan Cahyadi Julianto</t>
  </si>
  <si>
    <t>https://drive.google.com/file/d/1rGwzhCN2zr7TONrMAj7LW3ZkLU4Tf3kf/view?usp=sharing</t>
  </si>
  <si>
    <t>Evaluation of Mud Weight Using Safe Mud Window Concept Based on Well Log Data: A Case Study of Well OP-002 in the North Sumatra Basin Area,Indonesia</t>
  </si>
  <si>
    <t>RSF Conference Series: Engineering and Technology</t>
  </si>
  <si>
    <t>https://drive.google.com/file/d/1mGFHEwLMlvyZ7ytydHYB8TaXWgGTsOAm/view?usp=sharing</t>
  </si>
  <si>
    <t>Resource Estimation of Mount Iyang-Argopuro Field, East Java, Indonesia using Monte Carlo Method Based on 3D Natural State Model</t>
  </si>
  <si>
    <t>https://drive.google.com/file/d/1OYZSn93sEDxGEX8oKXllfxhieOQdjT_H/view?usp=sharing</t>
  </si>
  <si>
    <t>The effect of inaccessible pore volume and adsorption on polymer flooding for field scale injection in RZ field</t>
  </si>
  <si>
    <t>https://drive.google.com/file/d/16fSqllnJN6_3Qcoo14ujX4wi5S5f3CMd/view?usp=sharing</t>
  </si>
  <si>
    <t>Increasing the Publication of Scientific Articles to Support Key Performance Indicators by Providing Publication Space Facilities in the Petroleum Engineering Department</t>
  </si>
  <si>
    <t>Yuan C. Guntoro dan T. H. Laura Daguesta</t>
  </si>
  <si>
    <t>https://drive.google.com/file/d/1XdinMZjrd0KLnQKZIwHpd-uQSu4GWpV9/view?usp=sharing</t>
  </si>
  <si>
    <t>The Study of Flow Behavior and Performance of Polymer Injection in Homogenous Porous Media Using Etched Micromodel</t>
  </si>
  <si>
    <t>https://drive.google.com/file/d/1IM__bQem-8Va5wrlPEB2Is9eSTF0QHtq/view?usp=sharing</t>
  </si>
  <si>
    <t>A Review: Study of Potential Direct Use Geothermal in Indonesia</t>
  </si>
  <si>
    <t>10th ITB International Geothermal Workshop 2021</t>
  </si>
  <si>
    <t>Andi NM Anugrah, K. Nafista, dan Ashabul K. Ilham</t>
  </si>
  <si>
    <t>https://drive.google.com/file/d/1khDa9_NwkovKvaCnTneYg-R4yiv9rXyJ/view?usp=sharing</t>
  </si>
  <si>
    <t>The Static Laboratory Testing for Fracturing Fluid Optimization</t>
  </si>
  <si>
    <t>Ahmad Azhar dan Roiduz Zumar</t>
  </si>
  <si>
    <t>https://drive.google.com/file/d/1IERXv8D_ONhG-ZbSeNX-uvv7Ux2UN72k/view?usp=sharing</t>
  </si>
  <si>
    <t>Hydrothermal Fluids-Rock Interactions in the Geothermal Area of the Ngebel Volcano Complex Ponorogo, East Java, Indonesia</t>
  </si>
  <si>
    <t>https://drive.google.com/file/d/1gw_nuYP5oRMy-McADc7sVJEog_jUZ60J/view?usp=sharing</t>
  </si>
  <si>
    <t>Developing Scenario on “FDS” Volcanic Sandstone Formation for Gas Supply Demand in “Tga” Gas Field</t>
  </si>
  <si>
    <t>https://drive.google.com/file/d/13_YsTyCUaK9_aVX00L-bZX_bXxdYtBw9/view?usp=sharing</t>
  </si>
  <si>
    <t>Economic analysis of oil losses correction factor determination usage proportional and stratified methods in “LA” field</t>
  </si>
  <si>
    <t>https://drive.google.com/file/d/1J_RxsMiMwdyJRuypPZyVwRM0wnbxLCIP/view?usp=sharing</t>
  </si>
  <si>
    <t>Geochemical Exploration of KPH Geothermal Field, Indonesia</t>
  </si>
  <si>
    <t>https://drive.google.com/file/d/1XlzSesaW1254AC4J8FZZBKasZ5CXOH9E/view?usp=sharing</t>
  </si>
  <si>
    <t>Geothermal drilling time analysis on well FT in geothermal field</t>
  </si>
  <si>
    <t>https://drive.google.com/file/d/1HBwkK_s6FEMl2h87kSBUcUsmF2umt3lW/view?usp=sharing</t>
  </si>
  <si>
    <t>Brown field development management strategy using quadrant analysis (ESP lifting conversion study case)</t>
  </si>
  <si>
    <t>https://drive.google.com/file/d/1r6NQbP2qp4CUUF_CFMW1wGJQgnNDwAMJ/view?usp=sharing</t>
  </si>
  <si>
    <t>Survey Analysis of Enhanced Oil Recovery (EOR) Laboratory towards Featured Research Laboratory</t>
  </si>
  <si>
    <t>https://drive.google.com/file/d/1tLJ0FhMFBzp49bFP1ruyJJ4lH5AGfHuc/view?usp=sharing</t>
  </si>
  <si>
    <t>Waterflooding Management: Challenges and Solutions During the Injection Process to Obtain Effectively and Environmentally Based Oil Recovery in Oil and Gas Industry</t>
  </si>
  <si>
    <t>Fernandinus K. Latuan dan I Gede O. S. Prajanji</t>
  </si>
  <si>
    <t>https://drive.google.com/file/d/1_jYKyCOTX63cOvgHQvvEXrCtZd0zg6h2/view?usp=sharing</t>
  </si>
  <si>
    <t>Economic analysis for development offshore gas field</t>
  </si>
  <si>
    <t>Hernaningdyah A. Wardani</t>
  </si>
  <si>
    <t>https://drive.google.com/file/d/1_yMLZHJxlYpGhG2bUpCKngox2VLtYDLD/view?usp=sharing</t>
  </si>
  <si>
    <t>Chemical injection field development strategies to increase oil recovery factors using reservoir simulation (Case study in JHD field)</t>
  </si>
  <si>
    <t>Devid Julyanop L. P.</t>
  </si>
  <si>
    <t>https://drive.google.com/file/d/1aBVwbeYPTAau931w5cfT3-ujbPUz9r3e/view?usp=sharing</t>
  </si>
  <si>
    <t>Optimization of flashing pressure separator and turbine thermal efficiency on mini-scale geothermal power plant at utilization exploration well</t>
  </si>
  <si>
    <t>https://drive.google.com/file/d/1lcyami62vbXRuhMjzzCaVzjXX4C1PXu8/view?usp=sharing</t>
  </si>
  <si>
    <t>Well Design Profil Directional Drilling System in Offshore Platform</t>
  </si>
  <si>
    <t xml:space="preserve">International Conference Series 2021 - LPPM UPN “Veteran” Yogyakarta </t>
  </si>
  <si>
    <t>https://drive.google.com/file/d/1BrjHM-DtK7uumcDiEN8Qf3jKIEzuXBYp/view?usp=sharing</t>
  </si>
  <si>
    <t>Design of Petroleum Physical Properties Prediction Application</t>
  </si>
  <si>
    <t>https://drive.google.com/file/d/18fg2TgH1pyv3F8jrbkFp0Sjy1vX7JmKH/view?usp=sharing</t>
  </si>
  <si>
    <t>Compositional reservoir simulation study for gas cap CO2 injection plan in the A-1 layer of "Jupiter" field</t>
  </si>
  <si>
    <t>Hafizha F. Muntaha</t>
  </si>
  <si>
    <t>https://drive.google.com/file/d/1CeF1Rmdq5PKsKLo1Cs1hUznxUnhZthPr/view?usp=sharing</t>
  </si>
  <si>
    <t>Reservoir Simulation Study of Optimum Development in Layer A on X Field, South Sumatra</t>
  </si>
  <si>
    <t xml:space="preserve">Fernandinus K. Latuan </t>
  </si>
  <si>
    <t>https://drive.google.com/file/d/1OGYt7VIGny-48mp-4WhUvkragqvcwDSy/view?usp=sharing</t>
  </si>
  <si>
    <t>The Use of Crude Coconut Oil (CCO) as an Alternative Oil Base Mud (OBM) for Drilling Operations by "VICOIL" Standard Drilling Simulation Rig</t>
  </si>
  <si>
    <t>https://drive.google.com/file/d/1zXySxmINIddEx7It9XlyhlNcfwUCNNYZ/view?usp=sharing</t>
  </si>
  <si>
    <t>Roles Of Quisionary Data To Assess The Vco (Virgin Coconut Oil) Micro Business Performance In The Bojong 3 State, Bojong Village, Panjatan Sub-District, Kulons Progo Regency</t>
  </si>
  <si>
    <t>Journal of Physics: Conference Series - IOPscience</t>
  </si>
  <si>
    <t>https://drive.google.com/file/d/11KKg0Gxd6Ie-J5tW8bpfvzmlaiEPBuJg/view?usp=sharing</t>
  </si>
  <si>
    <t>Geoscience and drilling data assessment in forming reservoir simulation models to achieve natural state conditions</t>
  </si>
  <si>
    <t>Arino M. T. Sitanggang</t>
  </si>
  <si>
    <t>https://drive.google.com/file/d/1WqJV6dEZCoR8YoHVMgIYtpPx4XtHdeU7/view?usp=sharing</t>
  </si>
  <si>
    <t>Re-design of electric submersible pump to increase production with variable stage and frequency sensitivity: Case study well “JTB-89”</t>
  </si>
  <si>
    <t>https://drive.google.com/file/d/1WVo6Y5TvF0T0E0xeOr2bW1y9wlgDyEti/view?usp=sharing</t>
  </si>
  <si>
    <t>Mud Weight Evaluation Based on Safe Mud Window in Drilling Well "X-1" to Overcome Caving and Partial Loss Problems in The Oil Field</t>
  </si>
  <si>
    <t>Cahyadi Julianto dan Hanif B. Wibowo</t>
  </si>
  <si>
    <t>https://drive.google.com/file/d/1_QCzxxmTS08DqRkRWLPcoWND3bHQQr5p/view?usp=sharing</t>
  </si>
  <si>
    <t>The Effect of Surfactant Polymer Concentration on the Distribution of Oil Drainage Area in Heterogeneous Reservoir</t>
  </si>
  <si>
    <t>M. Anggito Huda</t>
  </si>
  <si>
    <t>https://drive.google.com/file/d/14nhWKnNcBiOFKmAh6sWJdRXzMccdqpRn/view?usp=sharing</t>
  </si>
  <si>
    <t>Increasing Public Interest on Reading through Physical and Digital Library in Karangmojo Village</t>
  </si>
  <si>
    <t>RSF Conference Series: Business, Management and Social Sciences</t>
  </si>
  <si>
    <t>Dewi N. Khasanah dan Intan Zuhaira</t>
  </si>
  <si>
    <t>https://drive.google.com/file/d/1IwxMMiEBqpFVbLrM-zJcuSED3yVqJBzH/view?usp=sharing</t>
  </si>
  <si>
    <t>Waterflooding performance evaluation and prediction in BN field, South Sumatra Basin using Capacitance Resistance Model with tank control volume (CRMT)</t>
  </si>
  <si>
    <t>Faizal Waliy</t>
  </si>
  <si>
    <t>https://drive.google.com/file/d/19MfuEojlhNIF-7DKrEA20flAqWvtB8d9/view?usp=sharing</t>
  </si>
  <si>
    <t>Pemberdayaan Kelompok Wanita Tani “Umbul Makmur “ Melalui Motivasi Berwirausaha</t>
  </si>
  <si>
    <t>https://drive.google.com/file/d/1v-dtpOY29rS-B1MNK7o2KcevWcAC9ZVx/view?usp=sharing</t>
  </si>
  <si>
    <t>PENINGKATAN KEBERLANGSUNGAN USAHA KUB ”SOPONYONO” MELALUI IJIN USAHA , PEMASARAN ONLINE, DAN PRODUCT BRANDING</t>
  </si>
  <si>
    <t>https://drive.google.com/file/d/1O5hjvWSNJrRoErshbkyeaq3B5QIAi_hI/view?usp=sharing</t>
  </si>
  <si>
    <t>Pemanfaatan Kotoran Hewan Ternak Sapi Menjadi Biogas Dan Pupuk Organik (Study Case Dusun Semuten)</t>
  </si>
  <si>
    <t>https://drive.google.com/file/d/1Yqfxj5ZzoGnewIS13xUSBJCcAYUO46Zz/view?usp=sharing</t>
  </si>
  <si>
    <t>Implementation of New Material "CCO" for Mud Drilling to Prevent Swelling Problem using Geonor As</t>
  </si>
  <si>
    <t>Angga P. Sirait</t>
  </si>
  <si>
    <t>https://drive.google.com/file/d/1IUnquuNFVpPZBPm09i1Em7d45z82LfKK/view?usp=sharing</t>
  </si>
  <si>
    <t>Improving oil recovery in a solution gas drive-carbonate reservoir by polymer injection</t>
  </si>
  <si>
    <t>https://drive.google.com/file/d/1fyGcCsYYVL_HYdUJdOwnwrDZVhMOSQmO/view?usp=sharing</t>
  </si>
  <si>
    <t>Tim Abdimas UPN "Veteran" Yogyakarta Berdayakan Pengrajin Mebel Kayu</t>
  </si>
  <si>
    <t>Media Massa Wilayah</t>
  </si>
  <si>
    <t>Jawa Pos - Radar Jogja</t>
  </si>
  <si>
    <t>NC1</t>
  </si>
  <si>
    <t>https://drive.google.com/file/d/1RLOJnKo6JmYsZ_wI86SjTkhFJO5FebYg/view?usp=sharing</t>
  </si>
  <si>
    <t>Bangkitkan Semangat Wirausaha Kelompok Wanita Tani Umbul Makmur</t>
  </si>
  <si>
    <t>https://drive.google.com/file/d/1_9DLZSSY1gPjHf75XjPLaCnxi4QoNouf/view?usp=sharing</t>
  </si>
  <si>
    <t>Tim Abdimas UPN "Veteran" Yogyakarta Latih Pelaku Usaha Keripik Pisang</t>
  </si>
  <si>
    <t>https://drive.google.com/file/d/1BlA-qYM5f7rn-LDBb8r6NP4B4F8XcARA/view?usp=sharing</t>
  </si>
  <si>
    <t>Tim UPN "Veteran" Yogyakarta Latih Membuat Virgin CCO</t>
  </si>
  <si>
    <t>Kedaulatan Rakyat Jogja</t>
  </si>
  <si>
    <t>https://drive.google.com/file/d/17LTrgffebI2XX8lUJjLedWFuleaA0V2j/view?usp=sharing</t>
  </si>
  <si>
    <t>Tim Pengabdian Masyarakat UPN "Veteran" Yogyakarta Berikan Pendampingan UKM Mugi Waras</t>
  </si>
  <si>
    <t>Koran Bernas</t>
  </si>
  <si>
    <t>https://drive.google.com/file/d/1U_2tklqfN0d5pjCR0YXOPw2qRm93XafS/view?usp=sharing</t>
  </si>
  <si>
    <t>Pemberdayaan Kelompok Pengrajin Mebel Kayu Guna Meningkatkan Pendapatan Usaha Kelompok Usaha Bersama "Sido Makmur"</t>
  </si>
  <si>
    <t>Media Massa Nasional</t>
  </si>
  <si>
    <t>NC2</t>
  </si>
  <si>
    <t>https://drive.google.com/file/d/1BMGH45pMz0omC6lnJecJfu7qdt4QvTq-/view?usp=sharing</t>
  </si>
  <si>
    <t>Teknologi Pengolahan Limbah Kotoran Hewan Menjadi Biogas dan Pupuk Organis Sebagai Upaya Pemberdayaan Masyarakat Dusun Semuten, Jatimulyo, Bantul, DIY</t>
  </si>
  <si>
    <t>Kompasiana</t>
  </si>
  <si>
    <t>Andi NM Anugrah</t>
  </si>
  <si>
    <t>https://drive.google.com/file/d/1F3IKztGLKvgULXf6sBIZ5sdi1RF-dPVP/view?usp=sharing</t>
  </si>
  <si>
    <t>Stimulation program of air compression and nitrogen injection in geothermal well</t>
  </si>
  <si>
    <t>International Journal of Smart Grid and Clean Energy (SGCE)</t>
  </si>
  <si>
    <t>W. A. Nugroho</t>
  </si>
  <si>
    <t>https://drive.google.com/file/d/1cRT7iU1jkjFE_6mGL-D-JePxYr2ZlEvm/view?usp=sharing</t>
  </si>
  <si>
    <t>Geothermal Direct Use for Snapper Fishpond Heating at Yogyakarta</t>
  </si>
  <si>
    <t>International Journal of Energy and Environment (IJEE)</t>
  </si>
  <si>
    <t>Ria A. Rifani dan Rahma Kumalaningtyas</t>
  </si>
  <si>
    <t>https://drive.google.com/file/d/1ANmq-ZKa3P3PyP2wOIpOLOUJPqGWXohw/view?usp=sharing</t>
  </si>
  <si>
    <t>Brittleness Prediction Using Sonic and Density Logs to Determine Sweet Spot of Brown Shale Reservoir</t>
  </si>
  <si>
    <t>M. David</t>
  </si>
  <si>
    <t>https://drive.google.com/file/d/1fm8k7AE90uv6aJ6X3Nh_4XCMfkiqeJuB/view?usp=sharing</t>
  </si>
  <si>
    <t>EVALUASI DESAIN CASING SUMUR EXISTING UNTUK REKOMENDASI SUMUR USULAN LAPANGAN “VILA” DENGAN MENGGUNAKAN METODE MAKSIMUM LOAD</t>
  </si>
  <si>
    <t>Jurnal Teknologi Perminyakan dan Panas Bumi</t>
  </si>
  <si>
    <t>Jumrianitha Vilastri dan Pandu B. Amartya</t>
  </si>
  <si>
    <t>https://drive.google.com/file/d/1Pt6bkroe362uXTl1yHDTz2YfIRgRGkCz/view?usp=sharing</t>
  </si>
  <si>
    <t>Bidang Keahlian</t>
  </si>
  <si>
    <t>Rekognisi dan Bukti Pendukung</t>
  </si>
  <si>
    <t>Tingkat</t>
  </si>
  <si>
    <t>Tahun (YYYY)</t>
  </si>
  <si>
    <t>Rekognisi</t>
  </si>
  <si>
    <t>Bukti Pendukung</t>
  </si>
  <si>
    <t>Wilayah</t>
  </si>
  <si>
    <t>editor atau mitra bestari</t>
  </si>
  <si>
    <t>V</t>
  </si>
  <si>
    <t>Bidang Keahlian: Teknik Pemboran Migas; Kegiatan: Peer Reviewer/Mitra Bestari pada Jurnal "Scientific Contributions Oil &amp; Gas - LEMIGAS"</t>
  </si>
  <si>
    <t>Tangkapan Layar Web pada Jurnal "Scientific Contributions Oil &amp; Gas - LEMIGAS"</t>
  </si>
  <si>
    <t xml:space="preserve">staf ahli/narasumber </t>
  </si>
  <si>
    <t>Allen Haryanto Lukmana</t>
  </si>
  <si>
    <t>Bidang Keahlian: Enhanced Oil Recovery (EOR); Rekognisi: Penyunting/editor pada "Jurnal Mineral, Energi dan Lingkungan"</t>
  </si>
  <si>
    <t>KPA UPN "Veteran" Yogyakarta No. 155/UN62/HM.01.01/KPA/2023</t>
  </si>
  <si>
    <t>Muhammad Zakiy Yusrizal</t>
  </si>
  <si>
    <t>Brian Tony</t>
  </si>
  <si>
    <t>Bidang Keahlian: Teknik Reservoir Panasbumi; Kegiatan: Dosen Penanggung Jawab dalam "Studi Kelayakan Teknis dan Finansial Pemanfaatan Fluida Sumur ULB-03 untuk Pembangkit Listrik di PLTP Ulumbu</t>
  </si>
  <si>
    <t>Surat Penugasan - Sr. Manager Riset dan Teknologi Sistem Pembangkitan dan Energi PLN</t>
  </si>
  <si>
    <t>Dyah Rini Ratnaningsih</t>
  </si>
  <si>
    <t>M. Th. Kristiati EA.</t>
  </si>
  <si>
    <t>Bidang Keahlian: Teknik Reservoir MIgas; Rekognisi: Penyunting/editor pada "Jurnal Mineral, Energi dan Lingkungan"</t>
  </si>
  <si>
    <t>Fanata Yudha Nugraha</t>
  </si>
  <si>
    <t>Ristiyan Ragil Putradianto</t>
  </si>
  <si>
    <t>Studi Pengembangan Perangkat Lunak yang_x000D_ mengintegrasikan Mineralogi, Pridiksi Tekanan Abnormal dan Model 30 Geomekanik untuk_x000D_ Meningkatkan Efisiensi Pemboran yang bekerjasama dengan Tim Drilling Upstream Research Technology &amp; Innovation ( URTI ) PT. Pertamina</t>
  </si>
  <si>
    <t xml:space="preserve">Judul Artikel yang Disitasi (Jurnal, Volume, Tahun, Nomor, Halaman) </t>
  </si>
  <si>
    <t>Jumlah Sitasi</t>
  </si>
  <si>
    <t>Skenario Pengembangan Sumur Injeksi pada Sumber Daya Panas Bumi Sistem Dominasi Air dengan Pemodelan Reservoir 3D Dinamik (Jurnal Offshore: Oil, Production Facilities and Renewable Energy 3 (1), 43-50)</t>
  </si>
  <si>
    <t>Correlation of Sillimanite &amp; Kaliophilite Minerals, TOC, Ro, and MBT from Drill Cutting of Well BS-03 in the Development of Shale Hydrocarbon, Brownshale Formation, Bengkalis Trough, Central Sumatra Basin, Indonesia (Open Journal of Yangtze Oil and Gas 5 (04), 216, Tahun 2020)</t>
  </si>
  <si>
    <t>Peramalan Kinerja Reservoir Lapangan Panas Bumi Gunung Iyang-Argopuro, Jawa Timur, Indonesia Menggunakan Simulasi Numerik TOUGH2 (Seminar Nasional Teknik Kimia Kejuangan, 2, Tahun 2020)</t>
  </si>
  <si>
    <t>Determining of water saturation using fuzzy logic method in Mirah-1 well, Central Sumatra basin of Indonesia (Journal of Advanced Research in Fluid Mechanics and Thermal Sciences)</t>
  </si>
  <si>
    <t>Sweet spot fracable window of lithofacies association of brown shales in KiliranJao Sub-basin, West Sumatra Indonesia using rock geomechanics approach (AIP Conference Proceedings 2245 (1), 030005, Tahun 2020)</t>
  </si>
  <si>
    <t>Feasibility Study on the Application of Dynamic Elastic Rock Properties from Well Log for Shale Hydrocarbon Development of Brownshale Formation in the Bengkalis Trough, Central Sumatra Basin, Indonesia (Journal of Geoscience,Engineering, Environment, and Technology Vol 6 No 2 Tahun 2021)</t>
  </si>
  <si>
    <t>Mud Weight Evaluation Based on Safe Mud Window in Drilling Well “X-1” to Overcome Caving and Partial Loss Problems in The Oil Field (IOP Conference Series: Earth and Environmental Science 830 (1), 012074, Tahun 2021)</t>
  </si>
  <si>
    <t>Production Data Analysis and Sonolog for Determining Artificial Lift Design and Well Characteristic (Journal of Petroleum and Geothermal Technology 1 (1), 28-35,Tahun 2020)</t>
  </si>
  <si>
    <t>Optimizing the development strategy of combined steam flooding &amp; cyclic steam stimulation for enhanced heavy oil recovery through reservoir proxy modeling (Journal of Petroleum Exploration and Production Technology 11 (12), 4415-4427, Tahun 2021)</t>
  </si>
  <si>
    <t>The effect of inaccessible pore volume and adsorption on polymer flooding for field scale injection in RZ field (AIP Conference Proceedings 2363 (1), 020016, Tahun 2021)</t>
  </si>
  <si>
    <t>Combination of Cyclic Steam Stimulation and Steam Flooding to Improve Oil Recovery in Unconsolidated Sand Heavy Oil Reservoir (Journal of Earth Energy Engineering 9 (2), 80-87, Tahun 2020)</t>
  </si>
  <si>
    <t>Simulasi Reservoir Heavy Oil dengan Multistaging Development Modifikasi Inverted 5-Spot Kombinasi Cyclic Steam Stimulation (CSS) dan Steamflooding (Seminar Nasional Teknik Kimia Kejuangan, 1, Tahun 2020)</t>
  </si>
  <si>
    <t>Optimization Study of Integrated Scenarios on Cyclic Steam Stimulation (CSS) Using CMG STARS Simulator (Journal of Petroleum and Geothermal Technology 1 (1), 8-14, Tahun 2020)</t>
  </si>
  <si>
    <t>An experimental study of inaccessible pore volume on polymer flooding and its effect on oil recovery (AIP Conference Proceedings 2245 (1), 070006, Tahun 2020)</t>
  </si>
  <si>
    <t>An Integrated Analysis for Post Hydraulic Fracturing Production Forecast in Conventional Oil Sand Reservoir (Journal of Earth Energy Engineering 10 (1), 1-17, Tahun 2021)</t>
  </si>
  <si>
    <t>Effect of age on serum metabolites of female Brahman crossbred cattle raised in an integration system of cattle-oil palm plantation in Central Kalimantan (J. Indones. Trop. Anim Agric 46 (1), 57-66, Tahun 2021)</t>
  </si>
  <si>
    <t>Integrated simulation system of CO2 gas injection application for enhanced oil recovery in the oil field (Journal of Petroleum Exploration and Production Technology 10 (8), 3917-3923, Tahun 2021)</t>
  </si>
  <si>
    <t>Identifikasi Keberadaan Air pada Proses Penyaluran Fluida Produksi di Lapangan Minyak Lepas Pantai (Eksergi 17 (2), 62-67, Tahun 2021)</t>
  </si>
  <si>
    <t>Determination of sharing oil losses using proportional and stratified methods in Krisna field (Journal of Petroleum Exploration and Production Technology 10 (2), 297-310, Tahun 2020)</t>
  </si>
  <si>
    <t>Waterflooding Management: Challenges and Solutions During the Injection Process to Obtain Effectively and Environmentally Based Oil Recovery in Oil and Gas Industry (IOP Conference Series: Earth and Environmental Science 690 (1), 012037,2021)</t>
  </si>
  <si>
    <t>Sand handling using progressive cavity pump (PCP) in mangga field (AIP Conference Proceedings 2245 (1), 030002, Tahun 2020)</t>
  </si>
  <si>
    <t>Reservoir Simulation Modeling With Polymer Injection in Naturally Fractured Carbonate Reservoir (Proceeding of LPPM UPN “Veteran” Yogyakarta Conference Series 2020–Engineering and Science Series,Tahun 2020)</t>
  </si>
  <si>
    <t>Production optimization with ESP methods on high GOR wells (AIP Conference Proceedings 2245 (1), 030006, Tahun 2020)</t>
  </si>
  <si>
    <t>Eko Widi Pramudiohadi</t>
  </si>
  <si>
    <t>Economic Analysis of the 55 MWe Gedongsongo Geothermal Power Plant Project (2019 9th International Conference on Power and Energy Systems (ICPES), 1-6, Tahun 2019)</t>
  </si>
  <si>
    <t>Integrated simulation system of CO2 gas injection application for enhanced oil recovery in the oil field (Journal of Petroleum Exploration and Production Technology, Tahun 2020)</t>
  </si>
  <si>
    <t>Identifikasi Keberadaan Air pada Proses Penyaluran Fluida Produksi di Lapangan Minyak Lepas Pantai (Eksergi 17 (2), 62-67, Tahun 2020)</t>
  </si>
  <si>
    <t>Hasil Uji Similaritas_Field Test of" U-Champ" Biosurfactant in Oil Spill Bioremediation (International Journal of Recent Technology and Engineering (IJRTE), Tahun 2021)</t>
  </si>
  <si>
    <t>Modeling of Crude Oil Types Classification Using the Naive Bayes Classifier Method (Proceeding of LPPM UPN “Veteran” Yogyakarta Conference Series 2020–Engineering and Science Series, Tahun 2020)</t>
  </si>
  <si>
    <t>Application of bio-surfactants as an effort to enhanced oil recovery (EOR) in Kawengan oil field (AIP Conference Proceedings 2245 (1), 090018, Tahun 2021)</t>
  </si>
  <si>
    <t>Uji Laboratorium Efektivitas Biosurfaktan “U-Champ” dalam Bioremediasi Oil Spill (Jurnal Mineral, Energi, dan Lingkungan 3 (2), 101-106, Tahun 2019)</t>
  </si>
  <si>
    <t>Aplikasi Biosurfaktan dalam Upaya Peningkatan Perolehan Minyak Tahap Lanjut: Uji Laboratorium pada Sampel Sumur KW-58 (PROSIDING SNCPP 2019" Pengembangan Ristek dan Pengabdian Menuju Hilirisasi Industri" LPPM UPN" Veteran" Yogyakart. Yogyakarta. 16-17 Oktober 2019, halaman 55-60)</t>
  </si>
  <si>
    <t>The effect of well drainage area on original oil in place estimation using material balance equation in mature oil field (AIP Conference Proceedings 2245 (1), 090019,Tahun 2020)</t>
  </si>
  <si>
    <t>Roles Of Quisionary Data To Assess The Vco (Virgin Coconut Oil) Micro Business Performance In The Bojong 3 State, Bojong Village, Panjatan Sub-District, Kulons Progo Regency (Journal of Physics: Conference Series 1764 (1), 012202, Tahun 2021)</t>
  </si>
  <si>
    <t>Diseminasi hasil penelitian peningkatan kualitas VCO menjadi VICOIL untuk Desa Bojong, Panjatan, Kulon Progo (Prosiding Seminar Nasional LPPM, Tahun 2021)</t>
  </si>
  <si>
    <t>The Effects of VICOIL Bopanprog Usage as a Substitute for Crude Oil for Oil-Based Drilling Fluids (Proceeding of LPPM UPN “Veteran” Yogyakarta Conference Series 2020–Engineering and Science Series,284-294, Tahun 2020)</t>
  </si>
  <si>
    <t>Proses Aktivasi Dalam Peningkatan Kualitas VICOIL BOPANPROG Desa Bojong, Kecamatan Panjatan, Kabupaten Kulonprogo (Uwais Inspirasi Indonesia, tahun 2020)</t>
  </si>
  <si>
    <t>Rapid Lava Sand Filtration for Decentralized Produced Water Treatment System in Old Oil Well Wonocolo (Journal of the Civil Engineering Forum 5 (2), 113-122, Tahun 2019)</t>
  </si>
  <si>
    <t>Increasing Public Interest on Reading through Physical and Digital Library in Karangmojo Village (RSF Conference Series: Business, Management and Social Sciences 1 (4), 218-222, Tahun 2021)</t>
  </si>
  <si>
    <t>Squeeze Cementing Using Braden Head Squeeze Method On ‘Dsr-29’Well Tarakan Field PT. Medco E&amp;P Indonesia (Journal of Petroleum and Geothermal Technology 1 (1), 15-27, Tahun 2020)</t>
  </si>
  <si>
    <t>PEMANFATAN LAHAN PEKARANGAN UNTUK PERTANIAN ORGANIK DI BANTUL, YOGYAKARTA (Dharma LPPM 3 (1), Tahun 2022)</t>
  </si>
  <si>
    <t>https://scholar.google.com/citations?hl=id&amp;user=f-3UPYEAAAAJ&amp;view_op=list_works&amp;sortby=pubdate</t>
  </si>
  <si>
    <t>https://scholar.google.com/citations?hl=id&amp;user=AgVuxOYAAAAJ</t>
  </si>
  <si>
    <t>https://scholar.google.com/citations?hl=id&amp;user=obtWRv0AAAAJ</t>
  </si>
  <si>
    <t>https://scholar.google.com/citations?hl=id&amp;user=SDfmLzEAAAAJ</t>
  </si>
  <si>
    <t>https://scholar.google.com/citations?hl=id&amp;user=X0QBA3sAAAAJ</t>
  </si>
  <si>
    <t>https://scholar.google.com/citations?hl=id&amp;user=Rr2LwCEAAAAJ</t>
  </si>
  <si>
    <t>https://scholar.google.com/citations?hl=id&amp;user=nzYQtlIAAAAJ</t>
  </si>
  <si>
    <t>https://scholar.google.com/citations?hl=id&amp;user=CpgB2DQAAAAJ</t>
  </si>
  <si>
    <t>https://scholar.google.com/citations?hl=id&amp;user=xz6tPdAAAAAJ</t>
  </si>
  <si>
    <t>https://scholar.google.com/citations?hl=id&amp;user=c69L1lkAAAAJ</t>
  </si>
  <si>
    <t>https://scholar.google.com/citations?hl=id&amp;user=-kyp-IIAAAAJ</t>
  </si>
  <si>
    <t>https://scholar.google.com/citations?hl=id&amp;user=j4Kn1QUAAAAJ</t>
  </si>
  <si>
    <t>https://scholar.google.com/citations?hl=id&amp;user=XemmpuwAAAAJ</t>
  </si>
  <si>
    <t>https://scholar.google.com/citations?hl=id&amp;user=WcHC8KgAAAAJ</t>
  </si>
  <si>
    <t>https://scholar.google.com/citations?hl=id&amp;user=pc1a2wsAAAAJ</t>
  </si>
  <si>
    <t>https://scholar.google.com/citations?hl=id&amp;user=NtQzjeoAAAAJ</t>
  </si>
  <si>
    <t>https://scholar.google.com/citations?hl=id&amp;user=7kgxXGYAAAAJ</t>
  </si>
  <si>
    <t>https://scholar.google.com/citations?hl=id&amp;user=-olQ9bkAAAAJ</t>
  </si>
  <si>
    <t>Nama Kegiatan</t>
  </si>
  <si>
    <t>Waktu Perolehan (HH/BB/TTTT)</t>
  </si>
  <si>
    <t>Prestasi yang Dicapai</t>
  </si>
  <si>
    <t>Lokal/ Wilayah</t>
  </si>
  <si>
    <t>Boreyes International Energy Fair International - Universitas Padjadjaran- Oil Rig Design Competition;  Nama Mahasiswa: Kadek A. Pratiwi, Risky Adhitya, M. Iqbal Arrizqi, Ahmad F. Muzakki dan Fadli Ramdhani</t>
  </si>
  <si>
    <t>v</t>
  </si>
  <si>
    <t>Juara 2</t>
  </si>
  <si>
    <t>Energy Challenge dan Plan Idea; Nama Mahasiswa: Muhammad Yusrin</t>
  </si>
  <si>
    <t>Juara 3</t>
  </si>
  <si>
    <t>Petroleum Incorporated Fair (PI) - Universitas Trisakti International Oil Rig Design; Nama Mahasiswa: Nur I. Tarsila, Farrel M. Daffa, Angelica C. Zefanya, C. Frento J. Aponno dan M.Chaeul Umam</t>
  </si>
  <si>
    <t>Juara 1</t>
  </si>
  <si>
    <t>Inception - Smart Competition; Nama Mahasiswa: Alfiona Deovani, Faskanata R. G. Tampubolon dan Isaac A. Z. Ola</t>
  </si>
  <si>
    <t>Biodiesel Challenge - Ide Design Grafis dan Video; Nama Mahasiswa: Michael Hebron</t>
  </si>
  <si>
    <t>Rangkaian Acara IATMI Satukan Energi (RAISE) 2022 - UPN "Veteran Yogyakarta - Fracturing Fluid Design Competition; Nama Mahasiswa: Akila Trevina, Falah Nuruzaman dan Adella Rosanaulia</t>
  </si>
  <si>
    <t>Pelantar 2021 - Universiti Teknologi Mara - Oil Rig Design Competition; Nama Mahasiswa: Nur I. Tarsila, Farrel M. Daffa, Angelica C. Zefanya, C. Frento J. Aponno dan M.Chaeul Umam</t>
  </si>
  <si>
    <t>Integrated Petroleum Festival (IPFEST) - Institut Teknologi Bandung - International Oil Rig Design Competition; Nama Mahasiswa: Yovi D. Pranajaya, Anindya Tiaradevianti, Fardhan Nauval, Umi Kalsum dan Gilang M. Farrel</t>
  </si>
  <si>
    <t>Integrated Petroleum Festival (IPFEST) International Oil Rig Design Competition; Nama Mahasiswa: Kessya S. Manalu, Gilang Dirgantara, Immanuel P. Ananta S., Maulana Y. Hanafi dan Arif Perdana</t>
  </si>
  <si>
    <t>Petroleum Integrated Days (PETROLIDA) - Institut Teknologi Sepuluh November - International Oil Rig Design Competition; Nama Mahasiswa: Kessya S. Manalu, Gilang Dirgantara, Immanuel P. Ananta S., Maulana Y. Hanafi dan Arif Perdana</t>
  </si>
  <si>
    <t>Biodiesel Challenge; Nama Mahasiswa: Ravi A. Ghasani</t>
  </si>
  <si>
    <t>Boreyes International Energy Fair International 2021 - Universitas Padjadjaran - Paper &amp; Poster Competition; Nama Mahasiswa: Adinata</t>
  </si>
  <si>
    <t>Smart Drilling Software Workshop Competition (SDSWC) 2021 - Halliburton; Nama Mahasiswa: Angel Bendicta Horta, Falah Nuruzaman dan Nabila Hasna Afif</t>
  </si>
  <si>
    <t>Derrick 2021 - PEM AKA Migas Cepu - Oil rig Design Competition; Nama Mahasiswa: Kessya S. Manalu, Gilang Dirgantara, Immanuel P. Ananta S., Maulana Y. Hanafi dan Arif Perdana</t>
  </si>
  <si>
    <t>Central &amp; Eastern Indonesia Petroleum Summit (CEIPS) 2021</t>
  </si>
  <si>
    <t>Oil &amp; Gas Intellectual Parade (OGIP) 2021 - UPN "Veteran Yogyakarta - Reservoir Simulation; Nama Mahasiswa: Sahat Glenten dan Faskanata Tampubolon</t>
  </si>
  <si>
    <t>Oil &amp; Gas Intellectual Parade (OGIP) 2021 - UPN "Veteran Yogyakarta - Paper Poster; Nama Mahasiswa: Khalifatur Aflah, Andi A. Alamsyah dan Ravi A. Ghasani</t>
  </si>
  <si>
    <t>PYRO Paper Conference 2021; Nama Mahasiswa: Muhammad Akram R., Reynaldi Mulyawan dan M. Cakrawala P.</t>
  </si>
  <si>
    <t>Gevoir 2022 - Universitas Trisakti - Paper Competition; Nama Mahasiswa: Muhammad Akram R., Reynaldi Mulyawan dan M. Cakrawala P.</t>
  </si>
  <si>
    <t>National Paper Poster Geology and Mineral Technology; Nama Mahasiswa: Khalifatur Aflah, Andi A. Alamsyah dan Ravi A. Ghasani</t>
  </si>
  <si>
    <t>Integrated Petroleum Festival (IPFEST) ITB - Geothermal Development Plan Competition; Nama Mahasiswa: Dwiki R. Pangestiko, Nur Laela Niswatin, Ashidik Masri dan M. Zulfikar Arrifqi</t>
  </si>
  <si>
    <t>Integrated Petroleum Festival (IPFEST) ITB - Business Case Competition; Nama Mahasiswa: Dhiyan Fauzan dan Anthony Edbert</t>
  </si>
  <si>
    <t>Integrated Petroleum Festival (IPFest) ITB - Mud Innovation Competition; Nama Mahasiswa: Angel Bendicta Horta, Falah Nuruzaman dan Nabila Hasna Afif</t>
  </si>
  <si>
    <t>Oil &amp; Gas Intellectual Parade (OGIP) 2022 - UPN "Veteran Yogyakarta - Oil Rig Design Competition; Nama Mahasiswa: Bima E. Pratama, Syafrin Kulsum A, Paskalis Louis dan Listya Cahya R</t>
  </si>
  <si>
    <t>PGD 2022 - Universitas Indonesia - Smart Competition; Nama Mahasiswa: Alfiona Deovani, Faskanata R. G. Tampubolon</t>
  </si>
  <si>
    <t>Petrofair STT Migas Balikpapan - Paper Competition; Nama Mahasiswa: Khalifatur Aflah, Andi A. Alamsyah dan Ravi A. Ghasani</t>
  </si>
  <si>
    <t>Petrofair STT Migas Balikpapan - Case Study Competition; Nama Mahasiswa: Muhammad Akram R., Reynaldi Mulyawan dan Muhammad Cakrawala P.</t>
  </si>
  <si>
    <t>Boreyes - Universitas Padjadjaran- Smart Competition; Nama Mahasiswa: Alfiona Deovani, Faskanata R. G. Tampubolon</t>
  </si>
  <si>
    <t>Boreyes -Universitas Padjadjaran- Oil Rig Design Competition; Nama Mahasiswa: Nur Ilham Tarsila, Farrel M. Daffa, Angelica C. Zefanya, C. Frento Aponno, dan M. Chaerul Umam</t>
  </si>
  <si>
    <t>Petrolida 2022 - Institut Teknologi Sepuluh November - Fracturing Fluid Design Competition; Nama Mahasiswa: Akila Trevina, Falah Nuruzaman dan Adella Rosanaulia</t>
  </si>
  <si>
    <t>Integrated Petroleum Festival (IPFEST) ITB - Plan of Development; Nama Mahasiswa: Akila Trevina, Deskal R. Ramdo, Sahat Glenten, Immanuel Prasetu dan Irfan Fadhilah</t>
  </si>
  <si>
    <t>PROTECT 2022 - Drilling Fluid Design  Competition; Nama Mahasiswa: Dessy Indah Intan, Kesuma A. Oerika dan Mikha Seraf Tio</t>
  </si>
  <si>
    <t>juara 2</t>
  </si>
  <si>
    <t>Petroleum Incorporated Fair (PI) 2022 - Universitas Trisakti  - Mud Innovation Competition; Nama Mahasiswa: Dessy Indah Intan, Kesuma A. Oerika dan Mikha Seraf Tio</t>
  </si>
  <si>
    <t>Petroleum Incorporated Fair (PI) 2022 - Smart Competition; Nama Mahasiswa: Alfiona Deovani, Faskanata Tampubolon dan Isaac Aaron Ola</t>
  </si>
  <si>
    <t>juara 1</t>
  </si>
  <si>
    <t>Petroleum Incorporated Fair (PI) 2022 - Oil Rig Desain Competition; Nama Mahasiswa: Bima E. Pratama, Syafrin Kulsum A., Paskalis Lous, Listya Cahya dan Muhammad Yusinr</t>
  </si>
  <si>
    <t>G-Fest 2022 - UPN "Veteran Yogyakarta - Geothermal Essay Competition; Nama Mahasiswa: Ravi A. Ghasani, Ilyas Abdurahman, M. Alfian Dirgantara, Andi A. Alamsyah</t>
  </si>
  <si>
    <t>juara 3</t>
  </si>
  <si>
    <t>Speedfest 2022 - UPN "Veteran Yogyakarta - case study competition; Nama Mahasiswa: Dhiyan Fauzan, Ilham Ananda, Rachmatan Naufal</t>
  </si>
  <si>
    <t>Favorite Winner</t>
  </si>
  <si>
    <t>Integrated Petroleum Festival (IPFEST) 2023 - ITB - Business Case Competition: Nama Mahasiswa: Dhiyan Fauzan, Anthony Edbert dan Ilham Ananda</t>
  </si>
  <si>
    <t>Integrated Petroleum Festival (IPFEST) 2023 - ITB - Oil Rig Desain Competition; Nama Mahasiswa: Kadek A. Pratiwi, Risky Adhitya, M. Iqbal Arrizqi, Ahmad F. Muzakki dan Fadli Ramdhani</t>
  </si>
  <si>
    <t>Integrated Petroleum Festival (IPFEST) 2023 - ITB - Oil Rig Desain Competition; Nama Mahasiswa: Bima E. Pratama, Syafrin Kulsum A., Paskalis louis dan Muhammad Yusrin</t>
  </si>
  <si>
    <t>Inception 2023 - Paper Competition; Nama Mahasiswa: Listya Cahya R.</t>
  </si>
  <si>
    <t>Badan Kejuruan Teknik Perminyakan dan Geothermal (BKMTG) - Persatuan Insinyur Indonesia; Nama Mahasiswa: Ahmad Faiz Muzakki dan M. Iqbal Arrizqi</t>
  </si>
  <si>
    <t>Boreyes International Energy Fair 2023 - Universitas Padjajaran - Paper and Poster Competition; Nama Mahasiswa: Difa Rizqi dan Michael H. Sinaga</t>
  </si>
  <si>
    <t>Boreyes International Energy Fair 2023 - Universitas Padjajaran - Oil Rig Design Competition; Nama Mahasiswa: Kadek A. Pratiwi, Risky Adhitya dan Fadli Ramdhani</t>
  </si>
  <si>
    <t>Oil &amp; Gas Intellectual Parade (OGIP) 2023 - UPN "Veteran Yogyakarta - Oil Rig Design</t>
  </si>
  <si>
    <t>Oil &amp; Gas Intellectual Parade (OGIP) 2023 - UPN "Veteran Yogyakarta - Oil Rig Design; Nama Mahasiswa: Kadek A. Pratiwi, Risky Adhitya dan Fadli Ramdhani</t>
  </si>
  <si>
    <t>Integrated Petroleum Festival (IPFEST) 2023 - ITB -  Oil Rig Design; Nama Mahasiswa: Kadek A. Pratiwi, Risky Adhitya dan Fadli Ramdhani</t>
  </si>
  <si>
    <t>Pekan Olahraga, Seni, dan Ilmiah Mahasiswa Nasional Widya Mwat Yasa Cabang Pencak Silat kelas B</t>
  </si>
  <si>
    <t>Pekan Olahraga, Seni, dan Ilmiah Mahasiswa Nasional Widya Mwat Yasa Cabang Pencak Silat kelas E</t>
  </si>
  <si>
    <t>Pekan Olahraga, Seni, dan Ilmiah Mahasiswa Nasional Widya Mwat Yasa Cabang Bulutangkis Ganda Campuran</t>
  </si>
  <si>
    <t>Pekan Olahraga, Seni, dan Ilmiah Mahasiswa Nasional Widya Mwat Yasa Cabang Basket Putri</t>
  </si>
  <si>
    <t>Pekan Olahraga, Seni, dan Ilmiah Mahasiswa Nasional Widya Mwat Yasa Cabang Basket Putra</t>
  </si>
  <si>
    <t>Yogyakarta, 1 September 2023</t>
  </si>
  <si>
    <t>Koordinator Prodi Sarjana Teknik Perminyakan UPN "Veteran" Yogyakarta</t>
  </si>
  <si>
    <t>NIP. 1972 1102 202121 1 007</t>
  </si>
  <si>
    <t>https://drive.google.com/drive/folders/1UkSF7qUthjF6l_o9E3cQMB7ylMvDJaU0?usp=sharing</t>
  </si>
  <si>
    <t>https://drive.google.com/drive/folders/18UhRJXYV_V19eZu0Q4Pny1oLhkE-LPSX?usp=sharing</t>
  </si>
  <si>
    <t>https://drive.google.com/drive/folders/1t0B51loOQ7FZoqUUmz7KOYNeU8RC2XfJ?usp=sharing</t>
  </si>
  <si>
    <t>https://drive.google.com/file/d/1KpBhRof-6kdULoD_n6HpCkYIdKH2_i4e/view?usp=sharing</t>
  </si>
  <si>
    <t>Boreyes International Energy Fair International 2021 - Paper &amp; Poster Competition - Universitas Padjadjaran; Nama Mahasiswa: Adinata</t>
  </si>
  <si>
    <t>Boreyes International Energy Fair International 2021  - Paper &amp; Poster Competition - Universitas Padjadjaran; Nama Mahasiswa: Eureka</t>
  </si>
  <si>
    <t>https://drive.google.com/file/d/1tcjs6eCaWG0cQvDXJDnmS2gWX-2P2fBL/view?usp=sharing</t>
  </si>
  <si>
    <t>https://drive.google.com/file/d/1mjOMlfrTAHz9_UYF_jRkpr3VsBpOvP2N/view?usp=sharing</t>
  </si>
  <si>
    <t>https://drive.google.com/file/d/1tSA5IzQe6oqwnrG_CIENDDvzDhB-0-NI/view?usp=sharing</t>
  </si>
  <si>
    <t>https://drive.google.com/drive/folders/1bDeMCC2YN-LrPuVpW9boRgwVxsvcQ8Tc?usp=sharing</t>
  </si>
  <si>
    <t>https://drive.google.com/drive/folders/1k6eyQopF58Sn7VzCrufsCtNcSIulsRta?usp=sharing</t>
  </si>
  <si>
    <t>https://drive.google.com/drive/folders/18BL1U1KMoY8SWh2CZOZ2g5tkSHYyeCTK?usp=sharing</t>
  </si>
  <si>
    <t>https://drive.google.com/drive/folders/1P9Ry0dWMM0ow70U84_2XfX0JgaZTAbyI?usp=sharing</t>
  </si>
  <si>
    <t>https://drive.google.com/drive/folders/1rJCGax6s6D89kZrv2w2zrpYRL3y9EiCt?usp=sharing</t>
  </si>
  <si>
    <t>https://drive.google.com/drive/folders/1SwNUlDEH6KYF1eIHDhmLK-18EuDmJZwV?usp=sharing</t>
  </si>
  <si>
    <t>https://drive.google.com/file/d/1CqhNymPqNcENuCE2iw83IBcSqAfGy2KR/view?usp=sharing</t>
  </si>
  <si>
    <t>https://drive.google.com/file/d/1kOzou_ED_8GCoAqQbmV8o4S9qorekN6W/view?usp=sharing</t>
  </si>
  <si>
    <t>https://drive.google.com/file/d/1wLAcIqIzPwttXyzwtSC5UJ5BWxIZx5sh/view?usp=sharing</t>
  </si>
  <si>
    <t>https://drive.google.com/file/d/11jUXvyWom7E9KUWPs6tnEVL0DuOEMf-k/view?usp=sharing</t>
  </si>
  <si>
    <t>https://drive.google.com/file/d/1Z2OVyyUG0gNGTRByuEQrRcVRop4K-kp9/view?usp=sharing</t>
  </si>
  <si>
    <t>International Petroleum Technology Conference (IPTC) 2022; Nama Mahasiswa: M. Arif Perdana</t>
  </si>
  <si>
    <t>https://drive.google.com/drive/folders/1FSNzkMpdDbNkhWJWrxwDV6GePZB55eLj?usp=sharing</t>
  </si>
  <si>
    <t>Oil &amp; Gas Intellectual Parade (OGIP) 2022 - UPN "Veteran Yogyakarta - Smart Competition; Nama Mahasiswa: Kesuma A. Oerika, Natalie N. Jabiy dan Mika S. Tio</t>
  </si>
  <si>
    <t>https://drive.google.com/drive/folders/1wIPuGQUU46PgCsaB-nrnrNs3Vd6Uxi35?usp=sharing</t>
  </si>
  <si>
    <t>https://drive.google.com/drive/folders/15m49ntEI-HEPRtNPpevpKHR6cHhXnQBy?usp=sharing</t>
  </si>
  <si>
    <t>Oil &amp; Gas Intellectual Parade (OGIP) 2022 - UPN "Veteran Yogyakarta - Reservoar Simulation Competition; Nama Mahasiswa: Angela B. Horta, Rahmat Solihin dan Falah Nuruzaman</t>
  </si>
  <si>
    <t>https://drive.google.com/drive/folders/1vshWvuPJ21L2VO72KEGQjlyLOLeCQiZt?usp=sharing</t>
  </si>
  <si>
    <t>https://drive.google.com/file/d/1rB7BjqUfVoQJT8NVHTlS_SGNQLm1HKDu/view?usp=sharing</t>
  </si>
  <si>
    <t>https://drive.google.com/file/d/1Lckt-c0YiqWiW3obd_nfqnCHTqYMJoJl/view?usp=sharing</t>
  </si>
  <si>
    <t>https://drive.google.com/drive/folders/1jbCafhGHgxcaoZDwZFo8-wSfEO1cJx5g?usp=sharing</t>
  </si>
  <si>
    <t>https://drive.google.com/drive/folders/1JTdusGvijaQP53gM9rNttFJNx2Baijdb?usp=sharing</t>
  </si>
  <si>
    <t>https://drive.google.com/drive/folders/1MQ-gcELplvk3Bsls8sbeUxlo5glT0mC2?usp=sharing</t>
  </si>
  <si>
    <t>Petro Bootcamp SPE Petrologue 2022 - ITB - Reservoir Simulation; Nama Mahasiswa: Gabriele T Halomoan, Maulana Y. Hanafi dan Faustina Leonita</t>
  </si>
  <si>
    <t>https://drive.google.com/drive/folders/1XKW1qs-oL4wmC8nEs3WRS8GTTbEoSCGy?usp=sharing</t>
  </si>
  <si>
    <t>https://drive.google.com/drive/folders/1IP_zGjyzG0HIsJb-IFGRP5XDKVm4zmxP?usp=sharing</t>
  </si>
  <si>
    <t>https://drive.google.com/file/d/11dU2xwiGGe1pnHDlmSQcTtZdFUnqID6h/view?usp=sharing</t>
  </si>
  <si>
    <t>https://drive.google.com/file/d/1FMpG689GvLT8eMhsa5dDKDUGmOxJMf9I/view?usp=sharing</t>
  </si>
  <si>
    <t>https://drive.google.com/file/d/1Y5RMzahLa7oYRrxbB1hScEfaBYOHDvwR/view?usp=sharing</t>
  </si>
  <si>
    <t>https://drive.google.com/drive/folders/1rVYZ2fwSCtqrpvYDWEuv1dcBT8OfioS-?usp=sharing</t>
  </si>
  <si>
    <t>https://drive.google.com/drive/folders/15JujkWBzZezMXczX2gSYdFCVOM_E3Ef2?usp=sharing</t>
  </si>
  <si>
    <t>https://drive.google.com/drive/folders/1uzRaPPbauXRljc1GJHsEO0phR9t6jAW8?usp=sharing</t>
  </si>
  <si>
    <t>Judul Luaran Penelitian dan PkM</t>
  </si>
  <si>
    <t>Tanggal (HH/BB/TTTT)</t>
  </si>
  <si>
    <t>Nomor Paten (Granted)</t>
  </si>
  <si>
    <t>I</t>
  </si>
  <si>
    <t>HKI: a) Paten, b) Paten Sederhana</t>
  </si>
  <si>
    <t>Judul: Proses Perolehan Minyak Tahap Lanjut (EOR) dengan Polimer HPAM-Si sebagai Agen Injeki Kimia; DTPS: Suranto, Boni Swadesi, dan Ratna Widyaningsih</t>
  </si>
  <si>
    <t>IDS000003147</t>
  </si>
  <si>
    <t>Judul: Sistem Otomatisasi Pompa Minyak untuk Kontrol Gas Pompa Benam Listrik; DTPS: Sayoga Heru</t>
  </si>
  <si>
    <t>IDP000085020</t>
  </si>
  <si>
    <t>II</t>
  </si>
  <si>
    <t>HKI: a) Hak Cipta, b) Desain Produk Industri,  c) Desain Tata Letak Sirkuit Terpadu, d) dll.)</t>
  </si>
  <si>
    <t>Hak Cipta Buku: Simulasi Monte Carlo untuk Estimasi Sumber Daya Geothermal dengan Excel; DTPS: Allen Haryanto L.</t>
  </si>
  <si>
    <t>000176236</t>
  </si>
  <si>
    <t>Hak Cipta Buku: Teknik Operasi &amp; Perancangan Pemboran; DTPS: Allen Haryanto L.</t>
  </si>
  <si>
    <t>000176237</t>
  </si>
  <si>
    <t>Hak Cipta Buku: Strategi Pengembangan UKM Pemanfaatan Vicoil sebagai Kegiatan Upaya Menunjang Operasi Pemboran Migas dan Panasbumi; DTPS: KRT. Nur Suhascaryo</t>
  </si>
  <si>
    <t>000205433</t>
  </si>
  <si>
    <t>Hak Cipta Buku : Pemodelan Numerik Laju Pembentukan Calcite scalling menggunakan software CMG Stars pada Sumur Panas Bumi; DTPS: Herianto dan Bambang Bintarto</t>
  </si>
  <si>
    <t>000176233</t>
  </si>
  <si>
    <t>Hak Cipta Buku : Pengaruh Terbentuknya Sedimen Silika pada Penurunan Laju Produksi Sumur Panas Bumi; DTPS: Herianto dan Bambang Bintarto</t>
  </si>
  <si>
    <t>000176235</t>
  </si>
  <si>
    <t>Hak Cipta Buku : Langkah Kerja Pemodelan Numerik Pembentukan Scaling Menggunakan Software SMG-STARS pada Sumur Panas Bumi; DTPS: Herianto dan Bambang Bintarto</t>
  </si>
  <si>
    <t>000176239</t>
  </si>
  <si>
    <t>Hak Cipta Buku: Pemodelan Injeksi Air dengan Salinitas Rendah dalam Pengurasan Minyak Ringan; DTPS: Suranto dan Ratna Widyaningsih</t>
  </si>
  <si>
    <t>000210741</t>
  </si>
  <si>
    <t>Hak Cipta Program Komputer: RASPER-UPN (Realtime Assessment for Student of Petroleum Engineering UPN); DTPS: Herianto dan Ratna Widyaningsih</t>
  </si>
  <si>
    <t>000178107</t>
  </si>
  <si>
    <t>Hak Cipta Buku: Pemodelan Sifat Fisik Minyak Bumi dalam Proses Enhanced Oil Recovery (EOR) Menggunakan Metode Naïve Bayes Classifier dan Multivariate Polynomial Regression; DTPS: Harry Budiharjo, Joko Pamungkas dan Indah Widiyaningsih</t>
  </si>
  <si>
    <t>000202262</t>
  </si>
  <si>
    <t>Hak Cipta Buku: Manajemen Laboratorium; DTPS: Suranto, Boni Swadesi dan Dewi Asmorowati</t>
  </si>
  <si>
    <t>000177899</t>
  </si>
  <si>
    <t>000178551</t>
  </si>
  <si>
    <t>Hak Cipta Buku: 3D MODELING RESERVOIR GEOTHERMAL; DTPS: Dewi Asmorowati dan Allen Haryanto L.</t>
  </si>
  <si>
    <t>000176234</t>
  </si>
  <si>
    <t>Hak Cipta Buku: Injeksi Polimer Dengan Media Micromodel Dalam Perolehan Minyak Tahap Lanjut; DTPS: Dedy Kristanto dan Boni Swadesi</t>
  </si>
  <si>
    <t>000204588</t>
  </si>
  <si>
    <t>Hak Cipta Buku: Simulasi Reservoir Injeksi Polimer Pada Reservoir Rekah Alami Batuan Karbonat; DTPS: Mia Ferian H., Edgie Yuda K., dan Indah Widiyaningsih</t>
  </si>
  <si>
    <t>000204313</t>
  </si>
  <si>
    <t>Hak Cipta Buku: Buku Panduan Pelaksanaan Kerja Praktik Program Studi S1 Teknik Perminyakan Fakultas Teknologi Mineral UPN “Veteran” Yogyakarta; DTPS: Dewi Asmorowati, Mia Ferian H., Bambang Bintarto</t>
  </si>
  <si>
    <t>000204591</t>
  </si>
  <si>
    <t>Hak Cipta Buku: Standar Operasional Prosedur (SOP) Journal Of Petroleum And Geothermal Technology; DTPS: Dyah Rini dan Boni Swadesi</t>
  </si>
  <si>
    <t>000204824</t>
  </si>
  <si>
    <t>Hak Cipta Buku: Optimasi Strategi Pengembangan Kombinasi Steamflooding Dan Cyclic Steam Stimulation Dalam Meningkatkan Perolehan Minyak Berat Tahap Lanjut; DTPS: Boni Swadesi dan Suranto</t>
  </si>
  <si>
    <t>000205391</t>
  </si>
  <si>
    <t>Hak Cipta Buku: Pemanfaatan Langsung Fluida Panas Bumi Untuk Budidaya Ikan Gurame Di Yogyakarta; DTPS: Allen Haryanto L., dan Mia Ferian H.</t>
  </si>
  <si>
    <t>000205591</t>
  </si>
  <si>
    <t>Hak Cipta Buku: Pemetaan Singkapan Di Indonesia Berdasarkan Pada Karakteristik Reservoar Migas Studi Kasus “Cekungan Jawa Timur Utara”; DTPS: Bambang Bintarto dan Boni Swadesi</t>
  </si>
  <si>
    <t>000206730</t>
  </si>
  <si>
    <t>Hak Cipta Buku: Strategi Pengembangan “Journal Of Petroleum And Geothermal Technology (JPGT)” Menuju Akreditasi Nasional; DTPS: Hariyadi dan MTh. Kristiati</t>
  </si>
  <si>
    <t>000263357</t>
  </si>
  <si>
    <t>Hak Cipta Buku: Teori dan Aplikasi Pemboran Berarah pada Sumur Minyak dan Gas; DTPS: Herianto dan P. Subiatmono; DTPS: Herianto dan P. Subiatmono</t>
  </si>
  <si>
    <t>000265987</t>
  </si>
  <si>
    <t>Hak Cipta Buku: Pengujian Laboratorium Statik Dan Dinamik Fluida Perekah (Polimer) Untuk Operasi Hydraulic Fracturing; DTPS: Boni Swadesi dan Mia Ferian H.</t>
  </si>
  <si>
    <t>000263465</t>
  </si>
  <si>
    <t>Hak Cipta Buku: Prosedur Pemodelan Geomekanik 1D Berdasarkan Data Log Sumur dan Aplikasinya; DTPS: Aris Buntoro</t>
  </si>
  <si>
    <t>000262125</t>
  </si>
  <si>
    <t>Hak Cipta Buku: Aplikasi Pemodelan Sifat Fisik Minyak Bumi dalam Proses Enhanced Oil Recovery (EOR) Berbasis Dekstop; DTPS: Harry Budiharjo</t>
  </si>
  <si>
    <t>000265849</t>
  </si>
  <si>
    <t>Hak Cipta Buku: The Summary Of Gas Condensate And Gas Reservoir Performance; DTPS: Edgie Yuda K., dan Mia Ferian H.</t>
  </si>
  <si>
    <t>000265981</t>
  </si>
  <si>
    <t>Hak Cipta Buku: Studi Injeksi Polimer Dengan Menggunakan Media Micromodel Dalam Meningkatkan Perolehan Minyak Tahap Lanjut; DTPS: Dedy Kristanto dan Boni Swadesi</t>
  </si>
  <si>
    <t>000263377</t>
  </si>
  <si>
    <t>Hak Cipta Buku: Standar Operasional Prosedur Peralatan Laboratorium Enhanced Oil Recovery; DTPS: Harry Budiharjo dan Dyah Rini</t>
  </si>
  <si>
    <t>000263034</t>
  </si>
  <si>
    <t>Hak Cipta Buku: Peningkatan Publikasi Artikel Ilmiah Mahasiswa Teknik Perminyakan Untuk Menunjang Indikator Kinerja Utama Dengan Menyediakan Fasilitas Ruang Publikasi; DTPS: Boni Swadesi dan KRT. Nur Suhascaryo</t>
  </si>
  <si>
    <t>000265848</t>
  </si>
  <si>
    <t>Hak Cipta Buku: Teknik Reservoir Gas Alam; DTPS: Dyah Rini R., dan Suranto</t>
  </si>
  <si>
    <t>000266909</t>
  </si>
  <si>
    <t>Hak Cipta Buku: Optimasi Biosurfaktan "U-Champ" dalam Upaya Peningkatan Perolehan Minyak Tahap Lanjut; DTPS: Harry Budhiharjo dan Joko Pamungkas</t>
  </si>
  <si>
    <t>000263040</t>
  </si>
  <si>
    <t>Hak Cipta Buku: Compatibility Based Fracturing Fluid dengan Crosslink dan Breaker; DTPS: Dedy Kristanto, Dewi Asmorowati, dan Mia Ferian H</t>
  </si>
  <si>
    <t>000376611</t>
  </si>
  <si>
    <t>Hak Cipta Buku: Identifikasi Dan Penanganan Problem Scale Pada Electric Submersible Pump (ESP) Sumur-Sumur Di Lapangan Tanjung; DTPS: Dyah Rini, Boni Swadesi, dan Mia Ferian H</t>
  </si>
  <si>
    <t>000376429</t>
  </si>
  <si>
    <t>Hak Cipta Buku: Penerapan Konsep Mobility Desain terhadap Incremental Oil pada Injeksi Polimer; DTPS: Boni Swadesi, Dewi Asmorowati, dan Indah Widiyaningsih</t>
  </si>
  <si>
    <t>000376700</t>
  </si>
  <si>
    <t>Hak Cipta Buku: Prospek Surfaktan Berbahan Dasar Ketapang sebagai Alternatif untuk Injeksi Kimia pada Metode Enhanced Oil Recovery (EOR); DTPS: Harry Budiharjo dan Joko Pamungkas</t>
  </si>
  <si>
    <t>000369239</t>
  </si>
  <si>
    <t>Hak Cipta Buku: Teori Dan Aplikasi Binary Cycle Pembangkit Listrik Skala Kecil Dengan Pemanfaatan Fluida Panas Bumi; DTPS: Herianto, Dyah Rini dan Dewi Asmorowati</t>
  </si>
  <si>
    <t>000383021</t>
  </si>
  <si>
    <t>Hak Cipta Buku : Peningkatan Publikasi Ilmiah Dosen Jurusan Teknik Perminyakan Melalui Penerbitan Jurnal Nasional Cetak Dan Online; DTPS: Hariyadi, MTh. Kristiati dan Ristiyan Ragil</t>
  </si>
  <si>
    <t>000376697</t>
  </si>
  <si>
    <t>IV</t>
  </si>
  <si>
    <t>Optimasi Strategi Pengembangan Kombinasi Steamflooding dan Cyclic Steam Stimulation dalam Meningkatkan Perolehan Minyak Berat Tahap Lanjut; DTPS: Boni Swadesi, Suranto, Ratna Widyaningsih dan Indah Widiyaningsih</t>
  </si>
  <si>
    <t>978-623-6797-25-9</t>
  </si>
  <si>
    <t>Kombinasi Cyclic Steam Stimulation (CSS) dan Steamflooding dalam Meningkatkan Perolehan Minyak Berat Tahap Lanjut; DTPS: Suranto, Boni Swadesi, Ratna Widyaningsih dan Indah Widiyaningsih.</t>
  </si>
  <si>
    <t>978-623-91967-2-1</t>
  </si>
  <si>
    <t>Pemetaan Singkapan di Indonesia Berdasarkan pada Karakteristik Reservoir Migas Studi Kasus "Cekungan Jawa Timur Utara"; DTPS: Bambang Bintarto, Boni Swadesi dam Edgie Yuda K.</t>
  </si>
  <si>
    <t>978-623-6797-60-0</t>
  </si>
  <si>
    <t>Injeksi Polimer Dengan Media Micromodel dalam Perolehan Minyak Tahap Lanjut; DTPS: Dedy Kristanto, Boni Swadesi dan Indah Widiyaningsih</t>
  </si>
  <si>
    <t>978-623-7840-88-6</t>
  </si>
  <si>
    <t>Buku Panduan Pelaksanaan Kerja Praktik; DTPS: Dewi Asmorowati, Mia Ferian H. dan Bambang Bintarto</t>
  </si>
  <si>
    <t>978-623-6797-10-5</t>
  </si>
  <si>
    <t>Pemodelan Sifat Fisik Minyak Bumi dalam Proses Enhanced Oil Recovery (EOR) Menggunakan Metode Naïve Bayes Classifier dan Multivariate Polynomial Regression; DTPS: Harry Budiharjo, Joko Pamungkas dan Indah Widiyaningsih</t>
  </si>
  <si>
    <t>978-623-7840-66-4</t>
  </si>
  <si>
    <t>Standar Operasional Prosedur (SOP) Journal Of Petroleum And Geothermal Technology (JPGT); DTPS: Dyah Rini, Boni Swadesi dan Ristiyan Ragil</t>
  </si>
  <si>
    <t>978-623-6797-03-7</t>
  </si>
  <si>
    <t>Pemanfaatan Langsung Fluida Panas Bumi untuk Budidaya Ikan Gurame di Yogyakarta; DTPS: Allen H Lukmana dan Mia F Helmy.</t>
  </si>
  <si>
    <t>978-623-6797-34-1</t>
  </si>
  <si>
    <t>Pemodelan Numerik Laju Pembbentukan Calcite Scalling Menggunakan software CMG Stars pada Sumur Panas Bumi; DTPS: Herinato, Kristiati EA., Bambang Bintarto dan Dewi Asmorowati</t>
  </si>
  <si>
    <t>978-623-7594-34-5</t>
  </si>
  <si>
    <t>Pengaruh Terbentuknya Sedimen Silika pada Penurunan Laju Produksi Sumur Panas Bumi; DTPS: Herinato, Kristiati EA., Bambang Bintarto dan Dewi Asmorowati</t>
  </si>
  <si>
    <t>978-623-7594-44-4</t>
  </si>
  <si>
    <t>Langkah Kerja Pemodelan Numerik Pembentukan Scaling Menggunakan Software CMG-STARS pada Sumur Panas Bumi; DTPS: Herinato, Kristiati EA., Bambang Bintarto dan Dewi Asmorowati</t>
  </si>
  <si>
    <t>978-623-7594-32-1</t>
  </si>
  <si>
    <t xml:space="preserve">Pemodelan Injeksi Surfaktan - Polimer dalam Pengurasan Minyak; DTPS: Suranto dan Ratna Widyaningih </t>
  </si>
  <si>
    <t>978-623-5539-80-5</t>
  </si>
  <si>
    <t>Prosedur Pemodelan Geomekanik 1D Berdasarkan Data Log Sumur dan Aplikasinya; DTPS: Aris Buntoro, Allen Haryanto L., dan Dewi Asmorowati</t>
  </si>
  <si>
    <t>978-623-6896-67-9</t>
  </si>
  <si>
    <t>Injeksi Polimer dengan Menggunakan Media Micromodel dalam Meningkatkan Perolehan Minyak Tahap Lanjut; DTPS: Dedy Kristanto, Boni Swadesi dan Indah Widiyaningsih</t>
  </si>
  <si>
    <t>978-623-6896-85-3</t>
  </si>
  <si>
    <t>Peningkatan Publikasi Artikel Ilmiah Mahasiswa Teknik Perminyakan untuk Menunjang Indikator Kinerja Utama dengan Menyediakan Fasilitas Ruang Publikasi; DTPS: Boni Swadesi, KRT Nur Suhscaryo dan Indah Widiyaningsih</t>
  </si>
  <si>
    <t>978-623-5539-41-6</t>
  </si>
  <si>
    <t>Pengujian Laboratorium Statik dan Dinamik Fluida Perekah (Polimer) untuk Operasi Hydraulic Fracturing; DTPS: Boni Swadesi, Mia Ferian H. dan Dewi Asmorowati</t>
  </si>
  <si>
    <t>978-623-6896-88-4</t>
  </si>
  <si>
    <t>The Summary Of Gas Condensate And Gas Reservoir Performance; DTPS: Edgie Yuda K. dan Mia Ferian H.</t>
  </si>
  <si>
    <t>978-623-5539-46-1</t>
  </si>
  <si>
    <t>Standar Operasional Prosedur Peralatan Laboratorium Enhanced Oil Recovery (EOR); DTPS: Harry Budiharjo, Dyah Rini, Joko Pamungkas dan Indah Widiyaningsih</t>
  </si>
  <si>
    <t>978-623-6896-79-2</t>
  </si>
  <si>
    <t>Aplikasi Pemodelan Sifat Fisik Minyak Bumi dalam Proses Enhanced Oil Recovery (EOR) Berbasis Dekstop; DTPS: Harry Budiharjo, Joko Pamungkas dan Indah Widiyaningsih</t>
  </si>
  <si>
    <t>978-623-5539-40-9</t>
  </si>
  <si>
    <t>Strategi Pengembangan “Journal Of Petroleum And Geothermal Technology (JPGT)” Menuju Akreditasi Nasional; DTPS: Hariyadi, M.Th. Kristiati, Indah Widiyaningsih.</t>
  </si>
  <si>
    <t>978-623-6896-84-6</t>
  </si>
  <si>
    <t>Teori dan Aplikasi Pemboran Berarah pada Sumur Minyak dan Gas; DTPS: Herianto dan Subiatmono</t>
  </si>
  <si>
    <t>978-623-5539-45-4</t>
  </si>
  <si>
    <t>Teknik Reservoir Gas Alam; DTPS: Dyah Rini dan Suranto</t>
  </si>
  <si>
    <t>978-623-5539-77-5</t>
  </si>
  <si>
    <t>Optimasi Biosurfaktan "U-Champ" dalam Upaya Peningkatan Perolehan Minyak Tahap Lanjut; DTPS: Harry Budiharjo, Joko Pamungkas dan Indah Widiyaningsih</t>
  </si>
  <si>
    <t>978-623-6896-78-5</t>
  </si>
  <si>
    <t>Pemodelan Injeksi Air dengan Salinitas Rendah dalam Pengurasan Minyak Ringan; DTPS: Suranto dan Ratna Widyaningsih</t>
  </si>
  <si>
    <t>978-623-6797-80-8</t>
  </si>
  <si>
    <t>Pemodelan Low Salinity Water Injection pada Reservoir Karbonat; DTPS: Suranto dan Ratna Widyaningsih</t>
  </si>
  <si>
    <t>978-623-389-157-8</t>
  </si>
  <si>
    <t>Identifikasi dan Penanganan Problem Scale pada Electric Submersible Pump (ESP) Sumur-Sumur di Lapangan Tanjung; DTPS: Dyah Rini, Boni Swadesi dan Mia Ferian.</t>
  </si>
  <si>
    <t>978-623-389-173-8</t>
  </si>
  <si>
    <t>Prospek Surfaktan Berbahan Dasar Ketapang sebagai Alternatif untuk Injeksi Kimia pada Metode Enhanced Oil Recovery (EOR); DTPS: Harry Budiharjo dan Joko Pamungkas</t>
  </si>
  <si>
    <t>978-623-389-134-9</t>
  </si>
  <si>
    <t>Penerapan Konsep Mobility Desain terhadap Incremental Oil pada Injeksi Polimer; DTPS: Boni Swadesi, Dewi Asmorowati dan Indah Widiyaningsih</t>
  </si>
  <si>
    <t>978-623-389-147-9</t>
  </si>
  <si>
    <t>Compatibility Based Fracturing Fluid dengan Crosslink dan Breaker; DTPS: Dedy Kristanto, Dewi Asmorowati dan Mia Ferian.</t>
  </si>
  <si>
    <t>978-623-389-126-4</t>
  </si>
  <si>
    <t xml:space="preserve">Teori Dan Aplikasi Binary Cycle Pembangkit Listrik Skala Kecil Dengan Pemanfaatan Fluida Panas Bumi; DTPS: </t>
  </si>
  <si>
    <t>Manajemen Laboratorium; DTPS: Suranto, Boni Swadesi dan Dewi Asmorowati</t>
  </si>
  <si>
    <t>978-623-91967-1-4</t>
  </si>
  <si>
    <t>Simulasi Reservoir Injeksi Polimer pada Reservoir Rekah Alami Batuan Karbonat; DTPS: Mia Ferian, Edgie Yuda dan Indah Widiyaningsih</t>
  </si>
  <si>
    <t>978-623-78408-9-3</t>
  </si>
  <si>
    <t>Tanggal</t>
  </si>
  <si>
    <t>Nomor ISBN</t>
  </si>
  <si>
    <r>
      <t xml:space="preserve">Buku ber-ISBN, </t>
    </r>
    <r>
      <rPr>
        <b/>
        <i/>
        <sz val="10"/>
        <color theme="1"/>
        <rFont val="Calibri"/>
        <family val="2"/>
      </rPr>
      <t>Book Chapter</t>
    </r>
  </si>
  <si>
    <t>Nomor Sertifikat</t>
  </si>
  <si>
    <t>https://drive.google.com/file/d/1rCl8IVouHflW6HwF-d5mEim203y01GWm/view?usp=sharing</t>
  </si>
  <si>
    <t>https://drive.google.com/file/d/1Pn8MjV89YpJ7n_A89IUiOvHda9FO270S/view?usp=sharing</t>
  </si>
  <si>
    <t>https://drive.google.com/file/d/1CqoWwgj_BXeLcqbFReEDkMkY1gvl_8Nq/view?usp=sharing</t>
  </si>
  <si>
    <t>https://drive.google.com/file/d/1xXsafnptj5E5a56iOMfnor7omJ_oPVZN/view?usp=sharing</t>
  </si>
  <si>
    <t>https://drive.google.com/file/d/1Ke-KaxJCUJrg45ukxqjELzu67ODpCBFR/view?usp=sharing</t>
  </si>
  <si>
    <t>https://drive.google.com/file/d/1O1rVH_AQad8puMaEKAq2Agql33W2nosA/view?usp=sharing</t>
  </si>
  <si>
    <t>https://drive.google.com/file/d/1k_6tMBzLHVKn5wI7HU_roBCBW3Xk4XtN/view?usp=sharing</t>
  </si>
  <si>
    <t>https://drive.google.com/file/d/1Fevs6tUpt6W-bOP83YMHAinlHfBQBqPl/view?usp=sharing</t>
  </si>
  <si>
    <t>https://drive.google.com/file/d/1FwQoo3lMAOyhC-x6UnA6owlQxPEK0D_4/view?usp=sharing</t>
  </si>
  <si>
    <t>https://drive.google.com/file/d/1aZyKfiOu4DkFKqEadMTfcINx6e-ioGEt/view?usp=sharing</t>
  </si>
  <si>
    <t>https://drive.google.com/file/d/120e2QvfhVoM0mfQ6LCreHyTmrCDkdxfL/view?usp=sharing</t>
  </si>
  <si>
    <t>https://drive.google.com/file/d/1MIXWU-5MXSdZiKcjO-eYR6SBepfoZkgG/view?usp=sharing</t>
  </si>
  <si>
    <t>https://drive.google.com/file/d/13QHKbxTEof1F7EhEwVoZyH8H9mVYDKC_/view?usp=sharing</t>
  </si>
  <si>
    <t>https://drive.google.com/file/d/1IurFIpKWQwwIJaHcaml65sD5aByCjehx/view?usp=sharing</t>
  </si>
  <si>
    <t>https://drive.google.com/file/d/1t2EY2DhGPKV1X4L7UzJTiE9kocKe3y1q/view?usp=sharing</t>
  </si>
  <si>
    <t>https://drive.google.com/file/d/1byaGTGlxLkN1qX2BIw1wD_pUVpsKAp9p/view?usp=sharing</t>
  </si>
  <si>
    <t>https://drive.google.com/file/d/1tNXYnp8Oft7PUy6PllI3l9_QH5Me7Cr6/view?usp=sharing</t>
  </si>
  <si>
    <t>https://drive.google.com/file/d/1A8Yn_mltzJzL-LszUy-CPhdYtKUbiV7h/view?usp=sharing</t>
  </si>
  <si>
    <t>https://drive.google.com/file/d/1MqEuK6i57dnACTFZgXdsZZOFmYkev_qk/view?usp=sharing</t>
  </si>
  <si>
    <t>https://drive.google.com/file/d/156JibWWyhcaJSMv68QsMp_Q8cn1en0WL/view?usp=sharing</t>
  </si>
  <si>
    <t>https://drive.google.com/file/d/1f5PBpZ2S-k_GBjiv06zk-SVtB5LFNLP3/view?usp=sharing</t>
  </si>
  <si>
    <t>https://drive.google.com/file/d/1795Ayn-ORavQqRs8tuFK675kbzlcpLpC/view?usp=sharing</t>
  </si>
  <si>
    <t>https://drive.google.com/file/d/1SuE0Qs4uxudp9JwhTl-rRWuDOx_8rP44/view?usp=sharing</t>
  </si>
  <si>
    <t>https://drive.google.com/file/d/1otMJDWsde0NGWFw7eulx2ZWsUp-vXR50/view?usp=sharing</t>
  </si>
  <si>
    <t>https://drive.google.com/file/d/1lkVtjWTUCQBjwQ43uBBsBWcRdJUCP52J/view?usp=sharing</t>
  </si>
  <si>
    <t>https://drive.google.com/file/d/1Ac6dCz6qC_h6QUY-VOpLnesXkDdN6RY7/view?usp=sharing</t>
  </si>
  <si>
    <t>https://drive.google.com/file/d/101i_ySSepxIB98WTPrfLhnjMCKjPg6Mc/view?usp=sharing</t>
  </si>
  <si>
    <t>https://drive.google.com/file/d/1n6dVh5JBgYmIUGd8PbFqb2qw16WgNSVo/view?usp=sharing</t>
  </si>
  <si>
    <t>https://drive.google.com/file/d/1E6QqOth7Id7Qcsg7IRl7bXCndoqlcWiF/view?usp=sharing</t>
  </si>
  <si>
    <t>https://drive.google.com/file/d/1EQk2QGtPtkYqYD_e-95Tb_N7tFP9wWGi/view?usp=sharing</t>
  </si>
  <si>
    <t>https://drive.google.com/file/d/1W1qhnVbVnZjcubbiLkTaW35sHYCCR1wI/view?usp=sharing</t>
  </si>
  <si>
    <t>https://drive.google.com/file/d/1jMifhPHDQ98qxq-nG8Y-Ux-laxXMd8BP/view?usp=sharing</t>
  </si>
  <si>
    <t>https://drive.google.com/file/d/1dDAvZMDZsDhaQTzZBWGFuciXgWoP0Xzk/view?usp=sharing</t>
  </si>
  <si>
    <t>https://drive.google.com/file/d/1zBj_SttOpP6mOMwjB5oGViqE-vUrExRn/view?usp=sharing</t>
  </si>
  <si>
    <t>https://drive.google.com/file/d/1CJg1OnNKpLyE4cq_Ny5Isah_Ba1bh7bS/view?usp=sharing</t>
  </si>
  <si>
    <t>https://drive.google.com/file/d/1XfyfNTD5bkFpwXDQnAi0EmMd-2XQaeYq/view?usp=sharing</t>
  </si>
  <si>
    <t>https://drive.google.com/file/d/1eIjfERhFYXIu_btV9qa9eENR8MzR2Yo7/view?usp=sharing</t>
  </si>
  <si>
    <t>https://drive.google.com/file/d/1cZ-sc3niICSw1QZ1xQFtvP64z26oUfmr/view?usp=sharing</t>
  </si>
  <si>
    <t>https://drive.google.com/file/d/1lI70zF1Idw6mPwlFzPmkpte_3yeGVBYv/view?usp=sharing</t>
  </si>
  <si>
    <t>https://drive.google.com/file/d/1CNfPJvpUKyvwW3QRKZWWHyBVphGd3aCK/view?usp=sharing</t>
  </si>
  <si>
    <t>https://drive.google.com/file/d/1xxB7EDhN5f8lQIb_9N18g7cPhzNIqCcS/view?usp=sharing</t>
  </si>
  <si>
    <t>https://drive.google.com/file/d/1JKHgVRwln19SjIPOOXYMYLZ5BNcsIiAU/view?usp=sharing</t>
  </si>
  <si>
    <t>https://drive.google.com/file/d/1AjUc8SJ1JaMFd7LCUFDxQFysQH3UExlG/view?usp=sharing</t>
  </si>
  <si>
    <t>https://drive.google.com/file/d/1hCSMc5nIkbLWfJ7SfwkukJEoUHfA_Cpw/view?usp=sharing</t>
  </si>
  <si>
    <t>https://drive.google.com/file/d/1Ir5ad3VYM_c1Cj2UHU4Lm15PHOC9CLCM/view?usp=sharing</t>
  </si>
  <si>
    <t>https://drive.google.com/file/d/16Q59ZhnKTWVmagsciBvYgJVIyoJ1tIPP/view?usp=sharing</t>
  </si>
  <si>
    <t>https://drive.google.com/file/d/1CBVArQYZ3-ctVYkjfqcydvvmjkkN0XxD/view?usp=sharing</t>
  </si>
  <si>
    <t>https://drive.google.com/file/d/1JaTE44bYhxdGnI_V2Mc5Uvj2fskdRMhP/view?usp=sharing</t>
  </si>
  <si>
    <t>https://drive.google.com/file/d/1ENit-hw0PjxOATPteeHHXJuP76MsSafC/view?usp=sharing</t>
  </si>
  <si>
    <t>https://drive.google.com/file/d/1T9lFDFLJCO0FigogzdsDHdtRgWCVJ5nq/view?usp=sharing</t>
  </si>
  <si>
    <t>https://drive.google.com/file/d/1PKhAm2Kj0CV2U_bcL4TNruXIIaHmTgST/view?usp=sharing</t>
  </si>
  <si>
    <t>https://drive.google.com/file/d/1i7SD49croO4BZNCXUuxxypAV-IRSv9Kw/view?usp=sharing</t>
  </si>
  <si>
    <t>https://drive.google.com/file/d/1xcWZ9cV3sVNFiU0XxBqPukYLRy_TKvh0/view?usp=sharing</t>
  </si>
  <si>
    <t>https://drive.google.com/file/d/1t8FWFFAVorRlPZ6Ap2R168rHWhPRgxc5/view?usp=sharing</t>
  </si>
  <si>
    <t>https://drive.google.com/file/d/1o6KX0CRu3r7FKDGKgv0twpvIMFCLCJZv/view?usp=sharing</t>
  </si>
  <si>
    <t>https://drive.google.com/file/d/1f-frZLqQ78seyQMpNL732zUdtIMeH5pP/view?usp=sharing</t>
  </si>
  <si>
    <t>https://drive.google.com/file/d/1_9YXzTBPUFPdryLpuz_CjwycThCdTczT/view?usp=sharing</t>
  </si>
  <si>
    <t>https://drive.google.com/file/d/1Ors2tk1LFIm9PkPRBq1uaCBvkSlIfQad/view?usp=sharing</t>
  </si>
  <si>
    <t>https://drive.google.com/file/d/19e1YKXKZFJcdIqsRCWERg1JClANbwzPS/view?usp=sharing</t>
  </si>
  <si>
    <t>https://drive.google.com/file/d/1DvWsHDuVRsLqk7aihb6p9Q7EYmG9TqOJ/view?usp=sharing</t>
  </si>
  <si>
    <t>https://drive.google.com/file/d/1m7vUsMhpmXIk_p2mGnwFuxPIb7PCwu6l/view?usp=sharing</t>
  </si>
  <si>
    <t>https://drive.google.com/file/d/1cVfbk8Z7Zozypw2vujWdnLgHMOgkYLe_/view?usp=sharing</t>
  </si>
  <si>
    <t>https://drive.google.com/file/d/1x1cgISjcokRa5xkV8CzoU7Q29eM74u1p/view?usp=sharing</t>
  </si>
  <si>
    <t>https://drive.google.com/file/d/1Rx4KFYFqdghcHGJ4Ni8_lWNenS0c7gJD/view?usp=sharing</t>
  </si>
  <si>
    <t>https://drive.google.com/file/d/1fyneHaOrbfEVPc1V_i61igVWuEkANXPU/view?usp=sharing</t>
  </si>
  <si>
    <t>https://drive.google.com/file/d/1XQ_I2kZWkLh13nV9C2N6qsxGRL99vMk9/view?usp=sharing</t>
  </si>
  <si>
    <t>https://drive.google.com/file/d/1fK9ROspXlJxsm2wYvogahQdhLmHNsWlL/view?usp=sharing</t>
  </si>
  <si>
    <t>Lembaga Mitra</t>
  </si>
  <si>
    <t>Judul Kegiatan Kerjasama</t>
  </si>
  <si>
    <t>Manfaat bagi PS yang Diakreditasi</t>
  </si>
  <si>
    <t>Tanggal Awal Kerjasama (HH/BB/TTTT)</t>
  </si>
  <si>
    <t>Tanggal Akhir Kerjasama (HH/BB/TTTT)</t>
  </si>
  <si>
    <t>Durasi (dalam tahun)</t>
  </si>
  <si>
    <t>Status Kerjasama</t>
  </si>
  <si>
    <t>Bukti Kerjasama</t>
  </si>
  <si>
    <t>Interna-sional</t>
  </si>
  <si>
    <t xml:space="preserve">Lokal/Wilayah </t>
  </si>
  <si>
    <t>Fakultas Teknologi Kebumian dan Energi, Universitas Trisakti, No: B/14/UN.62/SKP/2021</t>
  </si>
  <si>
    <t>Pelaksanaan Pertukaran Pelajar dalam rangka Program Merdeka Belajar Kampus Merdeka (MBKM)</t>
  </si>
  <si>
    <t>Memberikan Kesempatan kepada Mahasiswa PSTM UPN "Veteran" Yogyakarta untuk Melakukan Pertukaran Mahasiswa serta Perkuliahan Luar Kampus Melalui Program MBKM</t>
  </si>
  <si>
    <t>Valid</t>
  </si>
  <si>
    <t>Surat Perjanjian Kerjasama (SPK)</t>
  </si>
  <si>
    <t>PT Pertamina EP Regional 4 Zona 11 Cepu Field, No: B/12/UN62.11/SKP/2022</t>
  </si>
  <si>
    <t>Pelaksanaan Tugas Akhir Mahasiswa S1 Jurusan Teknik Perminyakan, FTM UPN "Veteran" Yogyakarta</t>
  </si>
  <si>
    <t>Mendukung Mahasiswa PSTM UPN "Veteran" Yogyakarta dalam Kegiatan Akademik, seperti: Kuliah Lapangan; Kerja Praktik, Tugas Akhir, Magang, Penelitian, serta PkM</t>
  </si>
  <si>
    <t>Pelaksanaan Kerja Praktik Mahasiswa S1 Jurusan Teknik Perminyakan, FTM UPN "Veteran" Yogyakarta</t>
  </si>
  <si>
    <t>SKK-Migas, Nomor: 034/MOU-UN62/IV/2017</t>
  </si>
  <si>
    <t xml:space="preserve">Narasumber dalam Pertemuan Rapat yang membahas Asset Management and Optimization Review (AMORe) Tahun 2023 KKKS PT Pertamina EP Regional 1 </t>
  </si>
  <si>
    <t>Rekognisi Dosen PSTM UPN "Veteran" Yogyakarta oleh Institusi/Lembaga Luar Perguruan Tinggi</t>
  </si>
  <si>
    <t>Mendukung Mahasiswa PSTM UPN "Veteran" Yogyakarta dalam Kegiatan Akademik, yaitu Tugas Akhir Mahasiswa</t>
  </si>
  <si>
    <t xml:space="preserve">PT Bukitapit Bumi Persada, No: </t>
  </si>
  <si>
    <t>Institut Teknologi Bandung, Nomor: 040/MoU-UN62/V/2017</t>
  </si>
  <si>
    <t>Pelaksanaan Ujian Tugas Akhir Mahasiswa S1 Jurusan Teknik Perminyakan, Institut Teknologi Bandung</t>
  </si>
  <si>
    <t>Rekognisi Dosen PSTM UPN "Veteran" Yogyakarta oleh Perguruan Tinggi Lain</t>
  </si>
  <si>
    <t>PT Pertamina Hulu Energi, Nomor: 033/UN62/II/2017</t>
  </si>
  <si>
    <t>Pelaksanaan Tugas Akhir Mahasiswa S1 Jurusan Teknik Perminyakan FTM UPN "Veteran" Yogyakarta pada Lapangan Pertamina Hulu Energi Kampar</t>
  </si>
  <si>
    <t>Pelaksanaan Tugas Akhir Mahasiswa S1 Jurusan Teknik Perminyakan FTM UPN "Veteran" Yogyakarta pada Lapangan Pertamina Hulu Energi Offshore North West Java (ONWJ)</t>
  </si>
  <si>
    <t xml:space="preserve">PT. Pertamina Persero, Nomor: 019/PKS-UN62/VIII/2015 </t>
  </si>
  <si>
    <t>Pelaksanaan Tugas Akhir Mahasiswa S1 Jurusan Teknik Perminyakan FTM UPN "Veteran" Yogyakarta pada Lapangan Pertamina Hulu Rokan</t>
  </si>
  <si>
    <t>PT Pertamina EP Cepu, No: 18/UN62/HK.07.00/2023</t>
  </si>
  <si>
    <t>Pelaksanaan Tugas Akhir Mahasiswa S1 Jurusan Teknik Perminyakan FTM UPN "Veteran" Yogyakarta pada Lapangan Sukowati, Pertamina EP Cepu, Regional 4 Zona 11</t>
  </si>
  <si>
    <t>Pelaksanaan Tugas Akhir Mahasiswa S1 Jurusan Teknik Perminyakan FTM UPN "Veteran" Yogyakarta pada Lapangan Pertamina Hulu Kalimantan Timur</t>
  </si>
  <si>
    <t>Pelaksanaan Tugas Akhir Mahasiswa S1 Jurusan Teknik Perminyakan FTM UPN "Veteran" Yogyakarta pada Lapangan Pertamina Hulu Mahakam</t>
  </si>
  <si>
    <t>Badan Pengembangan Sumber Daya Manusia, Kementerisan Energi dan Sumber Daya Mineral (KESDM), No: 023/MoU/-UN62/V/2016</t>
  </si>
  <si>
    <t>Pelaksanaan Tugas Akhir Mahasiswa S1 Jurusan Teknik Perminyakan FTM UPN "Veteran" Yogyakarta pada Fasilitas/Laboratorium PPSDM KESDM</t>
  </si>
  <si>
    <t>Pelaksanaan Tugas Akhir Mahasiswa S1 Jurusan Teknik Perminyakan FTM UPN "Veteran" Yogyakarta pada Lapangan Pertamina Hulu Energi Abar</t>
  </si>
  <si>
    <t xml:space="preserve">Pelaksanaan Tugas Akhir Mahasiswa S1 Jurusan Teknik Perminyakan FTM UPN "Veteran" Yogyakarta pada Lapangan PT Pertamina Hulu Indonesia </t>
  </si>
  <si>
    <t xml:space="preserve">PT Pertamina Hulu Indonesia, No: 12/MoU-UN62/VIII/2018 </t>
  </si>
  <si>
    <t xml:space="preserve">Pelaksanaan Tugas Akhir Mahasiswa S1 Jurusan Teknik Perminyakan FTM UPN "Veteran" Yogyakarta pada Lapangan Cirebon Pertamina EP Regional 2 </t>
  </si>
  <si>
    <t xml:space="preserve">Pelaksanaan Kerja Praktik Mahasiswa S1 Jurusan Teknik Perminyakan FTM UPN "Veteran" Yogyakarta pada Lapangan Cirebon Pertamina EP Regional 2 </t>
  </si>
  <si>
    <t>Mendukung Mahasiswa PSTM UPN "Veteran" Yogyakarta dalam Kegiatan Akademik, yaitu Kerja Praktik Mahasiswa</t>
  </si>
  <si>
    <t>PT Schlumberger Geophysics Nusantara, No: 60/UN62/HK07.00/2022</t>
  </si>
  <si>
    <t>Penyediaan Perangkat Lunak Simulasi Idustri Migas untuk Kegiatan Pendidikan dan Penelitian</t>
  </si>
  <si>
    <t>Perangkat Lunak Simulasi Lapangan Migas dalam Menunjang Kegitan Pendidikan dan Penelitian Dosen dan Mahasiswa PSTM UPN "Veteran" Yogyakarta</t>
  </si>
  <si>
    <t>Sekolah Tinggi Teknologi Migas Cilacap</t>
  </si>
  <si>
    <t>Penyelenggaraan Pelatihan Mahasiswa STT Migas Cilacap</t>
  </si>
  <si>
    <t xml:space="preserve"> Rekognisi Dosen oleh Perguruan Tinggi/Institusi/Lembaga Luar Perguruan Tinggi</t>
  </si>
  <si>
    <t>Sekolah Tinggi Teknologi Migas Balikpapan</t>
  </si>
  <si>
    <t>Penyelenggaraan Pelatihan Mahasiswa STT Migas Balikpapan</t>
  </si>
  <si>
    <t>PT OBM Drillchem, Tbk,No: B/15/UN62.11/KS/2023</t>
  </si>
  <si>
    <t>Pengadaan Peralatan dan Bahan Laboratorium Analisis Lumpur Pemboran PSTM UPN "Veteran" Yogyakarta</t>
  </si>
  <si>
    <t>Menunjang dan Memutakhirkan Fasilitas Laboratorium Analisa Lumpur Pemboran PSTM UPN "Veteran" Yogyakarta</t>
  </si>
  <si>
    <t>Dili Institute of Technology (DIT) Timor Leste, No: 26/MoU/UN62/XI/2015</t>
  </si>
  <si>
    <t>Pelaksanaan Guest Lecture oleh Dosen PSTM UPN "Veteran" Yogyakarta</t>
  </si>
  <si>
    <t>Sekolah Tinggi Energi dan Mineral (STEM) Akamigas</t>
  </si>
  <si>
    <t xml:space="preserve">Link Dokumen </t>
  </si>
  <si>
    <t>https://drive.google.com/file/d/1JnzWqgEpy4OeVLdNXC8KAMgfUNWTgVsQ/view?usp=sharing</t>
  </si>
  <si>
    <t>https://drive.google.com/file/d/1YTTuuuny8OUQovBh7rpQBd3MiX6G4X8N/view?usp=sharing</t>
  </si>
  <si>
    <t>https://drive.google.com/file/d/1LIbXcntm6zwME8GCMXLywtAih-XW8sTX/view?usp=sharing</t>
  </si>
  <si>
    <t>https://drive.google.com/file/d/1mLGhwUG4xK07HBwV7JX1d9jMLAYdIQ74/view?usp=sharing</t>
  </si>
  <si>
    <t>https://drive.google.com/file/d/1YkMT066k35Y7z_POXU7qSrHZ5yw6yl_i/view?usp=sharing</t>
  </si>
  <si>
    <t>Penyediaan Data Chemical Perusahaan dan Hasil Pengujian Statik Sehubungan dengan Penelitian Klaster Hibah Internal UPN "Veteran" Yogyakarta</t>
  </si>
  <si>
    <t>Mendukung Kegiatan Penelitian Dosen PSTM UPN "Veteran" Yogyakarta melalui Penyediaan Data Chemical Perusahaan</t>
  </si>
  <si>
    <t>Kerjasama dalam Bidang Penelitian Sumur Tua di Provinsi Jawa Tengah dan Jawa Timur yang meliputi Studi Lapangan dan Well Service</t>
  </si>
  <si>
    <t>Rekognisi Dosen PSTM UPN "Veteran" Yogyakarta oleh Institusi/Lembaga/Universitas Luar Perguruan Tinggi</t>
  </si>
  <si>
    <t>PK LKFT Universitas Gadjah Mada No : KS-01/PSPMP-UN62/I/2021</t>
  </si>
  <si>
    <t xml:space="preserve">Kerjasama Pekerjaan Study Update Static dan Dynamic Model Blok Rokan </t>
  </si>
  <si>
    <t>Rekognisi Dosen dalam Dunia Industri Migas (Pekerjaan Study Update Static dan Dynamic Model Blok Rokan)</t>
  </si>
  <si>
    <t>CV Devta Maju Bersama Nomor : 01/KS/CVDMB/II/2022</t>
  </si>
  <si>
    <t xml:space="preserve">Kerjasama dalam Penyusunan Dokumen Optimasi Pengembangan Lapangan Lapangan Doral dan Doral North </t>
  </si>
  <si>
    <t>Rekognisi Dosen dalam Dunia Industri Migas (Penyusunan Dokumen Optimasi Pengembangan Lapangan Lapangan Doral dan Doral North)</t>
  </si>
  <si>
    <t>PT Pertamina EP Asset 4 Poleng Field Nomor : 005/EP3820/2019-SO</t>
  </si>
  <si>
    <t xml:space="preserve">Kerjasama Swakelola Studi Oil Losses Penyaluran Minyak dari PPP-AW KE FSO Abherika </t>
  </si>
  <si>
    <t>Rekognisi Dosen dalam Dunia Industri Migas (Swakelola Studi Oil Losses Penyaluran Minyak dari PPP-AW KE FSO Abherika)</t>
  </si>
  <si>
    <t xml:space="preserve">PT Perusahaan Listrik Negara, No: 008/PKS-UN62/VIII/2018 </t>
  </si>
  <si>
    <t>Pelaksanaan "Studi Kelayakan Teknis dan Finansial Pemanfaatan Fluida Sumur ULB-03 untuk Pembangkit Listrik di PLTP Ulumbu</t>
  </si>
  <si>
    <t>Kerjasama dalam Penyediaan Perangkat Lunak Simulasi Idustri Migas untuk Kegiatan Pendidikan dan Penelitian</t>
  </si>
  <si>
    <t>Kerjasama dalam Pengadaan Peralatan dan Bahan Laboratorium Analisis Lumpur Pemboran PSTM UPN "Veteran" Yogyakarta</t>
  </si>
  <si>
    <t>PT Petro Geomekanika Mandiri No : KS-03/PSPMP-UN62/XI/2020</t>
  </si>
  <si>
    <t>Pelaksanaan Pekerjaan Study Update Static dan Dynamic Lapangan Sikladi</t>
  </si>
  <si>
    <t>Rekognisi Dosen dalam Dunia Industri Migas (Pekerjaan Study Update Static dan Dynamic Lapangan Sikladi)</t>
  </si>
  <si>
    <t>Hibah Bantuan Peralatan X-Ray Diffraction (XRD), Ultrasonic Cleaner, Centrifuge, dan Renovasi Ruangan Lab. XRD.</t>
  </si>
  <si>
    <t>Menunjang dan Memutakhirkan Fasilitas Laboratorium X-Ray Diffraction (XRD) PSTM UPN "Veteran" Yogyakarta</t>
  </si>
  <si>
    <t>https://drive.google.com/file/d/1tO2lS6KYWrDcpzJ2LSPOh--dkG5DX5KY/view?usp=sharing</t>
  </si>
  <si>
    <t>https://drive.google.com/file/d/1jm7oYy8e5bJQnJJbAHCDsmk6Tmg_I7ni/view?usp=sharing</t>
  </si>
  <si>
    <t>https://drive.google.com/file/d/1RZJiIaoR5guUPnENrLSUEpqQ6EaBsr-6/view?usp=sharing</t>
  </si>
  <si>
    <t>https://drive.google.com/file/d/1v5vOeBmnf5cV6yrOLqAGyW2-RBFmwBai/view?usp=sharing</t>
  </si>
  <si>
    <t>https://drive.google.com/file/d/1VA7o_Eky6Q99lYgE0qvax6O-gT656Tjd/view?usp=sharing</t>
  </si>
  <si>
    <t>https://drive.google.com/file/d/1tz_eTwhan1IPVilz8CBdHqgTvoxUtLSB/view?usp=sharing</t>
  </si>
  <si>
    <t>https://drive.google.com/file/d/1ItgulshaerRDL1hd0d9WruUk_9k4ceiG/view?usp=sharing</t>
  </si>
  <si>
    <t>https://drive.google.com/file/d/1XZ0KSR4Pjuu5oRaS0ZDWoh2VBeIkfxcW/view?usp=sharing</t>
  </si>
  <si>
    <t>https://drive.google.com/file/d/1DB4m_bjteJCASCFDHKdCsVnnB769V3kG/view?usp=sharing</t>
  </si>
  <si>
    <t>https://drive.google.com/file/d/1DUviKof9DMpHRpX6n6C7kggAPTCg3qV3/view?usp=sharing</t>
  </si>
  <si>
    <t xml:space="preserve">Rock Flow Dynamics PTE. LTD Nomor: B/156/UN62.11.3/TU/2020 </t>
  </si>
  <si>
    <t xml:space="preserve">Rock Flow Dynamics PTE. LTD Nomor: B/157/UN62.11.3/TU/2021 </t>
  </si>
  <si>
    <t>Rock Flow Dynamics PTE. LTD Nomor: B/290/UN62.11.3/TU/2022</t>
  </si>
  <si>
    <t>Universitas Negeri Yogyakarta, Nomor: 014/MoU-UN62/IV/2016</t>
  </si>
  <si>
    <t>Pelaksanaan Penyusunan Soal Uji Pengetahuan - Uji Kompetensi Mahasiswa Pendidikan Profesi Guru - Universitas Negeri Yogyakarta</t>
  </si>
  <si>
    <t>Kerjasama dalam Penyelenggaraan Pelatihan Mahasiswa STT Migas Cilacap</t>
  </si>
  <si>
    <t>Kerjasama dalam Penyelenggaraan Pelatihan Mahasiswa STT Migas Balikpapan</t>
  </si>
  <si>
    <t>SMK Negeri 1 Tuban, No: 420/340/101.6.20/2022</t>
  </si>
  <si>
    <t>Pelaksanaan Kerja Lapangan dan Studi Kampus SMK Negeri 1 Tuban di PSTM UPN "Veteran" Yogyakarta</t>
  </si>
  <si>
    <t>Mewujudkan dan Mendukung Kegiatan Pendidikan dan PkM Dosen PSTM UPN "Veteran" Yogyakarta</t>
  </si>
  <si>
    <t>Pelaksanaan Pekerjaan Study Update Static dan Dynamic Model Lapangan Bekasap</t>
  </si>
  <si>
    <t>Rekognisi Dosen dalam Dunia Industri Migas (Pekerjaan Study Update Static dan Dynamic Lapangan Bekasap)</t>
  </si>
  <si>
    <t>PT Bumi Suksesindo No: 003/BSI-JKT/LEGAL/XII/2020</t>
  </si>
  <si>
    <t xml:space="preserve">Kerjasama dalam bidang Pendidikan dan riset kolaboratif pengembangan pelatihan ilmu pengetahuan dan teknologi tingkat lanjut </t>
  </si>
  <si>
    <t>Rekognisi Dosen PSTM UPN "Veteran" Yogyakarta oleh Universitas Luar Perguruan Tinggi melalui Kegiatan bidang Pendidikan, Penelitian dan Pengembangan serta Pengabdian kepada Masyarakat</t>
  </si>
  <si>
    <t>Badan Penanggulangan Bencana Daerah Kabupaten Bantul No : B/07/UN62.11/SPK/2020</t>
  </si>
  <si>
    <t>Kerjasama perencanaan pengabdian masyarakat di bidang penanggulangan bencana</t>
  </si>
  <si>
    <t>https://drive.google.com/file/d/10CjFXRlbtxl44eho79MiWYRrcJFWBrA4/view?usp=sharing</t>
  </si>
  <si>
    <t>https://drive.google.com/file/d/1m58fyJ9UtLBus8VWVVBpuqEdt1Kq7NEW/view?usp=sharing</t>
  </si>
  <si>
    <t>https://drive.google.com/file/d/1tgMJLgGZFrYq9kMkKE1zcoT9mEIwHVvs/view?usp=sharing</t>
  </si>
  <si>
    <t>https://drive.google.com/file/d/1djAdaC4FjyrfjzgJxawvqlGv2G95aUKN/view?usp=sharing</t>
  </si>
  <si>
    <t>https://drive.google.com/file/d/1Tt6vTEyP1TKE-3QArro0NwLc-sw7tGyU/view?usp=sharing</t>
  </si>
  <si>
    <t>https://drive.google.com/file/d/1j6hoKtnKqg_GiXQNNPcbXlvyUDO8fkLK/view?usp=sharing</t>
  </si>
  <si>
    <t>https://drive.google.com/file/d/1UisrcP8DfcEy9k_PKbV3crMQD1JNs6WP/view?usp=sharing</t>
  </si>
  <si>
    <t>https://drive.google.com/file/d/1shhhsftZgMs7jNmjh4algj2ikGEsTADo/view?usp=sharing</t>
  </si>
  <si>
    <t>Tahun Akademik</t>
  </si>
  <si>
    <t>Daya Tampung</t>
  </si>
  <si>
    <t xml:space="preserve">Jumlah Calon Mahasiswa </t>
  </si>
  <si>
    <t>Jumlah Mahasiswa Baru</t>
  </si>
  <si>
    <t>Jumlah Mahasiswa Aktif</t>
  </si>
  <si>
    <t>Pendaftar</t>
  </si>
  <si>
    <t>Lulus Seleksi</t>
  </si>
  <si>
    <t>Reguler</t>
  </si>
  <si>
    <t>Transfer</t>
  </si>
  <si>
    <t>TS-4</t>
  </si>
  <si>
    <t>TS-3</t>
  </si>
  <si>
    <t>TS-2</t>
  </si>
  <si>
    <t>TS-1</t>
  </si>
  <si>
    <t>TS</t>
  </si>
  <si>
    <t>Jumlah</t>
  </si>
  <si>
    <t>https://drive.google.com/drive/folders/1FQFKBWmaPKTJGZUxX6p5CHxeDHNfipmz?usp=sharing</t>
  </si>
  <si>
    <t>Nama Dosen 2)</t>
  </si>
  <si>
    <t>Jumlah Mahasiswa yang Dibimbing</t>
  </si>
  <si>
    <t>Rata-rata Jumlah Bimbingan di semua Program/ Semester 5)</t>
  </si>
  <si>
    <t>Nomor SK Penugasan Pembimbing</t>
  </si>
  <si>
    <t>pada PS yang Diakreditasi 3)</t>
  </si>
  <si>
    <t>pada PS Lain di PT 4)</t>
  </si>
  <si>
    <t>Rata-rata</t>
  </si>
  <si>
    <t>Anas Puji Santoso</t>
  </si>
  <si>
    <t>Avianto Kabul Pratiknyo</t>
  </si>
  <si>
    <t>Puji Hartoyo</t>
  </si>
  <si>
    <t>Sayoga Heru Prayitno</t>
  </si>
  <si>
    <t>https://drive.google.com/drive/folders/1qzGkmyKcxaUeHvKl486Rt-bkdxrQdWQ2?usp=sharing</t>
  </si>
  <si>
    <t>Nama Dosen (DT)</t>
  </si>
  <si>
    <t>DTPS</t>
  </si>
  <si>
    <t>Ekuivalen Waktu Mengajar Penuh (EWMP) pada saat TS dalam satuan kredit semester (sks)</t>
  </si>
  <si>
    <t>Jumlah per Tahun (sks)</t>
  </si>
  <si>
    <t>Jumlah per Semester (sks)</t>
  </si>
  <si>
    <t>Pendidikan: Pembelajaran dan Pembimbingan</t>
  </si>
  <si>
    <t>Penelitian</t>
  </si>
  <si>
    <t>PkM</t>
  </si>
  <si>
    <t>Tugas Tambahan dan/atau Penunjang</t>
  </si>
  <si>
    <t>PS yang Diakreditasi</t>
  </si>
  <si>
    <t>PS Lain di dalam PT</t>
  </si>
  <si>
    <t>PS Lain di luar PT</t>
  </si>
  <si>
    <t>https://drive.google.com/drive/folders/1AusLC2G7Z0WO3EmI4WQFgClOl-mQjGCm?usp=sharing</t>
  </si>
  <si>
    <t>Jenis Tenaga Kependidikan</t>
  </si>
  <si>
    <t>Jumlah Tenaga Kependidikan dengan Pendidikan Terakhir</t>
  </si>
  <si>
    <t>Unit Kerja</t>
  </si>
  <si>
    <t>S3</t>
  </si>
  <si>
    <t>S2</t>
  </si>
  <si>
    <t>S1</t>
  </si>
  <si>
    <t>D4</t>
  </si>
  <si>
    <t>D3</t>
  </si>
  <si>
    <t>D2</t>
  </si>
  <si>
    <t>D1</t>
  </si>
  <si>
    <t>SMA/SMK</t>
  </si>
  <si>
    <t xml:space="preserve">Pustakawan </t>
  </si>
  <si>
    <t>Institusi</t>
  </si>
  <si>
    <t>Laboran/Teknisi/Analis/Operator/ Programer (bersertifikat kompetensi)</t>
  </si>
  <si>
    <t>Program Studi</t>
  </si>
  <si>
    <t>Administrasi</t>
  </si>
  <si>
    <t>Lainnya</t>
  </si>
  <si>
    <t>UPPS</t>
  </si>
  <si>
    <t>Total</t>
  </si>
  <si>
    <t>https://drive.google.com/drive/folders/1LCYZbUDAvdUEemlQ_RNbjBf7_ChFDAAG?usp=sharing</t>
  </si>
  <si>
    <t>https://drive.google.com/drive/folders/1HGuhstuCdMx6T3GbgCs_6S0vKqFIWzu_?usp=sharing</t>
  </si>
  <si>
    <t>https://drive.google.com/drive/folders/1WsjvtDOWRhNvkDM5qxBS4Z1vynPBkXhW?usp=sharing</t>
  </si>
  <si>
    <t>Semester</t>
  </si>
  <si>
    <t>Kode Mata Kuliah</t>
  </si>
  <si>
    <t>Nama Mata Kuliah</t>
  </si>
  <si>
    <t>Bobot Kredit  (sks)</t>
  </si>
  <si>
    <t>Konversi Kredit ke Jam (diisi oleh Pengusul Vokasi)</t>
  </si>
  <si>
    <t>Capaian Pembelajaran</t>
  </si>
  <si>
    <t>Kuliah/ Responsi/ Tutorial</t>
  </si>
  <si>
    <t>Praktikum/ Praktik/ Praktik Lapangan</t>
  </si>
  <si>
    <t>Sikap</t>
  </si>
  <si>
    <t>Pendidikan Agama Islam</t>
  </si>
  <si>
    <t>Fakultas</t>
  </si>
  <si>
    <t>Pendidikan Agama Kristen</t>
  </si>
  <si>
    <t>Pendidikan Agama Khatolik</t>
  </si>
  <si>
    <t>Pendidikan Agama Hindu</t>
  </si>
  <si>
    <t>Pendidikan Agama Budha</t>
  </si>
  <si>
    <t>Pendidikan Agama Kong Hu Chu</t>
  </si>
  <si>
    <t>Pendidikan Pancasila</t>
  </si>
  <si>
    <t>Universitas</t>
  </si>
  <si>
    <t>Olah Raga I</t>
  </si>
  <si>
    <t>Matematik Dasar</t>
  </si>
  <si>
    <t>Fisika Dasar</t>
  </si>
  <si>
    <t>Kimia Dasar</t>
  </si>
  <si>
    <t>Geologi Dasar</t>
  </si>
  <si>
    <t>Pengantar Teknik Perminyakan dan Pabum (PTPP)</t>
  </si>
  <si>
    <t>Prodi</t>
  </si>
  <si>
    <t>Bahasa Inggris</t>
  </si>
  <si>
    <t>Bela Negara dan Wimaya</t>
  </si>
  <si>
    <t>Pendidikan Kewarganegaraan</t>
  </si>
  <si>
    <t>Olah Raga II</t>
  </si>
  <si>
    <t>Bahasa Indonesia</t>
  </si>
  <si>
    <t>Matematika II</t>
  </si>
  <si>
    <t>Fisika II</t>
  </si>
  <si>
    <t>Thermodinamika</t>
  </si>
  <si>
    <t>Geologi Migas dan Pabum</t>
  </si>
  <si>
    <t>Mekanika Reservoir</t>
  </si>
  <si>
    <t>Praktikum Analisa Inti Batuan (AIB)</t>
  </si>
  <si>
    <t>Statistika</t>
  </si>
  <si>
    <t>Prinsip Stratigrafi</t>
  </si>
  <si>
    <t>Matriks dan Ruang Vektor</t>
  </si>
  <si>
    <t>Mekanika Fluida</t>
  </si>
  <si>
    <t>Perpindahan Panas dan Masa</t>
  </si>
  <si>
    <t>Kimia Fisika Fluida Reservoir (KFFR)</t>
  </si>
  <si>
    <t>Praktikum Analisa Fluida Reservoir (AFR)</t>
  </si>
  <si>
    <t>Peralatan Pemboran</t>
  </si>
  <si>
    <t>Praktikum Peragaan Peralatan Pemboran</t>
  </si>
  <si>
    <t>Teknik Pemboran I</t>
  </si>
  <si>
    <t>Praktikum Analisa Lumpur Pemboran</t>
  </si>
  <si>
    <t>Teknik Reservoir Migas</t>
  </si>
  <si>
    <t>Teknik Produksi Sembur Alam</t>
  </si>
  <si>
    <t>Perpetaan Bawah Permukaan dan Eksplorasi Migas Pabum</t>
  </si>
  <si>
    <t>Teknologi Pemboran</t>
  </si>
  <si>
    <t>Operasi Pemboran Panas Bumi</t>
  </si>
  <si>
    <t>Uji Sumur</t>
  </si>
  <si>
    <t>Penilaian Formasi (PF)</t>
  </si>
  <si>
    <t>Ilmu Lingkungan</t>
  </si>
  <si>
    <t>Teknik Eksploitasi Gas Bumi</t>
  </si>
  <si>
    <t>Teknik Produksi Sembur Buatan (Artificial Lift)</t>
  </si>
  <si>
    <t>Teknik Reservoir Pabum</t>
  </si>
  <si>
    <t>Evaluasi Logging Sumur</t>
  </si>
  <si>
    <t>Metode Numerik</t>
  </si>
  <si>
    <t>Peralatan Produksi</t>
  </si>
  <si>
    <t>Praktikum Peragaan Peralatan Produksi</t>
  </si>
  <si>
    <t>Praktikum Analisa Semen Pemboran (ASP)</t>
  </si>
  <si>
    <t>Kuliah Lapangan Sistem Migas dan Pabum</t>
  </si>
  <si>
    <t>Pilihan 1</t>
  </si>
  <si>
    <t>Pilihan 2</t>
  </si>
  <si>
    <t>Perilaku Reservoir</t>
  </si>
  <si>
    <t>Kerja Ulang dan Stimulasi</t>
  </si>
  <si>
    <t>Penanganan Produksi di Permukaan</t>
  </si>
  <si>
    <t>Metode Penulisan Ilmiah</t>
  </si>
  <si>
    <t>Pemodelan Simulasi Reservoir</t>
  </si>
  <si>
    <t>Praktikum Pemodelan Simulasi Reservoir</t>
  </si>
  <si>
    <t>Teknik Produksi Pabum</t>
  </si>
  <si>
    <t>Praktikum Simulasi Produksi dan Reservoir Pabum</t>
  </si>
  <si>
    <t>Kerja Praktek</t>
  </si>
  <si>
    <t>KKN</t>
  </si>
  <si>
    <t>Pilihan 3</t>
  </si>
  <si>
    <t>Perolehan Minyak Tahap Lanjut (EOR)</t>
  </si>
  <si>
    <t>Pengelolaan Lapangan Migas-Pabum (FM)</t>
  </si>
  <si>
    <t>Pengelolaan Industri Migas-Pabum (PIMP)</t>
  </si>
  <si>
    <t>Pengolahan Data Lapangan</t>
  </si>
  <si>
    <t>Komprehensif</t>
  </si>
  <si>
    <t>Pilihan 4</t>
  </si>
  <si>
    <t>Pilihan 5</t>
  </si>
  <si>
    <t>Tugas Akhir</t>
  </si>
  <si>
    <t>Studi Kasus Permasalah Pemboran</t>
  </si>
  <si>
    <t>Studi Kasus EOR</t>
  </si>
  <si>
    <t>Ekploitasi Non Konvesional Reservoir</t>
  </si>
  <si>
    <t>Kewirausahaan</t>
  </si>
  <si>
    <t>Teknologi Lepas Pantai</t>
  </si>
  <si>
    <t>Material Teknik Perminyakan</t>
  </si>
  <si>
    <t>Geothermal Direct Used</t>
  </si>
  <si>
    <t>Operasi Work Over</t>
  </si>
  <si>
    <t>Reservoir Rekah Alami</t>
  </si>
  <si>
    <t>Sistem Integritas Sumur</t>
  </si>
  <si>
    <t>Optimasi Hidrolika Lumpur</t>
  </si>
  <si>
    <t>Geohidrogi dan Hidrothermal (GH)</t>
  </si>
  <si>
    <t>Artificial Intelegent Perminyakan (AI)</t>
  </si>
  <si>
    <t>Abandonment Site and Restoration Lapangan Migas (ASR)</t>
  </si>
  <si>
    <t>Sedimentasi dan Mineralogy</t>
  </si>
  <si>
    <t>Procurement and Supply Chain Management</t>
  </si>
  <si>
    <t>Mata Kuliah Kompetensi</t>
  </si>
  <si>
    <t>Pengetahuan</t>
  </si>
  <si>
    <t>Keterampilan Umum</t>
  </si>
  <si>
    <t>Keterampilan Khusus</t>
  </si>
  <si>
    <t>Dokumen Rencana Pembelajaran</t>
  </si>
  <si>
    <t>Unit Penyelenggara</t>
  </si>
  <si>
    <t>Mata Kuliah Pilihan</t>
  </si>
  <si>
    <t>29/8/2023</t>
  </si>
  <si>
    <t>000506235</t>
  </si>
  <si>
    <t>https://drive.google.com/file/d/1PdCs8tr2vggebA7qsrSAdclPnNXihGiw/view?usp=sharing</t>
  </si>
  <si>
    <t>Hak Cipta Buku: Perencanaan Hydraulic Fracturing Menggunakan Software Fraccade 7.0; DTPS: Herianto dan Dyah Rini R.</t>
  </si>
  <si>
    <t>Hak Cipta Buku: Teori dan Aplikasi Penerapan Water Injection untuk Peningkatan Produksi Minyak; DTPS: Dyah Rini R. dan Herianto</t>
  </si>
  <si>
    <t>000506343</t>
  </si>
  <si>
    <t>https://drive.google.com/file/d/1JXMJkWRxGb6N3BVw2Gk2pYkEY-m5BaFo/view?usp=sharing</t>
  </si>
  <si>
    <t>31/8/2023</t>
  </si>
  <si>
    <t>000507177</t>
  </si>
  <si>
    <t>https://drive.google.com/file/d/1WilnfR3kh9CrfKlBfNzdWab7hA0BpxTE/view?usp=sharing</t>
  </si>
  <si>
    <t>000508224</t>
  </si>
  <si>
    <t>https://drive.google.com/file/d/1h-oK7rZvq686lk6wPmkTXq2pEbiUyEab/view?usp=sharing</t>
  </si>
  <si>
    <t>000513809</t>
  </si>
  <si>
    <t>https://drive.google.com/file/d/1f2-5Z25aPfjqsccLot9E5wOp4_H-fw_4/view?usp=sharing</t>
  </si>
  <si>
    <t>978-623-389-216-2</t>
  </si>
  <si>
    <t>https://drive.google.com/file/d/171QxaKjppvavQzfbuRMyAa-JAxheZY3_/view?usp=sharing</t>
  </si>
  <si>
    <t>Perencanaan Hydraulic Fracturing Menggunakan Software Fraccade 7.0; DTPS: Herianto dan Dyah Rini R.</t>
  </si>
  <si>
    <t>Teori dan Aplikasi Penerapan Water Injection untuk Peningkatan Produksi Minyak; DTPS: Dyah Rini R. dan Herianto</t>
  </si>
  <si>
    <t>978-623-389-217-9</t>
  </si>
  <si>
    <t>https://drive.google.com/file/d/1CMsmV3S3Pw0fKjBbh4tw6YNGH-en9Bg0/view?usp=sharing</t>
  </si>
  <si>
    <t>Hak Cipta Buku: Manfaat Isolat Bakteri Asam Laktat dalam Microbial Enhanced Oil Recovery (MEOR); DTPS: Boni Swadesi, Hariyadi dan Damar N</t>
  </si>
  <si>
    <t>Hak Cipta Buku: Kerusakan Formasi pada Kegiatan Hydraulic Fraturing dengan Menggunakan Fluida Perekah Berbahan Dasar Air; DTPS: Dedi Kristanto, Dewi Asmorowati, Hariyadi dan Allen Haryanto</t>
  </si>
  <si>
    <t>Hak Cipta Buku: Teori dan Aplikasi Penggunaan Software Hysis Ver. 8.8 untuk Perencanaan Binary Cycle Power Plant; DTPS: Herianto, Dyah Rini R. dan Dewi Asmorowati</t>
  </si>
  <si>
    <t>Plan of Development (POD)</t>
  </si>
  <si>
    <t>Praktikum Uji Sumur (Tergabung dalam RPS MK Uji Sumur)</t>
  </si>
  <si>
    <t>Praktikum Penilaian Formasi (Tergabung dalam RPS MK PF)</t>
  </si>
  <si>
    <t>Praktikum POD (Tergabung dalam RPS MK POD)</t>
  </si>
  <si>
    <t>Nur Aini Widyowati dan Nur Ilham Tarsila</t>
  </si>
  <si>
    <t>Yoga Rahmad Dewa</t>
  </si>
  <si>
    <t>Adelia Paramitha Kardin</t>
  </si>
  <si>
    <t>Roiduz Zumar dan Ahmad Azhar Ilyas</t>
  </si>
  <si>
    <t>Nuraisyah Ningsih dan Pandu Bagus A.</t>
  </si>
  <si>
    <t>Adzan Topaz A. dan Sahat Glenten</t>
  </si>
  <si>
    <t>M. Anggitho Huda</t>
  </si>
  <si>
    <t>Nur Aini W. dan Nur Ilham Tarsila</t>
  </si>
  <si>
    <t xml:space="preserve"> Roiduz Zumar dan Sinosa Husenido</t>
  </si>
  <si>
    <t>M. Zamzam Istimaqom dan Martrida Jani</t>
  </si>
  <si>
    <t>Salma Azizah dan Resa Nanda V.</t>
  </si>
  <si>
    <t xml:space="preserve"> Suto Wijoyo</t>
  </si>
  <si>
    <t>Wahyuni A.</t>
  </si>
  <si>
    <t>Hanqenina Damayanti dan Triyana Wahyuningsih</t>
  </si>
  <si>
    <t>Rafli Arie Kurnia dan Triyana Wahyuningsih</t>
  </si>
  <si>
    <t>Ahmad Aliya Akmal dan Ladefa Lathief</t>
  </si>
  <si>
    <t>Sunarfan dan Achmad Fahmi</t>
  </si>
  <si>
    <t>Nama Dosen Pembimbing</t>
  </si>
  <si>
    <t>Status Dosen Pembimbing</t>
  </si>
  <si>
    <t>Jumlah Mahasiswa</t>
  </si>
  <si>
    <t>Jumlah Pertemuan dengan Mahasiswa</t>
  </si>
  <si>
    <t>Lama Penyelesaian Tugas Akhir (Bulan)</t>
  </si>
  <si>
    <t>Strata Pendidikan</t>
  </si>
  <si>
    <t>Jabatan Akademik</t>
  </si>
  <si>
    <t>Asisten Ahli</t>
  </si>
  <si>
    <t>Lektor</t>
  </si>
  <si>
    <t>Lektor Kepala</t>
  </si>
  <si>
    <t>Guru Besar</t>
  </si>
  <si>
    <t>https://drive.google.com/drive/folders/1pWkTNR7uaX1njzqXYrzfpYDzqmCsZCrr?usp=sharing</t>
  </si>
  <si>
    <t>Nama Mata Kuliah Basic Science dan Matematika</t>
  </si>
  <si>
    <t>Jumlah SKS</t>
  </si>
  <si>
    <t>Matematika Dasar</t>
  </si>
  <si>
    <t>Perpindahan Panas dan Massa</t>
  </si>
  <si>
    <t>Nama Mata Kuliah Capstone Design</t>
  </si>
  <si>
    <t>Cakupan Bahasan</t>
  </si>
  <si>
    <t xml:space="preserve">Teknik Pemboran, Penilaian Formasi, Teknik Produksi, Teknik Reservoir, Keekonomian, HSE dan AMDAL, </t>
  </si>
  <si>
    <t>Posisi Semester Kurikulum</t>
  </si>
  <si>
    <t>Beban SKS</t>
  </si>
  <si>
    <t>Jenis Kegiatan MBKM yang disetarakan</t>
  </si>
  <si>
    <t>Kuliah Lapangan Geologi Migas Pabum</t>
  </si>
  <si>
    <t>Asistensi mengajar di Unit Pendidikan</t>
  </si>
  <si>
    <t>Proyek Mandiri</t>
  </si>
  <si>
    <t>Plan Of Development (POD)</t>
  </si>
  <si>
    <t>Pengelolaan Lap Migas-Pabum (FM)</t>
  </si>
  <si>
    <t>Beban Total Paket Perkuliahan untuk Belajar di Luar PS &lt; 20 SKS</t>
  </si>
  <si>
    <t xml:space="preserve">Beban Total Paket Perkuliahan untuk Belajar di Luar PS antara 20 hingga 40 SKS </t>
  </si>
  <si>
    <t>Magang</t>
  </si>
  <si>
    <t>Pertukaran Mahasiswa</t>
  </si>
  <si>
    <t>Jenis Kegiatan MBKM</t>
  </si>
  <si>
    <t>SKS MK yang Setara</t>
  </si>
  <si>
    <t>Jumlah Mahasiswa PS yang mengikuti</t>
  </si>
  <si>
    <t>Nama Lembaga Mitra</t>
  </si>
  <si>
    <t>Nama DTPS yang menjadi Pembimbing</t>
  </si>
  <si>
    <t>Program Kampus Mengajar Angkatan I Tahun 2021</t>
  </si>
  <si>
    <t>2 SKS</t>
  </si>
  <si>
    <t>SD NEGERI BOJONG 03 KAWUNGANTEN</t>
  </si>
  <si>
    <t>Nomor 1498/E1/DI.00.00/2021</t>
  </si>
  <si>
    <t>3 SKS</t>
  </si>
  <si>
    <t>SDN 1 SERONGGA</t>
  </si>
  <si>
    <t>SD NEGERI 02 PEKIRINGANAGENG</t>
  </si>
  <si>
    <t>Program Kampus Mengajar Angkatan II Tahun 2021</t>
  </si>
  <si>
    <t>Nomor : B/199/UN62.11/ST/2021</t>
  </si>
  <si>
    <t>SD Islam Insan Unggul Kendari</t>
  </si>
  <si>
    <t>SD Negeri Dalangan 2</t>
  </si>
  <si>
    <t>SD Negeri 2 Sokaraja</t>
  </si>
  <si>
    <t>SD Muhammadiyah Sragan</t>
  </si>
  <si>
    <t>SD Negeri 286 Pasaka</t>
  </si>
  <si>
    <t>SMP Negeri Satu Atap LIK Layanan Indah Atap</t>
  </si>
  <si>
    <t>SD Muh. Geger</t>
  </si>
  <si>
    <t>Summer School 2021 - Gubkin University</t>
  </si>
  <si>
    <t>Gubkin University</t>
  </si>
  <si>
    <t>Geologi Kelautan</t>
  </si>
  <si>
    <t>GERILYA 2021</t>
  </si>
  <si>
    <t>Kementerian ESDM</t>
  </si>
  <si>
    <t>Pertukaran Pelajar</t>
  </si>
  <si>
    <t>Universitas Lampung dan Universitas Negeri Padang</t>
  </si>
  <si>
    <t>KKMI UGM</t>
  </si>
  <si>
    <t>Dusun Binaan FTM</t>
  </si>
  <si>
    <t>KKN Tematik/Mengembangkan Desa</t>
  </si>
  <si>
    <t>Magang dan Studi Independen Bersertifikat (MSIB)</t>
  </si>
  <si>
    <t>BRIN</t>
  </si>
  <si>
    <t>PT Dicoding Akademi Indonesia</t>
  </si>
  <si>
    <t>PT Schlumberger Geophysics Nusantara</t>
  </si>
  <si>
    <t>PT Mitra Integrasi Informatika</t>
  </si>
  <si>
    <t>Program Kampus Mengajar Angkatan III Tahun 2022</t>
  </si>
  <si>
    <t>SDN Keceme 2</t>
  </si>
  <si>
    <t>SMPN 1 Sleman</t>
  </si>
  <si>
    <t>SMP MUHAMMADIYAH 1 TEMPEL</t>
  </si>
  <si>
    <t>SDN Candirejo</t>
  </si>
  <si>
    <t>Project officer training oil and gas (oil and gas skill center of Indonesia)</t>
  </si>
  <si>
    <t>UPTD BLUD Kawasan Sains dan Teknologi Solo Technopark</t>
  </si>
  <si>
    <t>Nomor Perjanjian Kerjasama dengan Mitra</t>
  </si>
  <si>
    <t>Mata Kuliah</t>
  </si>
  <si>
    <t>Bentuk Integrasi</t>
  </si>
  <si>
    <t>Tahun Penelitian/PkM</t>
  </si>
  <si>
    <t>Tingkat Penelitian/PkM</t>
  </si>
  <si>
    <t>Kesesuaian Penelitian dengan Roadmap</t>
  </si>
  <si>
    <t>PT/Wilayah</t>
  </si>
  <si>
    <t>Sesuai</t>
  </si>
  <si>
    <t>Kurang Sesuai</t>
  </si>
  <si>
    <t>Tidak Sesuai</t>
  </si>
  <si>
    <t>Geologi Migas Pabum (GMP) dan Perpetaan Bawah Permukaan dan Eksplorasi Migas-Pabum (PBPEMP)</t>
  </si>
  <si>
    <t>Studi Kasus</t>
  </si>
  <si>
    <t>Analisa dan Perhitungan Peningkatan Produksi pada Sumur Minyak dengan Gas Kondensat</t>
  </si>
  <si>
    <t>Teknik Produksi</t>
  </si>
  <si>
    <t>Aplikasi Biosurfaktan dalam Remediasi Oil Spills dan Upaya Peningkatan Perolehan Minyak</t>
  </si>
  <si>
    <t>Enhanced Oil Recovery (EOR)</t>
  </si>
  <si>
    <t>Aplikasi Pemodelan Sifat Fisik Minyak Bumi Dalam Proses Enhanced Oil Recovery (EOR) Berbasis Desktop</t>
  </si>
  <si>
    <t>Kajian Penurunan Entalpi dari Kepala Sumur hingga Input Tubin pada Lapangan Panasbumi Huluhulais</t>
  </si>
  <si>
    <t>Konsep Pemanfaatan Energi Fluida Buang Untuk Energi Listrik Dengan Sistem Binary Cycle pada Lapangan Panasbumi Indonesia</t>
  </si>
  <si>
    <t>Teknik Produksi &amp; Kerja Ulang Stimulasi</t>
  </si>
  <si>
    <t>Kewirausahawan</t>
  </si>
  <si>
    <t>Pemodelan Geomekanik 1D Berdasarkan Analisis Log Sumur dan Mineralogi: Studi Kasus Sumur OP-001 &amp; OP-002 pada Area Cekungan Sumatera Utara Mineralogi: Studi Kasus Sumur OP-001 &amp; OP-002 pada Area Cekungan Sumatera Utara</t>
  </si>
  <si>
    <t>Teknik Pemboran</t>
  </si>
  <si>
    <t>Pengaruh Konsentrasi Surfaktan-Polimer terhadap Penyebaran Area Pengurasan pada Reservoir Heterogen</t>
  </si>
  <si>
    <t>Pengembangan Hub-Clustering CO Management di Cekungan Sumatera Selatan</t>
  </si>
  <si>
    <t>Pengembangan Metode Material Balance Reservoir Gas untuk Perkiraan Faktor Perolehan Gas yang Akan Datang</t>
  </si>
  <si>
    <t>Peningkatan Kapasitas Usaha Kelompok Wanita Tani "Umbul Makmur" melalui Optimalisasi Sistem Pemasaran Menuju Terwujudnya Kemandirian Ekonomi Warga</t>
  </si>
  <si>
    <t>Peningkatan Kapasitas Usaha Kelompok Wanita Tani “Umbul Makmur” Melalui Optimalisasi Sistem Pemasaran Menuju Terwujudnya Kemandirian Ekonomi Warga</t>
  </si>
  <si>
    <t>Perencanaan Laboratorium Enhanced Oil Recovery (EOR) yang Efektif dan Efisien Sebagai Laboratorium Riset Unggulan UPN “Veteran” Yogyakarta</t>
  </si>
  <si>
    <t>Potensi Cadangan pada Reservoir Gas untuk Prediksi Pemenuhan Permintaan Gas pada Lapangan Gundih PT. Pertamina EP Cepu</t>
  </si>
  <si>
    <t>Teknik Reservoir</t>
  </si>
  <si>
    <t>Prospek Surfaktan Berbahan Dasar Ketapang Sebagai Alternatif untuk Injeksi Kimia pada Metode Enhanced Oil Recovery (EOR)</t>
  </si>
  <si>
    <t>Stimulasi Hydraulic Fracturing pada Formasi Produktif Batu Pasir untuk Peningkatan Perolehan Minyak</t>
  </si>
  <si>
    <t>Siti Umiyatun Choiriah</t>
  </si>
  <si>
    <t>Studi Injeksi Gas Karbondioksida untuk Meningkatkan Perolehan Minyak</t>
  </si>
  <si>
    <t>Studi Optimasi Skenario Injeksi Polimer Dengan Variasi Konsentrasi Menggunakan Media Micromodel Homogen dan Heterogen Dalam Meningkatkan Perolehan Minyak Tahap Lanjut Dalam Meningkatkan Perolehan Minyak Tahap Lanjut</t>
  </si>
  <si>
    <t>Uji Compatibility Fluida Perekah Terhadap Breaker dan Proppant</t>
  </si>
  <si>
    <t>Uji Kemampuan Isolat Bakateri Asam Laktat dalam Microbial Enhanced Oil Recovery (MEOR) pada Sumur-Sumur Migas Tua di Kecamatan Ledok, Kabupaten Blora</t>
  </si>
  <si>
    <t>Uji Laboratorium Fluid Rock Behaviour Testing pada Penerapan Hydraulic Fracturing</t>
  </si>
  <si>
    <t>Uji Pengaruh Kandungan Kimia Air Formasi Terhadap Kecenderungan Pembentukan Residu pada Fluida Perekah</t>
  </si>
  <si>
    <t>Aspek yang Diukur</t>
  </si>
  <si>
    <t>Tingkat Kepuasan Mahasiswa
(%)</t>
  </si>
  <si>
    <t>Rencana Tindak Lanjut oleh UPPS/PS</t>
  </si>
  <si>
    <t>Sangat Baik</t>
  </si>
  <si>
    <t>Baik</t>
  </si>
  <si>
    <t>Cukup</t>
  </si>
  <si>
    <t>Kurang</t>
  </si>
  <si>
    <t>Keandalan (reliability): kemampuan dosen, tenaga kependidikan, dan pengelola dalam memberikan pelayanan</t>
  </si>
  <si>
    <t>- Meningkatkan kemampuan tenaga kependidikan dengan memberikan training penggunaan komputer, agar dapat memberikan pelayanan yang lebih baik.
- Mengikutkan dosen pada acara workshop, training, proyek dan kerjasama dengan DUDI untuk meningkatkan kualitas dari dosen.
'-Meningkatkan pelayanan kepada mahasiswa secara efesien dan efektif, membuat aplikasi terintegrasi dalam pelayanan administrasi</t>
  </si>
  <si>
    <t>- Mengikuti dosen pada kegiatan PEKERTI dan Sertifikasi Dosen.
- Mengikuti tendik pada kegiatan Literasi Digital dan Training untuk pemberian layanan yang prima.
'- Membuat sistem terintegrasi untuk menunjang responsibility dosen dan tenaga kependidikan dalam membantu mahasiswa dan memberikan jasa</t>
  </si>
  <si>
    <t xml:space="preserve">- Pengurus jurusan dan dosen wali mensosialisasikan perihal kode etik mahasiswa sehingga mahasiswa mengetahui hak dan kewajiban selama berstatus mahasiswa UPN "Veteran" Yogyakarta
'-Memberikan fasilitas dan waktu untuk kegiatan sosial kemahasiswaan
- Tendik mengikuti workshop Literasi Digital untuk memahami perihal mutu pelayanan dalam hal public accountability.
'-Membuat SOP yang terstruktur terkait pelayanan terhadap mahasiswa </t>
  </si>
  <si>
    <t>- Membuat SOP untuk dosen wali dalam memberikan perwalian kepada mahasiswa walinya.
- Membuat SOP untuk standar pelayanan tendik kepada mahasiswa.
'-Memberikan fasilitas dan waktu untuk kegiatan sosial kemahasiswaan</t>
  </si>
  <si>
    <t>Membuat kuesioner kepuasan mahasiswa terhadap pelayanan, sarana, dan prasarana yang ada, secara berkala dan berkelanjutan</t>
  </si>
  <si>
    <t>Daya tanggap (responsiveness): kemauan dari dosen, tenaga kependidikan, dan pengelola dalam membantu mahasiswa dan memberikan jasa dengan cepat.</t>
  </si>
  <si>
    <t>Kepastian (assurance): kemampuan dosen, tenaga kependidikan, dan pengelola untuk memberi keyakinan kepada mahasiswa bahwa pelayanan yang diberikan telah sesuai dengan ketentuan.</t>
  </si>
  <si>
    <t>Empati (empathy): kesediaan/kepedulian dosen, tenaga kependidikan, dan pengelola untuk memberi perhatian kepada mahasiswa.</t>
  </si>
  <si>
    <t>Tangible: penilaian mahasiswa terhadap kecukupan, aksesibitas, kualitas sarana dan prasarana</t>
  </si>
  <si>
    <t>Tahun Lulus</t>
  </si>
  <si>
    <t>Jumlah Lulusan</t>
  </si>
  <si>
    <t>Indeks Prestasi Kumulatif</t>
  </si>
  <si>
    <t>Min.</t>
  </si>
  <si>
    <t>Maks</t>
  </si>
  <si>
    <t>https://drive.google.com/drive/folders/1NYUcIKywtZJfgy4HdDfUU7tbTDLRGfCK?usp=sharing</t>
  </si>
  <si>
    <t>Tahun Masuk</t>
  </si>
  <si>
    <t>Jumlah Mahasiswa Reguler per Angkatan pada Tahun</t>
  </si>
  <si>
    <t>Jumlah Lulusan s.d.  TS (dari Mahasiswa Reguler)</t>
  </si>
  <si>
    <t xml:space="preserve"> TS-6</t>
  </si>
  <si>
    <t xml:space="preserve"> TS-5</t>
  </si>
  <si>
    <t xml:space="preserve"> TS-4</t>
  </si>
  <si>
    <t xml:space="preserve"> TS-3</t>
  </si>
  <si>
    <t xml:space="preserve"> TS-2</t>
  </si>
  <si>
    <t xml:space="preserve"> TS-1</t>
  </si>
  <si>
    <t xml:space="preserve"> TS</t>
  </si>
  <si>
    <t>TS-6</t>
  </si>
  <si>
    <t>TS-5</t>
  </si>
  <si>
    <t>Jumlah Lulusan yang Terlacak</t>
  </si>
  <si>
    <t xml:space="preserve">Jumlah Lulusan Terlacak dengan Waktu Tunggu Mendapatkan Pekerjaan </t>
  </si>
  <si>
    <t>WT &lt; 6 bulan</t>
  </si>
  <si>
    <r>
      <rPr>
        <b/>
        <sz val="10"/>
        <color theme="1"/>
        <rFont val="Calibri"/>
        <family val="2"/>
      </rPr>
      <t xml:space="preserve">6 </t>
    </r>
    <r>
      <rPr>
        <b/>
        <sz val="10"/>
        <color theme="1"/>
        <rFont val="Calibri"/>
        <family val="2"/>
      </rPr>
      <t>≤ WT ≤ 18 bulan</t>
    </r>
  </si>
  <si>
    <t>WT &gt; 18 bulan</t>
  </si>
  <si>
    <t>https://drive.google.com/drive/folders/1dPX_cDJHrHdzimZE4_2ORisFLTfRI6aY?usp=sharing</t>
  </si>
  <si>
    <t>Jumlah lulusan Terlacak dengan Tingkat Keseuaian Bidang Kerja</t>
  </si>
  <si>
    <t>Rendah</t>
  </si>
  <si>
    <t>Sedang</t>
  </si>
  <si>
    <t>Tinggi</t>
  </si>
  <si>
    <t>Jumlah Pengguna Lulusan yang Memberi Tanggapan</t>
  </si>
  <si>
    <t>Jumlah Lulusan Terlacak yang Bekerja Berdasarkan Tingkat/Ukuran Tempat Kerja/Berwirausaha</t>
  </si>
  <si>
    <t>Lokal/ Wilayah/ Berwirausaha tidak Berizin</t>
  </si>
  <si>
    <t>Nasional/ Berwirausaha Berizin</t>
  </si>
  <si>
    <t>Multinasional/ Internasional</t>
  </si>
  <si>
    <t>Jenis Kemampuan</t>
  </si>
  <si>
    <t>Tingkat Kepuasan Pengguna
(%)</t>
  </si>
  <si>
    <t>Etika</t>
  </si>
  <si>
    <t xml:space="preserve">Mewajibkan mahasiswa baru untuk mengikuti pelatihan etika dan bela negara </t>
  </si>
  <si>
    <t>Keahlian pada bidang ilmu (kompetensi utama)</t>
  </si>
  <si>
    <t>Melakukan evaluasi kurikulum dan metode pembelajaran, mengadakan kelas dari praktisi, melakukan kuliah lapangan, dan meningkatkan sarana prasarana pembelajaran</t>
  </si>
  <si>
    <t>Kemampuan berbahasa asing</t>
  </si>
  <si>
    <t>Mengadakan pelatihan bahasa asing bagi mahasiswa, memberikan fasislitas pusat bahasa untuk tes bahasa</t>
  </si>
  <si>
    <t>Penggunaan teknologi informasi</t>
  </si>
  <si>
    <t>Memberikan fasilitas internet bagi mahasiswa</t>
  </si>
  <si>
    <t>Kemampuan berkomunikasi</t>
  </si>
  <si>
    <t>Melatih kemampuan berbicara dalam perkuliahan, seminar, lomba, memberikan pelatihan komunikasi dengan mendatangkan narasumber sesuai bidangnya</t>
  </si>
  <si>
    <t>Kerjasama tim</t>
  </si>
  <si>
    <t>memberikan keluasan bagi mahasiswa untuk mengembangkan projek, mengikut sertakan mahasiswa dalam penelitian dan PkM dosen</t>
  </si>
  <si>
    <t>Pengembangan diri</t>
  </si>
  <si>
    <t>Memberikan ruang bagi mahasiswa dalam mengembangkan ppotensi diri melalui UKM yang ada di universitas, fakultas, maupun jurusan</t>
  </si>
  <si>
    <t>Nama Standar (SN Dikti)</t>
  </si>
  <si>
    <t>Ketersediaan Standar (P)</t>
  </si>
  <si>
    <t>Pelaksanaan Standar (P)</t>
  </si>
  <si>
    <t>Monitoring, Evaluasi dan Audit Mutu Internal (E)</t>
  </si>
  <si>
    <t>Umpan Balik Audit Mutu Internal (P)</t>
  </si>
  <si>
    <t>Tindak Lanjut Audit Mutu Internal (P)</t>
  </si>
  <si>
    <t>Tanggal Audit Mutu Internal (HH/BB/TTTT)</t>
  </si>
  <si>
    <t>Standar Kompetensi Lulusan</t>
  </si>
  <si>
    <t>Standar Isi Pembelajaran</t>
  </si>
  <si>
    <t>Standar Proses Pembelajaran</t>
  </si>
  <si>
    <t>Standar Penilaian Pendidikan Pembelajaran</t>
  </si>
  <si>
    <t>Standar Dosen dan Tenaga Kependidikan</t>
  </si>
  <si>
    <t>Standar Sarana dan Prasarana Pembelajaran</t>
  </si>
  <si>
    <t>Standar Pengelolaan</t>
  </si>
  <si>
    <t>Standar Pembiayaan Pembelajaran</t>
  </si>
  <si>
    <t>Standar Hasil Penelitian</t>
  </si>
  <si>
    <t>Standar Isi Penelitian</t>
  </si>
  <si>
    <t>Standar Proses Penelitian</t>
  </si>
  <si>
    <t>Standar Penilaian Penelitian</t>
  </si>
  <si>
    <t>Standar Peneliti</t>
  </si>
  <si>
    <t>Standar Sarana dan Prasana Penelitian</t>
  </si>
  <si>
    <t>Standar Pengelolaan Penelitian</t>
  </si>
  <si>
    <t>Standar Pendanaan dan Pembiayaan Penelitian</t>
  </si>
  <si>
    <t>Standar Hasil PkM</t>
  </si>
  <si>
    <t>Standar Isi PkM</t>
  </si>
  <si>
    <t>Standar Proses PkM</t>
  </si>
  <si>
    <t>Standar Penilaian PkM</t>
  </si>
  <si>
    <t>Standar Pelaksana PkM</t>
  </si>
  <si>
    <t>Standar Sarana dan Prasarana PkM</t>
  </si>
  <si>
    <t>Standar Pengelolaan PkM</t>
  </si>
  <si>
    <t>Standar Pendanaan dan Pembiayaan PkM</t>
  </si>
  <si>
    <r>
      <rPr>
        <b/>
        <sz val="11"/>
        <color theme="1"/>
        <rFont val="Calibri"/>
        <family val="2"/>
        <scheme val="minor"/>
      </rPr>
      <t>Dokumen Standar SPMI Pendidikan:</t>
    </r>
    <r>
      <rPr>
        <sz val="11"/>
        <color theme="1"/>
        <rFont val="Calibri"/>
        <family val="2"/>
        <scheme val="minor"/>
      </rPr>
      <t xml:space="preserve"> </t>
    </r>
  </si>
  <si>
    <t>https://drive.google.com/file/d/1kJPDukLfiMYw3X1g_FAGD3jgKp85yXGa/view?usp=sharing</t>
  </si>
  <si>
    <r>
      <rPr>
        <b/>
        <sz val="11"/>
        <color theme="1"/>
        <rFont val="Calibri"/>
        <family val="2"/>
        <scheme val="minor"/>
      </rPr>
      <t>Dokumen Standar SPMI Penelitian:</t>
    </r>
    <r>
      <rPr>
        <sz val="11"/>
        <color theme="1"/>
        <rFont val="Calibri"/>
        <family val="2"/>
        <scheme val="minor"/>
      </rPr>
      <t xml:space="preserve"> </t>
    </r>
  </si>
  <si>
    <t>https://drive.google.com/file/d/1gZuxERLsvqnAT8BkrqGE6gnSF89IvATF/view?usp=sharing</t>
  </si>
  <si>
    <r>
      <rPr>
        <b/>
        <sz val="11"/>
        <color theme="1"/>
        <rFont val="Calibri"/>
        <family val="2"/>
        <scheme val="minor"/>
      </rPr>
      <t>Dokumen Standar SPMI Pengabdian kepada Masyarakat:</t>
    </r>
    <r>
      <rPr>
        <sz val="11"/>
        <color theme="1"/>
        <rFont val="Calibri"/>
        <family val="2"/>
        <scheme val="minor"/>
      </rPr>
      <t xml:space="preserve"> </t>
    </r>
  </si>
  <si>
    <t>https://drive.google.com/file/d/1uo00YPM_9aKi35Z3ayc6mC3HCOwehGYQ/view?usp=sharing</t>
  </si>
  <si>
    <t>Jenis Dokumen Penjaminan Mutu</t>
  </si>
  <si>
    <t>No Dokumen</t>
  </si>
  <si>
    <t>Tanggal Dokumen</t>
  </si>
  <si>
    <t>Dokumen/Buku Kebijakan SPMI</t>
  </si>
  <si>
    <t>UPN/KBJ_SPMI/02</t>
  </si>
  <si>
    <t>Dokumen/Buku Manual SPMI</t>
  </si>
  <si>
    <t>UPN/MN_SPMI/02</t>
  </si>
  <si>
    <t>Dokumen/Buku Standar SPMI</t>
  </si>
  <si>
    <t>UPN/STD_SPMI/02</t>
  </si>
  <si>
    <t>Dokumen/Buku Formulir SPMI</t>
  </si>
  <si>
    <t>FM_021_01_01A</t>
  </si>
  <si>
    <t>https://drive.google.com/file/d/1Bv6GOJRsTjzxNF6cJEOz42hRuNZ7VkCV/view?usp=sharing</t>
  </si>
  <si>
    <t>https://drive.google.com/file/d/10duChNGszpLMKosdw4hnnUhDlksreyIP/view?usp=sharing</t>
  </si>
  <si>
    <t>https://drive.google.com/file/d/1PnpdhMN-N-D3aIt55lk3ZD1EOHbtRmpl/view?usp=sharing</t>
  </si>
  <si>
    <t>https://drive.google.com/file/d/1Oi2xPLndvLYNhFEFagPa5GvMWvWkR6Tz/view?usp=sharing</t>
  </si>
  <si>
    <t>https://drive.google.com/file/d/1-4F81ZxCH_XMC4upqiQpEKJUUTP92tvn/view?usp=sharing</t>
  </si>
  <si>
    <t>Kerja Ulang Stimulasi</t>
  </si>
  <si>
    <t>Peraturan/Surat Keputusan/ Surat Tugas</t>
  </si>
  <si>
    <t>https://drive.google.com/file/d/1tuyY3EyJIRgxQbYyfqdu4QAVLJNQrrUr/view?usp=sharing</t>
  </si>
  <si>
    <t>Panitia Akreditasi Lamteknik PSTM 2022</t>
  </si>
  <si>
    <t>Instansi/TTD</t>
  </si>
  <si>
    <t>Nomor</t>
  </si>
  <si>
    <t>Surat Tugas</t>
  </si>
  <si>
    <t>Nomor: B/128/UN62.11/ST/2022</t>
  </si>
  <si>
    <t>Surat Keputusan</t>
  </si>
  <si>
    <t>Nomor: 139/Kpts/Tahun 1958</t>
  </si>
  <si>
    <t>Peraturan Akademi Pembangunan Nasional "Veteran"</t>
  </si>
  <si>
    <t>Judul/Tentang</t>
  </si>
  <si>
    <t xml:space="preserve">FTM UPN "Veteran" Yogyakarta/Dekan </t>
  </si>
  <si>
    <t>https://drive.google.com/file/d/1xeSjZ9U6j9cy7OpeyBTQAKj88epdswBt/view?usp=sharing</t>
  </si>
  <si>
    <t>Nomor: 140/Kpts/1965</t>
  </si>
  <si>
    <t>Peningkatan Akademi Pembangunan Nasional "Veteran" di Jogjakarta menjadi Perguruan Tinggi Pembangunan Nasional "Veteran"</t>
  </si>
  <si>
    <t>Menteri Urusan Veteran R.I/Chareul Saleh</t>
  </si>
  <si>
    <t>2. Menteri Urusan Veteran dan Demobilisasi R.I/M. Sarbini</t>
  </si>
  <si>
    <t>1. Menteri Perguruan Tinggi dan Ilmu Pengetahuan /Dr. Sjarif Thajib</t>
  </si>
  <si>
    <t>https://drive.google.com/file/d/1Y1Pw105Pag4DTIHCyUHCss4z8vIANoeg/view?usp=sharing</t>
  </si>
  <si>
    <t>Peraturan Presiden R.I.</t>
  </si>
  <si>
    <t>Nomor: 121 Tahun 2014</t>
  </si>
  <si>
    <t>Pendirian Universitas Pembangunan Nasional "Veteran" Yogyakarta</t>
  </si>
  <si>
    <t>Presiden R.I./ Dr. H. Susilo Bambang Yudhoyono</t>
  </si>
  <si>
    <t>https://drive.google.com/file/d/1llwe3U2uw00ym1cH_eMlYpr0Pz5vmb9l/view?usp=sharing</t>
  </si>
  <si>
    <t>Nomor: 9590/D/T/K-V/2011</t>
  </si>
  <si>
    <t>Perpanjangan Ijin Program Studi Teknik Perminyakan Jenjang S-1 di Universitas Pembangunan Nasional Veteran</t>
  </si>
  <si>
    <t>Direktur Jenderal Pendidikan Tinggi/ Dr. Ir. Bambang Supriyadi</t>
  </si>
  <si>
    <t>https://drive.google.com/file/d/1UUEcY6T8WJdgBQMc0ghXtL2fZschAvvo/view?usp=sharing</t>
  </si>
  <si>
    <t>Nomor: 2533/SK/BAN-PT/Akred/S/VII/2019</t>
  </si>
  <si>
    <t>Status Akreditasi dan Peringkat Terakreditasi Prodi Teknik Perminyakan pada Program Sarjana UPN "Veteran" Yogyakarta</t>
  </si>
  <si>
    <t>Direktur Dewan Eksekutif BAN-PT/ T. Basaruddin</t>
  </si>
  <si>
    <t>https://drive.google.com/file/d/134YYhsfOL1d41ezZxw9YEvsAHjmFcPds/view?usp=sharing</t>
  </si>
  <si>
    <t>Peraturan Menteri</t>
  </si>
  <si>
    <t>Nomor: 85 Tahun 2017</t>
  </si>
  <si>
    <t>Statuta UPN "Veteran" Yogyakarta</t>
  </si>
  <si>
    <t>Menteri Riset, Teknologi dan Pendidikan Tinggi R.I./ Mohamad Nasir</t>
  </si>
  <si>
    <t>https://drive.google.com/file/d/1Nv82Ivksl3EHM2moBH6VXlzehefjnhdW/view?usp=sharing</t>
  </si>
  <si>
    <t>Jasa Konsultan Bidang Migas dan Panas Bumi di Lingkungan Pertamina Hulu dengan sistem On Call Basis</t>
  </si>
  <si>
    <t>Studi Frakabilitas pada Reservoir Unkonvensional</t>
  </si>
  <si>
    <t>Jasa Konsultasi Swakelola Geologi, Geofisika, Reservoir dan Produksi Lapangan Tiaka</t>
  </si>
  <si>
    <t>Analisa XRD dan Shale Stability untuk Mendukung Optimasi Studi Geomechanic dan Analisa Lumpur Pemboran di Lapangan Pertamina</t>
  </si>
  <si>
    <t>https://drive.google.com/file/d/1zudYdd5i_8f6wPMTseUNKBL5i2UH3juH/view?usp=sharing</t>
  </si>
  <si>
    <t>https://drive.google.com/file/d/1GCl2QgYlUfAgOZF-8Ogmcf-ZoYuJ_pKJ/view?usp=sharing</t>
  </si>
  <si>
    <t>https://drive.google.com/file/d/1YTNXx6NMQ0Fh2lJfc39cXRQqdHDL9vBs/view?usp=sharing</t>
  </si>
  <si>
    <t>Nomor: 39 Tahun 2015</t>
  </si>
  <si>
    <t>Organisasi dan Tata Kerja UPN "Veteran" Yogyakarta</t>
  </si>
  <si>
    <t>https://drive.google.com/file/d/1Cv8qi1Qhx5opDKltf3jMakMCqeN3VhXX/view?usp=sharing</t>
  </si>
  <si>
    <t>Rencana Strategis UPN "Veteran" Yogyakarta 2020-2024</t>
  </si>
  <si>
    <t>Rektor UPN "Veteran" Yogyajarta/ Dr. M. Irhas Effendi, M.Si.</t>
  </si>
  <si>
    <t>https://drive.google.com/file/d/1enmrO1NdX5IJgUpxl3YFhOAB-sbRc_LQ/view?usp=sharing</t>
  </si>
  <si>
    <t>Rencana Strategis FTM UPN "Veteran" Yogyakarta 2020-2024</t>
  </si>
  <si>
    <t>Dekan FTM UPN "Veteran" Yogyajarta/ Dr. Ir. Sutarto, M.T.</t>
  </si>
  <si>
    <t>https://drive.google.com/file/d/1nGFpdY_ZhIkadFKJi26XAb-VIqZV6u18/view?usp=sharing</t>
  </si>
  <si>
    <t>Andi Novita M dan Ashabul Kahfi Imam</t>
  </si>
  <si>
    <t>Peraturan Rektor</t>
  </si>
  <si>
    <t>Nomor 4 Tahun 2021</t>
  </si>
  <si>
    <t>Organisasi dan Tata Laksana Kemahasiswaan UPN "Veteran" Yogyakarta</t>
  </si>
  <si>
    <t>https://drive.google.com/file/d/1MyBStab5Kp9nOeijPkUkUPZxMWszmaMl/view?usp=sharing</t>
  </si>
  <si>
    <t>Nomor 6 Tahun 2021</t>
  </si>
  <si>
    <t>Pokok-Pokok Peraturan Akademik UPN "Veteran" Yogyakarta</t>
  </si>
  <si>
    <t>https://drive.google.com/file/d/1bxWU37OtJZ2tRQMybB5r6UzuAf6LaBm_/view?usp=sharing</t>
  </si>
  <si>
    <t>Nomor 28 Tahun 2016</t>
  </si>
  <si>
    <t>Perubahan atas Peraturan Menteri Riset, Teknologi dan Pendidikan Tinggi Nomor 39 Tahun 2015 tentang Organisasi dan Tata Kerja UPN "Veteran" Yogyakarta</t>
  </si>
  <si>
    <t>https://drive.google.com/file/d/1WyVk2vcMkP8_mLTMfvdDuNvwXbw0fUdp/view?usp=sharing</t>
  </si>
  <si>
    <t>Nomor 38 Tahun 2016</t>
  </si>
  <si>
    <t>Tata Cara Pengangkatan dan Pemberhentian Dosen dan Tenaga Kependidikan sebagai Pegawai Pemerintah</t>
  </si>
  <si>
    <t>https://drive.google.com/file/d/1s_gvLILEIIWw-S0DHKqJ80CkLmVCATla/view?usp=sharing</t>
  </si>
  <si>
    <t>Undang-Undang R.I.</t>
  </si>
  <si>
    <t>Nomor 5 Tahun 2014</t>
  </si>
  <si>
    <t>Aparatur Sipil Negara</t>
  </si>
  <si>
    <t>https://drive.google.com/file/d/1kbPpXaz-X0W_rOjBC19wmmZPSdJZL5sJ/view?usp=sharing</t>
  </si>
  <si>
    <t>Nomor 10 Tahun 2016</t>
  </si>
  <si>
    <t>Dosen dan Tenaga Kependidikan pada Perguruan Tinggi Negeri Baru</t>
  </si>
  <si>
    <t>Presiden R.I./ Joko Widodo</t>
  </si>
  <si>
    <t>https://drive.google.com/file/d/1mOXSKWpnVqf1Ja_qFIA8Ig7FHU-EIKen/view?usp=sharing</t>
  </si>
  <si>
    <t>Nomor 27 Tahun 2021</t>
  </si>
  <si>
    <t>Pengadaan Pegawai Negeri Sipil</t>
  </si>
  <si>
    <t>Menteri Pendayagunaan Aparatur Negara dan Reformasi Birokrasi R.I./ Tjahjo Kumolo</t>
  </si>
  <si>
    <t>https://drive.google.com/file/d/18jkro616AvC0SoHwBgQ_-k7F9sppVLjJ/view?usp=sharing</t>
  </si>
  <si>
    <t>Nomor 6 Tahun 2022</t>
  </si>
  <si>
    <t>Pengelolaan Kinerja Pegawai Aparatur Sipil Negara</t>
  </si>
  <si>
    <t>https://drive.google.com/file/d/1bEirVL6iI0WXo8VS1d3bZ_8GzJAImyXa/view?usp=sharing</t>
  </si>
  <si>
    <t>Nomor 6 Tahun 2017</t>
  </si>
  <si>
    <t>Kode Etik dan Tata Tertib Dosen</t>
  </si>
  <si>
    <t>https://drive.google.com/file/d/1OWaFEKmUkFxT9dFqP4I3pMF1YMR4H_Vh/view?usp=sharing</t>
  </si>
  <si>
    <t>Rektor UPN "Veteran" Yogyajarta/ Sari Bahagiarti</t>
  </si>
  <si>
    <t>Nomor 10 Tahun 2017</t>
  </si>
  <si>
    <t>Kode Etik dan Tata Tertib Tenaga Kependidikan</t>
  </si>
  <si>
    <t>https://drive.google.com/file/d/1qRVp8pcrPIBd5tNl7P4rCK9GYhaNG72B/view?usp=sharing</t>
  </si>
  <si>
    <t>Peraturan Pemerintah R.I.</t>
  </si>
  <si>
    <t>Nomor 30 Tahun 2019</t>
  </si>
  <si>
    <t>Penilaian Kinerja Pegawai Negeri Sipil</t>
  </si>
  <si>
    <t>https://drive.google.com/file/d/1oEV5F-im_ePV9FtTpUHk6u2yi8QGtxmb/view?usp=sharing</t>
  </si>
  <si>
    <t>Nomor 8 Tahun 2022</t>
  </si>
  <si>
    <t>Pedoman Tugas Akhir Mahasiswa UPN "Veteran" Yogyakarta</t>
  </si>
  <si>
    <t>https://drive.google.com/file/d/1J5kL4W8VIP8vzL2vcX_33lKrtDfZlRt8/view?usp=sharing</t>
  </si>
  <si>
    <t>Nomor 60/PMK.02/2021</t>
  </si>
  <si>
    <t>Standar Biaya Masukan TA 2022</t>
  </si>
  <si>
    <t>Menteri Keuangan R.I.</t>
  </si>
  <si>
    <t>https://drive.google.com/file/d/13T-YkvAoErQJlX1ZTE5gyyF6BqdHJOSN/view?usp=sharing</t>
  </si>
  <si>
    <t>Nomor Per-4/AG/2022</t>
  </si>
  <si>
    <t>Petunjuk Teknis Penyusunan dan Penelaahan Rencana Kerja dan Anggaran Kementerian/Lembaga dan Pengesahan Daftar Isian Pelaksanaan Anggaran</t>
  </si>
  <si>
    <t>https://drive.google.com/file/d/1-egXvJ6bBKtIq_vBHrG1E60cYzxIawbz/view?usp=sharing</t>
  </si>
  <si>
    <t>Nomor 3 Tahun 2020</t>
  </si>
  <si>
    <t>Standar Nasional Pendidikan Tinggi</t>
  </si>
  <si>
    <t>Menteri Pendidikan dan Kebudayaan R.I./ Nadiem Makarim</t>
  </si>
  <si>
    <t>https://drive.google.com/file/d/1c9znjVo94H3J_-v7UI_-EgqMvK0F00bo/view?usp=sharing</t>
  </si>
  <si>
    <t>Nomor 8 Tahun 2012</t>
  </si>
  <si>
    <t>Kerangka Kualifikasi Nasional Indonesia</t>
  </si>
  <si>
    <t>https://drive.google.com/file/d/1vlaLm7nzhCPkFz4f-a1vgYSe2xEVnfA3/view?usp=sharing</t>
  </si>
  <si>
    <t>Nomor 62 Tahun 2016</t>
  </si>
  <si>
    <t>Sistem Penjaminan Mutu Pendidikan Tinggi</t>
  </si>
  <si>
    <t>https://drive.google.com/file/d/1HLDyDJCzFhbkTaY-HfhzjV8HxFXpMk8n/view?usp=sharing</t>
  </si>
  <si>
    <t>Nomor 13 Tahun 2020</t>
  </si>
  <si>
    <t>Pelaksanaan Program MBKM</t>
  </si>
  <si>
    <t>https://drive.google.com/file/d/1SreIweB-EBXW5-d_3uGx8woy4-XhL5Jn/view?usp=sharing</t>
  </si>
  <si>
    <t>Rencana Strategis Penelitian UPN "Veteran" Yogyakarta 2020-2024</t>
  </si>
  <si>
    <t>Lembaga Penelitian dan PKM UPN "Veteran" Yogyakarta</t>
  </si>
  <si>
    <t>https://drive.google.com/file/d/1iQbv9YH1Tgga6cH22KZkvfwdDWJLFHa7/view?usp=sharing</t>
  </si>
  <si>
    <t>https://drive.google.com/file/d/131et-FzYCA3BnlMOuxP5JQlekca-vaHu/view?usp=sharing</t>
  </si>
  <si>
    <t>Rencana Strategis PkM UPN "Veteran" Yogyakarta 2020-2024</t>
  </si>
  <si>
    <t>Nomor 1 Tahun 2022</t>
  </si>
  <si>
    <t>Sistem Penjaminan Mutu Internal UPN "Veteran" Yogyakarta</t>
  </si>
  <si>
    <t>https://drive.google.com/file/d/1gFRvU-M0dqfQFKGSPzFKzQTGMw9uqU4T/view?usp=sharing</t>
  </si>
  <si>
    <t>Judul: Penyingkiran Merkuri dari Minyak Berat pada Suhu Rendah</t>
  </si>
  <si>
    <t>IDS000005859</t>
  </si>
  <si>
    <t>14/5/2023</t>
  </si>
  <si>
    <t>https://drive.google.com/file/d/1VkVyaA2LmQyPcgvq5KG9A6JPcYGBIfXz/view?usp=sharing</t>
  </si>
  <si>
    <t>https://drive.google.com/file/d/1WlV0YTzkgLkMPobpiDZ07mFPlU95GnU_/view?usp=sharing</t>
  </si>
  <si>
    <t>https://drive.google.com/file/d/1FmohYB_ncJ0wVTzrV1q88bDKwon3rQpK/view?usp=sharing</t>
  </si>
  <si>
    <t>Perjanjian Kinerja PSTM - FTM Tahun 2021</t>
  </si>
  <si>
    <t xml:space="preserve">Dekan FTM UPN dan Kaprodi PSTM "Veteran" Yogyakarta </t>
  </si>
  <si>
    <t>Perjanjian Kinerja PSTM - FTM Tahun 2022</t>
  </si>
  <si>
    <t>Perjanjian Kinerja PSTM - FTM Tahun 2023</t>
  </si>
  <si>
    <t>Jenis Penggunaan</t>
  </si>
  <si>
    <t>Unit Pengelola Program Studi 
(Rupiah)</t>
  </si>
  <si>
    <t>Program Studi 
(Rupiah)</t>
  </si>
  <si>
    <t>Biaya Operasional Pendidikan</t>
  </si>
  <si>
    <t>a. Biaya Dosen (Gaji, Honor)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</si>
  <si>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</si>
  <si>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</si>
  <si>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</si>
  <si>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Biaya operasional kemahasiswaan (penalaran, minat, bakat, dan kesejahteraan).</t>
  </si>
  <si>
    <t>Biaya Penelitian</t>
  </si>
  <si>
    <t>Biaya PkM</t>
  </si>
  <si>
    <t>Biaya Investasi SDM</t>
  </si>
  <si>
    <t>Biaya Investasi Sarana</t>
  </si>
  <si>
    <t>Biaya Investasi Prasarana</t>
  </si>
  <si>
    <t>M. Arif Perdana</t>
  </si>
  <si>
    <t>Dwiki Rama Pangestiko</t>
  </si>
  <si>
    <t>Ghiffari Paramanta Elbees</t>
  </si>
  <si>
    <t>https://drive.google.com/file/d/1KvNPGHh2VeSEJskMlwz5X_i0zHIJCSVJ/view?usp=sharing</t>
  </si>
  <si>
    <t>https://drive.google.com/file/d/14QHZC4KEYk5gWkpOyNw_Z8Ugvlu2ouCG/view?usp=sharing</t>
  </si>
  <si>
    <t>A. Cakra Mangindaan</t>
  </si>
  <si>
    <t>Sitti Nurlian H.</t>
  </si>
  <si>
    <t>SD Muhammadiyah Suronandan</t>
  </si>
  <si>
    <t>Muhammad Akram R.</t>
  </si>
  <si>
    <t>Rahmat Solihin</t>
  </si>
  <si>
    <t>Ahmad Albani</t>
  </si>
  <si>
    <t>M. Zulfikar Arrifqi</t>
  </si>
  <si>
    <t>Mayong Mahmud M.</t>
  </si>
  <si>
    <t>SD Negeri Gendol</t>
  </si>
  <si>
    <t>Mohammad Chaerul U.</t>
  </si>
  <si>
    <t>M. Hasanudin</t>
  </si>
  <si>
    <t>PT Zona Edukasi Nusantara (PT Dwi Inti Putra)</t>
  </si>
  <si>
    <t>Daffa M. Alfaresy</t>
  </si>
  <si>
    <t>B/34/UN62.11/Rek/2022</t>
  </si>
  <si>
    <t>B/32/UN62.11/Rek/2022</t>
  </si>
  <si>
    <t>PT Mari Belajar Indonesia Cerdas (PT Orbit Ventura Indonesia)</t>
  </si>
  <si>
    <t>M. Chaerul Umam</t>
  </si>
  <si>
    <t>B/30/UN62.11/Rek/2022</t>
  </si>
  <si>
    <t>Muhammad Cakrawala</t>
  </si>
  <si>
    <t>RuangGuru (PT Ruang Raya Indonesia)</t>
  </si>
  <si>
    <t>B/31/UN62.11/Rek/2022</t>
  </si>
  <si>
    <t>Andi Novita Mama</t>
  </si>
  <si>
    <t>Ashabul Kahfi Ilham</t>
  </si>
  <si>
    <t>Justin Felix Ananda R.</t>
  </si>
  <si>
    <t>B/64/UN62.11/Rek/2022</t>
  </si>
  <si>
    <t>Gerry Adam A.</t>
  </si>
  <si>
    <t>Ramadhan Kusuma I.</t>
  </si>
  <si>
    <t>Imam Ridho Pangestu</t>
  </si>
  <si>
    <t>Zai Ulhaq</t>
  </si>
  <si>
    <t>Fahri Amrullah</t>
  </si>
  <si>
    <t>Moh. Windu David S.</t>
  </si>
  <si>
    <t>Univesiti Malaya Malayasia</t>
  </si>
  <si>
    <t>Khalifatur Aflah</t>
  </si>
  <si>
    <t>1130112 (Metode Penulisan Ilmiah)</t>
  </si>
  <si>
    <t>1130122 (Metode Numerik)</t>
  </si>
  <si>
    <t>1130182 (Sedimentasi dan Mineralogi)</t>
  </si>
  <si>
    <t>1130622 (Kewirausahaan)</t>
  </si>
  <si>
    <t>Periode Pelaksanaan ( Durasi</t>
  </si>
  <si>
    <t xml:space="preserve">Mata Kuliah yang Setara (kode ( nama) </t>
  </si>
  <si>
    <t>1130281 (KLSMP)</t>
  </si>
  <si>
    <t>1000143 (KKN)</t>
  </si>
  <si>
    <t>1100062 (Ilmu Lingkungan)</t>
  </si>
  <si>
    <t>1130682 (Geothermal Direct Use)</t>
  </si>
  <si>
    <t>1130532 (Kerja Praktek)</t>
  </si>
  <si>
    <t>1130502 (Plan Of Development / POD)</t>
  </si>
  <si>
    <t>1130512 (Pengelolaan Lap Migas-Pabum / FM)</t>
  </si>
  <si>
    <t>1130522 (Pengelolaan Industri Migas-Pabum / PIMP)</t>
  </si>
  <si>
    <t>1130543 (Komprehensif)</t>
  </si>
  <si>
    <t>1130132 (Geohidrologi dan Hidrothermal)</t>
  </si>
  <si>
    <t>1130712 (Reservoir Rekah Alami)</t>
  </si>
  <si>
    <t>1130582 (Studi Kasus Permasalahan Pemboran)</t>
  </si>
  <si>
    <t>1130642 (Teknologi Lepas Pantai)</t>
  </si>
  <si>
    <t>1130762 (Abandonment Site and Restoration Lapangan Migas)</t>
  </si>
  <si>
    <t>1130752 (Artificial Intelegent Perminyakan /AI)</t>
  </si>
  <si>
    <t>B/50/UN62.11/REK/2021</t>
  </si>
  <si>
    <t>B/52/UN62.11/REK/2021</t>
  </si>
  <si>
    <t>B/53/UN62.11/REK/2021</t>
  </si>
  <si>
    <t>B/54/UN62.11/REK/2021</t>
  </si>
  <si>
    <t>B/55/UN62.11/REK/2021</t>
  </si>
  <si>
    <t>B/56/UN62.11/REK/2021</t>
  </si>
  <si>
    <t>https://drive.google.com/file/d/1qdyNcx-I-uUzOkioMTQOHLrDmhdryj8R/view?usp=sharing</t>
  </si>
  <si>
    <t>https://drive.google.com/file/d/1k6XK6Rxath4IeueKx_TAuiStIl4EnCqT/view?usp=sharing</t>
  </si>
  <si>
    <t>https://drive.google.com/file/d/1eOZjZ6glZmseiTgUJsxCvfXagHbbJm1m/view?usp=sharing</t>
  </si>
  <si>
    <t>978-623-389-203-2</t>
  </si>
  <si>
    <t>Performance n-Pentane in Geothermal Medium Entahlpy Binary Cyce for Electric Power Small Scale</t>
  </si>
  <si>
    <t>International Journal of Renewable Energy Research (IJRER)</t>
  </si>
  <si>
    <t>Scopus &amp; WOS</t>
  </si>
  <si>
    <t>https://drive.google.com/file/d/1maVvPphG2tw9PpqiSWD2fU3ioiEM6ZLv/view?usp=sharing</t>
  </si>
  <si>
    <t>https://drive.google.com/file/d/1jsiffvupsgMJAapnLT7IQmjSs1YmzNEI/view?usp=sharing</t>
  </si>
  <si>
    <t>https://drive.google.com/file/d/1Wf_whBttqhtYeEih2fTRcpy4Mr5ksMFj/view?usp=sharing</t>
  </si>
  <si>
    <t>https://drive.google.com/file/d/1Txigefknj8lLLtW4LTA0PiGD5ejVKQZd/view?usp=sharing</t>
  </si>
  <si>
    <t>Muhammad Hidayat Tresnadi</t>
  </si>
  <si>
    <t>1689/UN62/KM.05.03/2022</t>
  </si>
  <si>
    <t>B/38b/UN62.11/ST/2023</t>
  </si>
  <si>
    <t>Marchellio Joshua Kent Matthew</t>
  </si>
  <si>
    <t>1130293 (Teknik Reservoir Migas)</t>
  </si>
  <si>
    <t>Maria Theresia Kristiati Eko, ST.,MT</t>
  </si>
  <si>
    <t>B/38C/UN62.11/ST/2023</t>
  </si>
  <si>
    <t>1130173 (Teknik Produksi Sembur Alam)</t>
  </si>
  <si>
    <t>1130212 (Perpetaan Bawah Permukaan dan Eksplorasi Migas Pabum)</t>
  </si>
  <si>
    <t>1130313 (Drilling Technology (Teknik Pemboran 2))</t>
  </si>
  <si>
    <t>1130342 (Operasi Pemboran Panas Bumi)</t>
  </si>
  <si>
    <t>1130462 (Uji Sumur)</t>
  </si>
  <si>
    <t>1130271 (Praktikkum Penilaian Formasi)</t>
  </si>
  <si>
    <t>1 SKS</t>
  </si>
  <si>
    <t>1130192 (Penilaian Formasi)</t>
  </si>
  <si>
    <t>1100062 (lmu Lingkungan)</t>
  </si>
  <si>
    <t>1130471 (Praktikum Uji Sumur)</t>
  </si>
  <si>
    <t>Aisah Nur Baiti</t>
  </si>
  <si>
    <t>H. Avianto Kabul Pratiknyo, Ir.,MT.</t>
  </si>
  <si>
    <t>Ahmad Zayd</t>
  </si>
  <si>
    <t>Prof. H. Herianto., Dr.,Ir.,Drs.,MT</t>
  </si>
  <si>
    <t>1130132 (Geohidrogi dan Hidrothermal (GH))</t>
  </si>
  <si>
    <t>Shiba Azzhra</t>
  </si>
  <si>
    <t>Maria Theresia Kristiati Eko, ST.,MT.</t>
  </si>
  <si>
    <t>Sahal Byhaqi</t>
  </si>
  <si>
    <t>Anas Puji Santoso, Ir.,MT</t>
  </si>
  <si>
    <t>Universitas Trisakti</t>
  </si>
  <si>
    <t>Oceano 2023 - ITS - Rig Design; Nama Mahasiswa: M. Iqbal Arrizqi, Risky Aditya, Fadli Ramdhani, Ahmad F. Muzakki dan Kadek Anggita Pratiwi</t>
  </si>
  <si>
    <t>17/9/2023</t>
  </si>
  <si>
    <t>Oceano 2023 - ITS - Renewable Energy; Nama Mahasiswa: Haris Ihsanto, Shiba Azzahra dan Zidane F. Attalah</t>
  </si>
  <si>
    <t>Oceano 2023 - ITS - Paper Inovation; Nama Mahasiswa: Nanda B. Pratama, Azhar F. Fatahillah dan Michael R. Adiperdana</t>
  </si>
  <si>
    <t>Oceano 2023 - ITS - Paper Poster; Nama Mahasiswa: Nanda B. Pratama, Azhar F. Fatahillah dan Michael R. Adiperdana</t>
  </si>
  <si>
    <t>Juara Favorit</t>
  </si>
  <si>
    <t>24/9/2023</t>
  </si>
  <si>
    <t>Derrick 2023 - PEM AKA Migas Cepu - Oil rig Design Competition; Nama Mahasiswa: M. Iqbal Arrizqi, Risky Aditya, Fadli Ramdhani, Ahmad F. Muzakki dan Kadek Anggita Pratiwi</t>
  </si>
  <si>
    <t>Derrick 2023 - PEM AKA Migas Cepu - Geothermal Case Study Competition; Nama Mahasiswa: Ricky A. Mustofa, Nahsya A. Tuhulel, I Gusti Ngurah Made dan Sahal Bayhaqi</t>
  </si>
  <si>
    <t>Derrick 2023 - PEM AKA Migas Cepu - Drilling Fluid Design Competition; Nama Mahasiswa: Ega Dimas Saputra, Meilyn Misya dan Difa Rizqi Tsani</t>
  </si>
  <si>
    <t>Derrick 2023 - PEM AKA Migas Cepu - Oil rig Design Competition; Nama Mahasiswa: Muhammad Yusrin, Bima E. Pratama, Paskalis Louis, Syafrin Kultsum Azza dan Listya C. Ramadhani</t>
  </si>
  <si>
    <t>https://drive.google.com/drive/folders/1T-faEqYesf0pEZdydVYrMPQsxq9BZvDN?usp=sharing</t>
  </si>
  <si>
    <t>https://drive.google.com/drive/folders/1K2qNJDBpiygg0QsupA6g37-qR0pji5jR?usp=sharing</t>
  </si>
  <si>
    <t>PEMANFATAAN LAHAN PEKARANGAN UNTUK PERTANIAN ORGANIK DI BANTUL, YOGYAKARTA</t>
  </si>
  <si>
    <t>Hak Cipta Buku: Kombinasi Cyclic Steam Stimulation Dan Steam Flooding Dalam Meningkatkan Perolehan Minyak Berat Tahap Lanjut; DTPS: Boni Swadesi dan Suranto</t>
  </si>
  <si>
    <t>Biaya</t>
  </si>
  <si>
    <t>Sosialisasi Teknologi Tepat Guna Crude Coconut Oil (CCO) Untuk Pembentukan Umkm Dusun Gayam, Desa Banyuroto, Nanggulan, Kulon Progo</t>
  </si>
  <si>
    <t>https://drive.google.com/file/d/1CGvYgXiyEYNoShbmKb8jay4w11w_lW0q/view?usp=sharing</t>
  </si>
  <si>
    <t>https://drive.google.com/file/d/1VKYNgJtPvN-XLMIGXsingbTGb_EbhAvx/view?usp=sharing</t>
  </si>
  <si>
    <t>https://drive.google.com/file/d/1r6ub3ZqQR2m0rdxIx_wFjs74oVjQREaX/view?usp=drive_link</t>
  </si>
  <si>
    <t>https://drive.google.com/file/d/12dKknvk-Ajgkwc929a4AuwF2cR9m2JPj/view?usp=drive_link</t>
  </si>
  <si>
    <t>https://drive.google.com/file/d/1A7b7alt5PgCX5MT2g4n7WlhmQG-xwPvA/view?usp=drive_link</t>
  </si>
  <si>
    <t>https://drive.google.com/file/d/1MVxRthYPAJQ-Uf6qnTLB6YWcRFWM3bkn/view?usp=drive_link</t>
  </si>
  <si>
    <t>https://drive.google.com/file/d/1ps-vF5xr-kfKEHxl-ipgPvAzE3TX1jVQ/view?usp=drive_link</t>
  </si>
  <si>
    <t>https://drive.google.com/file/d/1-6e0slVHFNFriSN3Ji_LJnUKYQ1iumse/view?usp=drive_link</t>
  </si>
  <si>
    <t>https://drive.google.com/file/d/1me4G9y1E4rayYP2T2GhyOYS2RbodsfBk/view?usp=drive_link</t>
  </si>
  <si>
    <t>https://drive.google.com/file/d/16GXJBGKdqrMzbnQY7vprPWEr7ZYTpiRB/view?usp=drive_link</t>
  </si>
  <si>
    <t>https://drive.google.com/file/d/14wuxipOuURyyJ1u5Lj_piG4TETthx0c2/view?usp=drive_link</t>
  </si>
  <si>
    <t>https://drive.google.com/file/d/1CuUCMi3tOuj8xqkLdQEhVZFwJO_X3nvR/view?usp=drive_link</t>
  </si>
  <si>
    <t>https://drive.google.com/file/d/1e7P_9kdm76f5TynoAI2GPayYVNXGXuqo/view?usp=drive_link</t>
  </si>
  <si>
    <t>https://drive.google.com/file/d/1HIDtYYZkvs2D-zJk8T1W3vy66oDbo1Gg/view?usp=drive_link</t>
  </si>
  <si>
    <t>https://drive.google.com/file/d/1d8g1Ai6WtU3Da-6jm7xso2Pa3MrGy590/view?usp=drive_link</t>
  </si>
  <si>
    <t>https://drive.google.com/file/d/1zwFNlpjUgK7zG6WHR6AC6lTYHoCAFpOQ/view?usp=drive_link</t>
  </si>
  <si>
    <t>https://drive.google.com/file/d/1r5LK-_9yBPdXiKJQHZISH0ffOmUqUYRr/view?usp=drive_link</t>
  </si>
  <si>
    <t>https://drive.google.com/file/d/1F8CCkqUJItFhE8QlRKQLjgD6k2QE9y0q/view?usp=drive_link</t>
  </si>
  <si>
    <t>https://drive.google.com/file/d/1me5fGYXYTS-wZfOI1uVpMv8hTBX2zt4O/view?usp=drive_link</t>
  </si>
  <si>
    <t>https://drive.google.com/file/d/1J0JtxnhxkPjLMh-gmBQ_1k2qsBQQFxjl/view?usp=drive_link</t>
  </si>
  <si>
    <t>https://drive.google.com/file/d/1ezm2t8wvbA4yH5OuZvEujFkz1je70xUm/view?usp=drive_link</t>
  </si>
  <si>
    <t>https://drive.google.com/file/d/1zmXs4QxmiXeyS5GNsKb2O530AKJx5uwh/view?usp=drive_link</t>
  </si>
  <si>
    <t>https://drive.google.com/file/d/12KG6zSLE4gESUxfbb94vQ9CIdFjPqhhZ/view?usp=drive_link</t>
  </si>
  <si>
    <t>https://drive.google.com/file/d/1q5K8dKlOvoJ-Mhl8Ubpw3iWL1NgLm5Fb/view?usp=drive_link</t>
  </si>
  <si>
    <t>https://drive.google.com/file/d/1LyddIWlYJlvUcLSQbio0gycFVDAND9tm/view?usp=drive_link</t>
  </si>
  <si>
    <t>https://drive.google.com/file/d/1M82JqZhw2-FbfnunGKErUVC9_3jMvY4K/view?usp=drive_link</t>
  </si>
  <si>
    <t>https://drive.google.com/file/d/1IdA9UJ_i8U1V9b4tqCe9OAjS9346bJto/view?usp=drive_link</t>
  </si>
  <si>
    <t>https://drive.google.com/file/d/1v_2n5oKiyJi5pY_SZPqM3D7S7LMsAqmv/view?usp=drive_link</t>
  </si>
  <si>
    <t>https://drive.google.com/file/d/1oV2Lcaz0L9sRoIEej-VJp0CsszeqMREr/view?usp=drive_link</t>
  </si>
  <si>
    <t>https://drive.google.com/file/d/1_tN4kY9rWbnZ7PhaqIXvCJg5E6nW2nyP/view?usp=drive_link</t>
  </si>
  <si>
    <t>https://drive.google.com/file/d/1414cN2LCjB79DYLarXRuvGBSlIFx3Rvd/view?usp=drive_link</t>
  </si>
  <si>
    <t>https://drive.google.com/file/d/1PbgW69r9XXmB5JHPHU6CFzG2N4T6agfl/view?usp=drive_link</t>
  </si>
  <si>
    <t>https://drive.google.com/file/d/14vjR02ObzfLtevzp9S2gqMSVD_bbXX9h/view?usp=drive_link</t>
  </si>
  <si>
    <t>https://drive.google.com/file/d/1o_cIWxONzVuHjQ0976k0aPhMDgUjDAnI/view?usp=drive_link</t>
  </si>
  <si>
    <t>https://drive.google.com/file/d/1KBt1pxT4SjqiQcu9lJmwyq0agmKlO3ZM/view?usp=drive_link</t>
  </si>
  <si>
    <t>https://drive.google.com/file/d/1JqJhIpPVkzmP5-uenmqMjTHiQYFBTbS0/view?usp=drive_link</t>
  </si>
  <si>
    <t>https://drive.google.com/file/d/1M3aJKbU7Ntlsmc6EycXU67qhKoiflwGV/view?usp=drive_link</t>
  </si>
  <si>
    <t>https://drive.google.com/file/d/1QoOqjwNBKacQ5V2XXhZsXtBXP-awsPKQ/view?usp=drive_link</t>
  </si>
  <si>
    <t>https://drive.google.com/file/d/1bVYa9u5qIntmfigylHUdMwA75ptvSWUj/view?usp=drive_link</t>
  </si>
  <si>
    <t>Atma Budi Arta dan Salma Azizah</t>
  </si>
  <si>
    <t>https://drive.google.com/file/d/1cH8cV1ETrvmF4Pq52EwNlg_nfCKxyBui/view?usp=sharing</t>
  </si>
  <si>
    <t>https://drive.google.com/file/d/105AOaSlQpKTrxXAIDW18wLrKmL4P6Us0/view?usp=sharing</t>
  </si>
  <si>
    <t>https://drive.google.com/file/d/1QI2jJxxNstxXxUhsRy6u4SySEVkZPTN_/view?usp=sharing</t>
  </si>
  <si>
    <t>https://drive.google.com/file/d/1EbYR8xXysWx5Qa4G-l0PUcYXwLmJjVaZ/view?usp=sharing</t>
  </si>
  <si>
    <t>https://drive.google.com/file/d/15_vdhR2BHi9VvzRz8APx4FCFwqRWBsr_/view?usp=sharing</t>
  </si>
  <si>
    <t>https://drive.google.com/file/d/1vwGxVHW2SCIcC_rC4PVAUh0g8APCRfdM/view?usp=sharing</t>
  </si>
  <si>
    <t>https://drive.google.com/file/d/1aydjUMMr8zWyMJuyEf8xkvqSs6biaCOZ/view?usp=sharing</t>
  </si>
  <si>
    <t>https://drive.google.com/file/d/1fUiLX7uCk6dCHAhhTeZiAhNnxu0LA9ns/view?usp=sharing</t>
  </si>
  <si>
    <t>https://drive.google.com/file/d/1Bu2mvk3fgL_dso_nisYOV0ntohFVDlHa/view?usp=sharing</t>
  </si>
  <si>
    <t>https://drive.google.com/file/d/1qoXO1YVOPBfpWAQsp-bnAqYgsGFHjSWp/view?usp=sharing</t>
  </si>
  <si>
    <t>https://drive.google.com/file/d/1bqSriYYuQGOtPmLr4Yr6CpHND6YIOcAP/view?usp=sharing</t>
  </si>
  <si>
    <t>https://drive.google.com/file/d/1IxsVqq23ygyyZ_eKKMBnR2_pme_LSziO/view?usp=sharing</t>
  </si>
  <si>
    <t>https://drive.google.com/file/d/1ELvDO9ZORrgAbITnLJIcKV9dLGbih82V/view?usp=sharing</t>
  </si>
  <si>
    <t>https://drive.google.com/file/d/13j6pQhbVNlGoINjKUVQj6TzkVs8V6Ukr/view?usp=sharing</t>
  </si>
  <si>
    <t>https://drive.google.com/file/d/1LvaCxsG4yfpfgIy5LHznV4MN4WES2zqb/view?usp=sharing</t>
  </si>
  <si>
    <t>https://drive.google.com/file/d/1ZWdUVRFL8ijUzq6wwPKWF_Dr7xbekUri/view?usp=sharing</t>
  </si>
  <si>
    <t>https://drive.google.com/file/d/1ygDI6FchhGvL_IXxVBOMLm1h9YVkGUoW/view?usp=sharing</t>
  </si>
  <si>
    <t>https://drive.google.com/file/d/1yYtoDgQUL2R9-HgJ-Oohvvz0xTYNoNGi/view?usp=sharing</t>
  </si>
  <si>
    <t>https://drive.google.com/file/d/16_mbXnbIR2M5ewbQnX7g-bt8qCLaS_pb/view?usp=sharing</t>
  </si>
  <si>
    <t>https://drive.google.com/file/d/1-bCSVAEHUwdgmQb7yc-IBnsNLlRNBCHb/view?usp=sharing</t>
  </si>
  <si>
    <t>https://drive.google.com/file/d/1nZEWjMz82DXHqAO9V3kIT4s_vp2--Opf/view?usp=sharing</t>
  </si>
  <si>
    <t>https://drive.google.com/file/d/1TGEqSwuVk_nmIchGVj1CLAo2uwvOmBi6/view?usp=sharing</t>
  </si>
  <si>
    <t>https://drive.google.com/file/d/16KYG6Ory8wyXtKtA9cnWbKO-LN8CrC7m/view?usp=sharing</t>
  </si>
  <si>
    <t>https://drive.google.com/file/d/1M8bmnba0T-eK8wdQKTsE2gEcd2x5a6_w/view?usp=sharing</t>
  </si>
  <si>
    <t>978-623-389-256-8</t>
  </si>
  <si>
    <t>https://drive.google.com/file/d/1BZTRJ3MBitYb8n_SkF5fhQX1_h66X4Lz/view?usp=sharing</t>
  </si>
  <si>
    <t>978-623-389-234-6</t>
  </si>
  <si>
    <t>Kerusakan Formasi pada Kegiatan Hydraulic Fracturing dengan Menggunakan Fluida Perekah Berbahan Dasar Air; DTPS: Dedi Kristanto, Dewi Asmorowati, Hariyadi dan Allen Haryanto</t>
  </si>
  <si>
    <t>Rasyid Tegar Prambudi</t>
  </si>
  <si>
    <t>Teori dan Aplikasi Penggunaan Software Hysys Ver. 8.8 untuk Perencanaan Binary Cycle Power Plant; DTPS: Herianto, Dyah Rini, dan Dewi Amorowati</t>
  </si>
  <si>
    <t>https://drive.google.com/file/d/1BblaE0RyNwj8uxBi7SX9RffAiAhS-GFb/view?usp=sharing</t>
  </si>
  <si>
    <t>Manfaat Isolat Bakteri Asam Laktat dalam Microbial Enhanced Oil Recovery (MEOR); DTPS: Boni Swadesi, Hariyadi, dan Damar Nandiwardhana</t>
  </si>
  <si>
    <t>M. Iqbal Arrizqi dan Risky Adhitya</t>
  </si>
  <si>
    <t>978-623-389-246-2</t>
  </si>
  <si>
    <t>https://drive.google.com/file/d/10C8JvMyGCIJwuCK54WaOXSgbbcLZxIiK/view?usp=sharing</t>
  </si>
  <si>
    <t>M Rizki Illahi dan Dimas Rafli H</t>
  </si>
  <si>
    <t>Rekap Biaya PkM Dosen - Mahasiswa</t>
  </si>
  <si>
    <t>https://drive.google.com/drive/folders/1pZDbBHnUawruCdVJqNqCoxGlTtTMFlom</t>
  </si>
  <si>
    <t>Perubahan VMTS PSTM UPN "Veteran" Yogyakarta tahun 2017</t>
  </si>
  <si>
    <t>Nama Dokumen</t>
  </si>
  <si>
    <t>https://drive.google.com/drive/folders/1nfHuAJ3m-6XyFWEI4D3DhgYhDy39POFc?usp=sharing</t>
  </si>
  <si>
    <t>Bidang Keahlian: Teknik Reservoir Migas; Kegiatan: Resource Person in the International Webinar Workshop - Tarlac Agricultural University</t>
  </si>
  <si>
    <t>keynote speaker/invited speaker</t>
  </si>
  <si>
    <t>Sertifikat -  Tarlac Agricultural University</t>
  </si>
  <si>
    <t>Oil Losses Problem in Oil and Gas Industries; DTPS: Dedy Kristanto dan Hariyadi</t>
  </si>
  <si>
    <t>10.5772/intechopen.97553</t>
  </si>
  <si>
    <t>https://drive.google.com/file/d/1nZXWaX7OUCNog_JIua6LhcR8LL_Fgomz/view?usp=sharing</t>
  </si>
  <si>
    <t>Potensi Sistem Perminyakan Pada Endapan Sub Vulkanik Pegunungan Selatan Jawa Bagian Timur</t>
  </si>
  <si>
    <t>Dr. Ir. C. Prasetyadi, M.SC.</t>
  </si>
  <si>
    <t>Dr. Ir. Sutarto, M.T.</t>
  </si>
  <si>
    <t>Swakelola Program Studi Regional &amp; Prospectivity Maratua Block</t>
  </si>
  <si>
    <t>Dr. Ir. Jatmiko Setiawan, M.T.</t>
  </si>
  <si>
    <t>Biostratigrafi dan Paleoekologi Berdasarkan Foraminifera Besar pada Batuan Karbonat Miosen Di Cekungan Rembang</t>
  </si>
  <si>
    <t>Sutarto</t>
  </si>
  <si>
    <t>Easy Way to Determine Fracable Zone Intervals of Shale Hydrocarbon using XRD &amp; MBT Analysis from Drill Cuttings: A Case Study of the Brownshale Formation, Bengkalis Trough, Central Sumatra Basin</t>
  </si>
  <si>
    <t>Carolus Prasetyadi</t>
  </si>
  <si>
    <t>https://drive.google.com/file/d/1Oy3b5CHSJUm400doSb1yAMt_mSVGVcIp/view?usp=sharing</t>
  </si>
  <si>
    <t>AIP Conference Proceedings, ICEMINE</t>
  </si>
  <si>
    <t>Rate of sedimentation based on biostratigraphy of the Kendeng Zone in Kalibeng river of Kedungringin, Plandaan Area, Jombang, East Java</t>
  </si>
  <si>
    <t>https://drive.google.com/file/d/1cQqUjEXf7qQ7NgO693z_vTbV4ssd3r48/view?usp=sharing</t>
  </si>
  <si>
    <t>Shale Hydrocarbon Development Based on Drill Cuttings &amp; TOC Anlysis: Case Study of Brownshale Drill Cuttings of Well BS-03, Pematang Formation, Bengkalis Trough, Central Sumatra Basin</t>
  </si>
  <si>
    <t>https://drive.google.com/file/d/1aO-Mz6UTQG4HV-G2s1cr9kFidYHyEUQC/view?usp=sharing</t>
  </si>
  <si>
    <t>Dr. Yatini, M.Si.</t>
  </si>
  <si>
    <t>Dr. Ir. Siti Umiyatun Choiriah, M.T.</t>
  </si>
  <si>
    <t>Yatini</t>
  </si>
  <si>
    <t>No. 821/UN62/TD/KPA/2020; No. 123/UN62/TD/KPA/2021</t>
  </si>
  <si>
    <t>No. 641/UN62/TD/KPA/2021; No. 7/UN62/TD/KPA/2022</t>
  </si>
  <si>
    <t>No. 660/UN62/TD/KPA/2022; No. 112/UN62/DT.02/KPA/2023</t>
  </si>
  <si>
    <t>Tgl. Approval</t>
  </si>
  <si>
    <t>Jenis</t>
  </si>
  <si>
    <t>Nama Beasiswa</t>
  </si>
  <si>
    <t>Smt</t>
  </si>
  <si>
    <t>21/05/2023</t>
  </si>
  <si>
    <t>Baru</t>
  </si>
  <si>
    <t>Beasiswa WIMAYA 2023</t>
  </si>
  <si>
    <t>MUHAMMAD RIVYAL KABAH</t>
  </si>
  <si>
    <t>Fakultas Ilmu Sosial dan Ilmu Politik</t>
  </si>
  <si>
    <t>S1 Ilmu Komunikasi</t>
  </si>
  <si>
    <t>HESTU DHEA AMANDA</t>
  </si>
  <si>
    <t>Fakultas Pertanian</t>
  </si>
  <si>
    <t>S1 Ilmu Tanah</t>
  </si>
  <si>
    <t>MUHAMMAD BAHTIAR JAVAN MONTERO</t>
  </si>
  <si>
    <t>Fakultas Teknologi Mineral</t>
  </si>
  <si>
    <t>Perpanjang</t>
  </si>
  <si>
    <t>RACHEL NEVIA CHRISTI MARPAUNG</t>
  </si>
  <si>
    <t>Akmal Nazla Falahi</t>
  </si>
  <si>
    <t>S1 Teknik Geofisika</t>
  </si>
  <si>
    <t>Nurmala Salsabila Putri</t>
  </si>
  <si>
    <t>FARID ANDHIKA</t>
  </si>
  <si>
    <t>Agroteknologi</t>
  </si>
  <si>
    <t>ASA G MELASUREY</t>
  </si>
  <si>
    <t>FITRIA NUR KHASANAH</t>
  </si>
  <si>
    <t>Fakultas Ekonomi dan Bisnis</t>
  </si>
  <si>
    <t>Akuntansi</t>
  </si>
  <si>
    <t>UMI QULTSUM MALIKHA</t>
  </si>
  <si>
    <t>S1 Ilmu Administrasi Bisnis</t>
  </si>
  <si>
    <t>TEGAR ARI PRASETYO</t>
  </si>
  <si>
    <t>S1 Agribisnis</t>
  </si>
  <si>
    <t>BILLYJOE SUSANTO</t>
  </si>
  <si>
    <t>S1 Teknik Pertambangan</t>
  </si>
  <si>
    <t>Muhammad Adnan Firdaus</t>
  </si>
  <si>
    <t>DANY SAAD AMRULLAH</t>
  </si>
  <si>
    <t>GARRY GAVIN RISALIM GS</t>
  </si>
  <si>
    <t>PATRICIA GLORINTA BR SINUHAJI</t>
  </si>
  <si>
    <t>WAHYU NUR ANGGRAHINI</t>
  </si>
  <si>
    <t>S1 Teknik Perminyakan</t>
  </si>
  <si>
    <t>GILANG ALIF FEBRIAN</t>
  </si>
  <si>
    <t>MELIANA MENDROFA</t>
  </si>
  <si>
    <t>ADIN BELVA JANITRA</t>
  </si>
  <si>
    <t>S1 Agroteknologi</t>
  </si>
  <si>
    <t>SELLA ANJELITA DIAH CAHYANI</t>
  </si>
  <si>
    <t>S1 Manajemen</t>
  </si>
  <si>
    <t>MUHAMMAD ISMAIL HASAN FARGHALI</t>
  </si>
  <si>
    <t>SYAZA MAYSARAH</t>
  </si>
  <si>
    <t>RIKA NUR SETYANINGSIH</t>
  </si>
  <si>
    <t>INDI YUNI FARIRA</t>
  </si>
  <si>
    <t>20/05/2023</t>
  </si>
  <si>
    <t>HILDA FEBITA WIDIANINGSIH</t>
  </si>
  <si>
    <t>LAILI NURAINI</t>
  </si>
  <si>
    <t>S1 AGROTEKNOLOGI</t>
  </si>
  <si>
    <t>RACHMAD YUNIARTHA</t>
  </si>
  <si>
    <t>BINTANG LAKSANA RAWI WIDIASTANTO</t>
  </si>
  <si>
    <t>Fakultas Teknik Industri</t>
  </si>
  <si>
    <t>S1 Teknik Industri</t>
  </si>
  <si>
    <t>SANG FATMA HAYUNISA</t>
  </si>
  <si>
    <t>PANCA MAHESHA HARJANTO</t>
  </si>
  <si>
    <t>Lulu Setiawati</t>
  </si>
  <si>
    <t>DZAKY NAUFAL VALDIYANTORO</t>
  </si>
  <si>
    <t>RHEGIETA CHINTYA MAYROLIN</t>
  </si>
  <si>
    <t>YULIA MEGA ANDRIANI UTAMI</t>
  </si>
  <si>
    <t>EMAN WICAKSONO</t>
  </si>
  <si>
    <t>S1 Akuntansi</t>
  </si>
  <si>
    <t>BONANG SURYA UTAMA</t>
  </si>
  <si>
    <t>FATIH BAGUS ASKARA TANJUNG</t>
  </si>
  <si>
    <t>ANANDA RIZKI AMALIA</t>
  </si>
  <si>
    <t>S1 Teknik Kimia</t>
  </si>
  <si>
    <t>ANANDHISKA ARLA NUR AINNI</t>
  </si>
  <si>
    <t>Davita Rayhandani Salsabila</t>
  </si>
  <si>
    <t>RIZKA NUR CAHYO</t>
  </si>
  <si>
    <t>INDAH RAHMAWATI LISTYA PUTRI</t>
  </si>
  <si>
    <t>KHAFLA FATHIMA NURTSAQIFA</t>
  </si>
  <si>
    <t>CAMILUS ADIPUTRA YOHANES</t>
  </si>
  <si>
    <t>JENNY SALZA PILIYANG</t>
  </si>
  <si>
    <t>IVANA AMELIA YASICHA</t>
  </si>
  <si>
    <t>MICHAEL KHRESNA AJI</t>
  </si>
  <si>
    <t>AGUSTINA DEWI NURAINI</t>
  </si>
  <si>
    <t>LA ODE MUSAPRIL USRIK</t>
  </si>
  <si>
    <t>RIBKHY AMINO SALEH</t>
  </si>
  <si>
    <t>AULIA RIZQI DYAH AYU PRAMESTI</t>
  </si>
  <si>
    <t>FANNY FADHILA RAHMANIA</t>
  </si>
  <si>
    <t>SIRLE MARGARETA VINCI</t>
  </si>
  <si>
    <t>PUTRI KARTIKA SARI</t>
  </si>
  <si>
    <t>S1 Administrasi Bisnis</t>
  </si>
  <si>
    <t>LATHIFAH IMTIYAZ HAMID</t>
  </si>
  <si>
    <t>S1 ILMU TANAH</t>
  </si>
  <si>
    <t>SALFA NEFITKA SALSABILA</t>
  </si>
  <si>
    <t>S1 Hubungan Masyarakat</t>
  </si>
  <si>
    <t>SHELLY YUANA ESA SAPUTRI</t>
  </si>
  <si>
    <t>YULIA AYU SRI RAHMAWATI</t>
  </si>
  <si>
    <t>ILMU HUBUNGAN INTERNASIONAL</t>
  </si>
  <si>
    <t>VANIA CANTIKA PUTRI FATIMA SARI</t>
  </si>
  <si>
    <t>LENI ANDRIANI</t>
  </si>
  <si>
    <t>TRI SUCI RAMADHANI</t>
  </si>
  <si>
    <t>SALSABILA ESTININGTYAS</t>
  </si>
  <si>
    <t>ADNAN HANAFI</t>
  </si>
  <si>
    <t>MUHAMMAD ABID HAKKAN</t>
  </si>
  <si>
    <t>S1 Teknik Geologi</t>
  </si>
  <si>
    <t>Octina Selva Rizkika</t>
  </si>
  <si>
    <t>MOHAMMAD ADRIAN</t>
  </si>
  <si>
    <t>RAMADHAN NUR IKHWAN</t>
  </si>
  <si>
    <t>GOFARNA SAYAGIRI</t>
  </si>
  <si>
    <t>FIEKA FAIDUN NAJIH</t>
  </si>
  <si>
    <t>M. Ridwan Yusuf Setiawan</t>
  </si>
  <si>
    <t>S1 Teknik Lingkungan</t>
  </si>
  <si>
    <t>NURCAHYANI AZIZAH</t>
  </si>
  <si>
    <t>TANNYA EKA PRATIWI</t>
  </si>
  <si>
    <t>ILHAM SATRIA NUR HAKIM</t>
  </si>
  <si>
    <t>REIKE DIAH PITALOKA</t>
  </si>
  <si>
    <t>FILIPUS ARYA ADI NUGRAHA</t>
  </si>
  <si>
    <t>S1 Ilmu Ekonomi</t>
  </si>
  <si>
    <t>ANNISA NUR HANIFAH</t>
  </si>
  <si>
    <t>APRILIA DIANI SARI</t>
  </si>
  <si>
    <t>HALDY GAYUH WICAKSONO</t>
  </si>
  <si>
    <t>D3 Teknik Kimia</t>
  </si>
  <si>
    <t>FARIZAH ISTIFATKHUL NADHIFA</t>
  </si>
  <si>
    <t>ALDY FACHRUDDIN</t>
  </si>
  <si>
    <t>FAUZI RAMADHANI</t>
  </si>
  <si>
    <t>Putri Namira</t>
  </si>
  <si>
    <t>ATDETA FITRIYANI TANDAGO</t>
  </si>
  <si>
    <t>DAFFA NAUFAL ARRAFI</t>
  </si>
  <si>
    <t>SHOFIYA KHALISA</t>
  </si>
  <si>
    <t>S1 Informatika</t>
  </si>
  <si>
    <t>FADILLA RIZKI SARI HANDAYANI</t>
  </si>
  <si>
    <t>WAHYU DWI KURNIAWAN</t>
  </si>
  <si>
    <t>ABDAN AZAM SABILI</t>
  </si>
  <si>
    <t>WAHYU PUTRANTO</t>
  </si>
  <si>
    <t>M. AFIF FADHILI</t>
  </si>
  <si>
    <t>ZULFIKAR AULIA ALISAPUTRA</t>
  </si>
  <si>
    <t>ALVI RAHMA PRAMESTI</t>
  </si>
  <si>
    <t>SI Manaemen</t>
  </si>
  <si>
    <t>KARTIKA SARI</t>
  </si>
  <si>
    <t>AZMI AZIZI</t>
  </si>
  <si>
    <t>ANDREA PIRLO</t>
  </si>
  <si>
    <t>LENIANA DEVI RAHMAWATI PUTRI</t>
  </si>
  <si>
    <t>S1 Hubungan Internasional</t>
  </si>
  <si>
    <t>ROSYID UMAR HUSEIN ARS FIRDAUST</t>
  </si>
  <si>
    <t>FARDA RAHMAWATI</t>
  </si>
  <si>
    <t>LUTHFIAH DWI DEWANTI</t>
  </si>
  <si>
    <t>FEBRIANA RAHMAWATI</t>
  </si>
  <si>
    <t>KHIKMA NAVIA</t>
  </si>
  <si>
    <t>Sistem Informasi</t>
  </si>
  <si>
    <t>ANSHARI TRI WIBOWO</t>
  </si>
  <si>
    <t>RAFINA AYU AMANDA PUTRI</t>
  </si>
  <si>
    <t>DWI SAKTI BAKTI</t>
  </si>
  <si>
    <t>IVAN REYNALDI NUGROHO</t>
  </si>
  <si>
    <t>MUHAMMAD RIZKY ROMADHONI</t>
  </si>
  <si>
    <t>FAYLA KHANSA AZIGHA ZAHIRA</t>
  </si>
  <si>
    <t>IMAM RIDHO PANGESTU</t>
  </si>
  <si>
    <t>KINKIN KUMALASARI RAHMAWATI</t>
  </si>
  <si>
    <t>KESYA NADYA GITA PUTRI</t>
  </si>
  <si>
    <t>ANGGHITA PUTRI SEKAR NINGRUM</t>
  </si>
  <si>
    <t>ADE FARIS MU TAZ</t>
  </si>
  <si>
    <t>NUR EKA MAHENDRA</t>
  </si>
  <si>
    <t>LYANA KHISNA NAFI AH</t>
  </si>
  <si>
    <t>FIKAN OKTOREKA ORBIYANTO</t>
  </si>
  <si>
    <t>VHINSKY EFRAIM PINONTOAN</t>
  </si>
  <si>
    <t>FADILLAH RAHMANITA</t>
  </si>
  <si>
    <t>DIAH AYU PUSPITASARI</t>
  </si>
  <si>
    <t>AHMAD FUAD ALHELMI</t>
  </si>
  <si>
    <t>ZAHRA NANDITA</t>
  </si>
  <si>
    <t>ADITYA ANANTA PUTRA</t>
  </si>
  <si>
    <t>DITA APRILIANI</t>
  </si>
  <si>
    <t>SEPTIA WINANDA</t>
  </si>
  <si>
    <t>HEALTHO ALIF FAHREZA</t>
  </si>
  <si>
    <t>MOHAMMAD ANDIKA TRIWIBOWO</t>
  </si>
  <si>
    <t>TETUKO AJI HUTOMO</t>
  </si>
  <si>
    <t>AGUSTINA ANDRIYANI</t>
  </si>
  <si>
    <t>DINASTI HARYATI PUTRI</t>
  </si>
  <si>
    <t>SALSABILA NUR AZIZAH</t>
  </si>
  <si>
    <t>ROFIQ MAULANA HADI SAPUTRO</t>
  </si>
  <si>
    <t>DINDA FATHIKA ZUHRO</t>
  </si>
  <si>
    <t>RIZQULLAHMULADI</t>
  </si>
  <si>
    <t>HANAFI IQBAL PANGESTU</t>
  </si>
  <si>
    <t>TAUFIQ HIDAYAT</t>
  </si>
  <si>
    <t>DHEA SALSABILA CHAIRI</t>
  </si>
  <si>
    <t>DHIYAN FAUZAN RACHMATULLAH</t>
  </si>
  <si>
    <t>ATIKAH HERVIN AZAHRA</t>
  </si>
  <si>
    <t>S1 Teknik Geomatika</t>
  </si>
  <si>
    <t>NAUFAL DZAKI FADHILAH</t>
  </si>
  <si>
    <t>AGEIK WINGGIARSIH</t>
  </si>
  <si>
    <t>SYLVIA THALIA SALSABILLA</t>
  </si>
  <si>
    <t>NURHALISA PUSPA OKTAFANI</t>
  </si>
  <si>
    <t>DIVA ROSIANDARU</t>
  </si>
  <si>
    <t>EVYFANY MANALU</t>
  </si>
  <si>
    <t>TITIS ILHAM PASA</t>
  </si>
  <si>
    <t>STEFANUS MICHAEL SOTARDODO SINAGA</t>
  </si>
  <si>
    <t>SARAH ZAKIA</t>
  </si>
  <si>
    <t>DESTIANA GABY RAMADHANI</t>
  </si>
  <si>
    <t>Nada Khoirinnisa</t>
  </si>
  <si>
    <t>BANI MUSHTHAFA</t>
  </si>
  <si>
    <t>ARINA BINTAN KAMILA</t>
  </si>
  <si>
    <t>FAYADHIKO WICAKSONO</t>
  </si>
  <si>
    <t>ANDIKA NUR LATIF</t>
  </si>
  <si>
    <t>MUTIARA PELAWATI AZIL</t>
  </si>
  <si>
    <t>ADAM RAKHA PANDYA</t>
  </si>
  <si>
    <t>ADITYA SALFA NUR RAHMAN PRATAMA</t>
  </si>
  <si>
    <t>NAILA ANNISA MELINDA</t>
  </si>
  <si>
    <t>BAGUS TRI SETIA AJI</t>
  </si>
  <si>
    <t>PASKALIS LOUIS UMBU HANDANG NIPPA</t>
  </si>
  <si>
    <t>WAHYU DWI HENDRIAWAN</t>
  </si>
  <si>
    <t>PRAYOGI YUDHISTIRA</t>
  </si>
  <si>
    <t>S1 Teknik Metalurgi</t>
  </si>
  <si>
    <t>NUR APRILIA SRIKANDI PRAMUDA WARDHANI</t>
  </si>
  <si>
    <t>EROL YUDHI PRAKOSO</t>
  </si>
  <si>
    <t>JOVANKA FITRIANI ADINDA PUTRI</t>
  </si>
  <si>
    <t>AKMALIA EVA FAUZIAH WARASTRI</t>
  </si>
  <si>
    <t>SHAFA AYU UGI LESTARI</t>
  </si>
  <si>
    <t>DYAN PRAWESTRI</t>
  </si>
  <si>
    <t>BANDRI ALGI KOMARA</t>
  </si>
  <si>
    <t>Lutfi Dwi Pramesti</t>
  </si>
  <si>
    <t>GABRIELLA HOT MARSONDANG SIMAMORA</t>
  </si>
  <si>
    <t>FILTRA NOVALIA RAMADINA</t>
  </si>
  <si>
    <t>MUHAMMAD ICHLASUL IHSAN TITO GHAZANI</t>
  </si>
  <si>
    <t>JOYVANKA DEWA SAPUTRA</t>
  </si>
  <si>
    <t>MUHAMMAD FARHAN MUFA</t>
  </si>
  <si>
    <t>ALODIA CHANIS ERRIANE GEREND</t>
  </si>
  <si>
    <t>DANNY ALFIANTO</t>
  </si>
  <si>
    <t>S1 TEKNIK PERTAMBANGAN</t>
  </si>
  <si>
    <t>RIZKY TRI ATMOJO</t>
  </si>
  <si>
    <t>AGUSTIN DINDA PANGESTUJATI</t>
  </si>
  <si>
    <t>ISTIAN MUHAMMAD WAHYU SETIAWAN</t>
  </si>
  <si>
    <t>SAFNA NIHAYAH</t>
  </si>
  <si>
    <t>MEIDITO ADILUHUNG</t>
  </si>
  <si>
    <t>AFIFAH NUR HIKMAWATI</t>
  </si>
  <si>
    <t>ILFA LAYALI</t>
  </si>
  <si>
    <t>NOVANDI IRFAN PAMUNGKAS</t>
  </si>
  <si>
    <t>ALYA SETYA NINGRUM</t>
  </si>
  <si>
    <t>NASYWA AZZAHRA MAYFAN</t>
  </si>
  <si>
    <t>CINDY ARISTA BR GINTING</t>
  </si>
  <si>
    <t>S1 Ilmu Hubungan Internasional</t>
  </si>
  <si>
    <t>SHOFURA SALMA PINASTHIKA</t>
  </si>
  <si>
    <t>ARUM MAWAR NUR AZIZZAH</t>
  </si>
  <si>
    <t>FADHILA DONANINGTYAS</t>
  </si>
  <si>
    <t>S1 ILMU ADMINISTRASI BISNIS</t>
  </si>
  <si>
    <t>MUHAMMAD BINTANG ALIFIAN</t>
  </si>
  <si>
    <t>MUHAMMAD FAIQ DANI MUZAKI</t>
  </si>
  <si>
    <t>TIARA ROSA TRISNAMURTI</t>
  </si>
  <si>
    <t>FARREL CAHYO AWANGGA</t>
  </si>
  <si>
    <t>S1 Sistem Informasi</t>
  </si>
  <si>
    <t>MUHAMMAD YUDIANSYAH PERDANA</t>
  </si>
  <si>
    <t>DHIMAS BAGUS PRAKOSO</t>
  </si>
  <si>
    <t>INDAH ADINDA SARI</t>
  </si>
  <si>
    <t>APRIDIEKTA ILMA LISTYOMURTI</t>
  </si>
  <si>
    <t>HIKMAH MIRZA PUTRI</t>
  </si>
  <si>
    <t>FITRI ALDA ANZANI</t>
  </si>
  <si>
    <t>S1 Teknik Pertambangang</t>
  </si>
  <si>
    <t>Meisya Amalia Sari</t>
  </si>
  <si>
    <t>ILHAM AL HILAL PUTRANTA</t>
  </si>
  <si>
    <t>RYAN SULISTYO</t>
  </si>
  <si>
    <t>AGISTI EUGENIA MILANO</t>
  </si>
  <si>
    <t>RIZKY SAPUTRA</t>
  </si>
  <si>
    <t>INASTITI ADNANT RI ATMOJO</t>
  </si>
  <si>
    <t>NAUFAL FALAH HIDAYAT</t>
  </si>
  <si>
    <t>SHERLY DIYAH AYU PERMATA SARI</t>
  </si>
  <si>
    <t>S1 HUBUNGAN INTERNASIONAL</t>
  </si>
  <si>
    <t>AHSANUL HAIKAL FIKRI</t>
  </si>
  <si>
    <t>KEZIA AYUNING TYAS</t>
  </si>
  <si>
    <t>AYU SRI PERMADANI SITANGGANG</t>
  </si>
  <si>
    <t>DHEA PRAMESTI WARDANI</t>
  </si>
  <si>
    <t>GARIN AURILIA DANTI</t>
  </si>
  <si>
    <t>S1 AKUNTANSI</t>
  </si>
  <si>
    <t>CITRA NUR AYU KUMALASARI</t>
  </si>
  <si>
    <t>MUHAMMAD CYRIL IRFANSYAH</t>
  </si>
  <si>
    <t>VANISA VIRDAUS</t>
  </si>
  <si>
    <t>S1 Ekonomi Pembangunan</t>
  </si>
  <si>
    <t>DEVMITHA NUR HAQY SUMARSONO</t>
  </si>
  <si>
    <t>WILDAN ZANUAR HERVIANSYAH</t>
  </si>
  <si>
    <t>Birgita Febbyani</t>
  </si>
  <si>
    <t>ADRIAN BANYU GUNUNG</t>
  </si>
  <si>
    <t>IRVAN MAULANA YUSUF</t>
  </si>
  <si>
    <t>CALISSA FARRAZ PUTRI</t>
  </si>
  <si>
    <t>VERENT AGUSTIN</t>
  </si>
  <si>
    <t>NADIA NISYA BUDI MAHARANI</t>
  </si>
  <si>
    <t>OPSETA BANGKIT RISMA BAKTI</t>
  </si>
  <si>
    <t>SYIFANA MUTIARA MAHARANI</t>
  </si>
  <si>
    <t>ARI JULIANA FEBRIYANTI</t>
  </si>
  <si>
    <t>INGGITA NIRWIGHUNA</t>
  </si>
  <si>
    <t>Ilmu Administrasi Bisnis</t>
  </si>
  <si>
    <t>RIFALDINO</t>
  </si>
  <si>
    <t>YEHEZKIEL GIRSANG</t>
  </si>
  <si>
    <t>WINDI AYU DEA</t>
  </si>
  <si>
    <t>Ilmu Komunikasi S1</t>
  </si>
  <si>
    <t>RAKHEL CITRA DAMAYANTI</t>
  </si>
  <si>
    <t>AMRULLAH AL GHIFARI</t>
  </si>
  <si>
    <t>MISBA GOSIN</t>
  </si>
  <si>
    <t>S 1 Teknik Pertambangan</t>
  </si>
  <si>
    <t>Ramadhani Muhammad Yusuf Ardiansyah</t>
  </si>
  <si>
    <t>FIRDAUZI WASITATAMA</t>
  </si>
  <si>
    <t>MEGA UTAMI</t>
  </si>
  <si>
    <t>MUHAMMAD PUTRA AGUSTIAN</t>
  </si>
  <si>
    <t>SUKMA RUCI ATMOJO</t>
  </si>
  <si>
    <t>KALISTA YASMIN OKTAVIANI</t>
  </si>
  <si>
    <t>NAHDLOH NADHIFA IDA</t>
  </si>
  <si>
    <t>HASNA MAYRA HANIF SUHARMAN</t>
  </si>
  <si>
    <t>MOCH SYAIFUL AKBAR</t>
  </si>
  <si>
    <t>DEWANGGA DAMARJATI SETYAWAN</t>
  </si>
  <si>
    <t>GALIH KANTHI WENINGTYAS</t>
  </si>
  <si>
    <t>AHNAF HAZIMIZZUFAR</t>
  </si>
  <si>
    <t>HERLISA KARTIKA JATI</t>
  </si>
  <si>
    <t>VIKA DYAH PUSPITA</t>
  </si>
  <si>
    <t>ALUNA DESIDERIA</t>
  </si>
  <si>
    <t>NATALIA CHRISTIEN GAGOLA</t>
  </si>
  <si>
    <t>PUTRI RIAS PRATIWI</t>
  </si>
  <si>
    <t>MUNA MAULIDA MULYANI</t>
  </si>
  <si>
    <t>Akuntansi S1</t>
  </si>
  <si>
    <t>EUNIKE ELLENA KRISHANDINI</t>
  </si>
  <si>
    <t>Ekonomi Pembangunan</t>
  </si>
  <si>
    <t>HARIS MUHLISIN</t>
  </si>
  <si>
    <t>s1 Teknik Geofisika</t>
  </si>
  <si>
    <t>YUNIARDILA DAMARINGTYAS</t>
  </si>
  <si>
    <t>MUHAMMAD AMMAR ASSYIFA HABIBULLAH</t>
  </si>
  <si>
    <t>ALMASHAYNA WENINGTYAS PRIOWASONO</t>
  </si>
  <si>
    <t>MUHAMMAD ALAF ANHAR HUTAMA</t>
  </si>
  <si>
    <t>FITRI NORAZAHRA AZAHIRA</t>
  </si>
  <si>
    <t>RAHMALIA PUTRI ARDIYANDARI</t>
  </si>
  <si>
    <t>ULVIYAH HAMIDATUSYAADAH</t>
  </si>
  <si>
    <t>NANI APRIZHA</t>
  </si>
  <si>
    <t>USAMAH KHALIL ABDUR ROZAK</t>
  </si>
  <si>
    <t>RIZAL MAULANA</t>
  </si>
  <si>
    <t>DENNY FRANISA MELIALA</t>
  </si>
  <si>
    <t>ILHAM RAHMANTARA</t>
  </si>
  <si>
    <t>REZA NUR IMAN ABADI</t>
  </si>
  <si>
    <t>RICO FERDIANSYAH</t>
  </si>
  <si>
    <t>AHMAD AJI SAPUTRO</t>
  </si>
  <si>
    <t>TRIASTIANA MARSYA QUAMILA</t>
  </si>
  <si>
    <t>ASHILAH FIRDA SARI</t>
  </si>
  <si>
    <t>CHRISTANTO RYAN PANGESTU</t>
  </si>
  <si>
    <t>ELISIA DWI RAHAYU</t>
  </si>
  <si>
    <t>SELMA HAYUWANDIRA</t>
  </si>
  <si>
    <t>RAFLI MIFTAHUL ALWI</t>
  </si>
  <si>
    <t>RINA WIDI ASTUTI</t>
  </si>
  <si>
    <t>VANIA GLADYS SUWANDI</t>
  </si>
  <si>
    <t>SHAZI AWALUDIN</t>
  </si>
  <si>
    <t>Informatika</t>
  </si>
  <si>
    <t>MUHAMMAD FARHAN HARJUNA</t>
  </si>
  <si>
    <t>ARIF  MUSTHOFA</t>
  </si>
  <si>
    <t>ISABELA THYANA WULANDARY</t>
  </si>
  <si>
    <t>FADEL MUHAMMAD BAADILLA</t>
  </si>
  <si>
    <t>FADHILLA FEBRIANI KHOIRU IMROAH</t>
  </si>
  <si>
    <t>YULI GRACIA ROMA ITO SINAGA</t>
  </si>
  <si>
    <t>NURRAHMAH FADHLULJANNAH</t>
  </si>
  <si>
    <t>JOSUA THEOPANY NAPITUPULU</t>
  </si>
  <si>
    <t>AFIQ GHANI ARAFAT</t>
  </si>
  <si>
    <t>RIFAT ZAIN N</t>
  </si>
  <si>
    <t>GHAZY RIFARACHMAN HAMMAM</t>
  </si>
  <si>
    <t>SALMA NUR LAILA</t>
  </si>
  <si>
    <t>RAFELA PUTRI RHEINANTA</t>
  </si>
  <si>
    <t>ALYA NOVA PURNAMASARI</t>
  </si>
  <si>
    <t>PUTRI AYUNING SEKAR</t>
  </si>
  <si>
    <t>JASMINE NURHALIZA</t>
  </si>
  <si>
    <t>CALISTA IVANA WARDANI</t>
  </si>
  <si>
    <t>MUHAMMAD FENDI SETIAWAN</t>
  </si>
  <si>
    <t>S1 HUBUNGAN MASYARAKAT</t>
  </si>
  <si>
    <t>DENOCHA ANGGUNIA PUTRI</t>
  </si>
  <si>
    <t>REVI MA RUF ARIFAN</t>
  </si>
  <si>
    <t>IQBAL MAULANA</t>
  </si>
  <si>
    <t>Ilmu Komunikasi</t>
  </si>
  <si>
    <t>POPPY DWINTADIVA NINGTIAS</t>
  </si>
  <si>
    <t>ICHSAN MAULANA SYAFRI</t>
  </si>
  <si>
    <t>SILVIANA CITRA PERMATASARI</t>
  </si>
  <si>
    <t>FIKRIA ALIFATUL HIKMAH</t>
  </si>
  <si>
    <t>TRI WASPITO INDRIATMOKO</t>
  </si>
  <si>
    <t>DUHITA DIPTYARANI TSABITA</t>
  </si>
  <si>
    <t>SILVIA REVA ANINDYA</t>
  </si>
  <si>
    <t>MUHAMMAD ARIEF WICAKSONO</t>
  </si>
  <si>
    <t>WILDAN NUR OKTAVIANTA</t>
  </si>
  <si>
    <t>WIDYANINGRUM STYARAHARJA</t>
  </si>
  <si>
    <t>MUHAMAD ARDHIAN BAYU AJI</t>
  </si>
  <si>
    <t>Ammar Thorif</t>
  </si>
  <si>
    <t>HANNY WINNI MARSHENDA</t>
  </si>
  <si>
    <t>RIZKY MAULANA PUTRA PRATAMA</t>
  </si>
  <si>
    <t>YANDA TSAQIF TRIANTORO</t>
  </si>
  <si>
    <t>MANAJEMEN</t>
  </si>
  <si>
    <t>NISA AULIA RISDA SAPUTRI</t>
  </si>
  <si>
    <t>SEKAR INDRASWARI</t>
  </si>
  <si>
    <t>ZAI ULHAQ</t>
  </si>
  <si>
    <t>SAFIRA TRIA KAMILA</t>
  </si>
  <si>
    <t>FRANSISCA LISA DWI PUSPA RINI</t>
  </si>
  <si>
    <t>MUHAMMAD ARIQ AL-MAQDISI</t>
  </si>
  <si>
    <t>SENDA AYU BIDARI</t>
  </si>
  <si>
    <t>SUKMA PUTRI WIDYANINGRUM</t>
  </si>
  <si>
    <t>MUHAMMAD RAEHAN PARIKESIT</t>
  </si>
  <si>
    <t>MILA KRISTIANA</t>
  </si>
  <si>
    <t>ILMA ZULFIANA PUTRI</t>
  </si>
  <si>
    <t>PAKSI ANDESKA NARASOEMA</t>
  </si>
  <si>
    <t>AMARA SALSABILA</t>
  </si>
  <si>
    <t>AGNES AYU ZELLIKA</t>
  </si>
  <si>
    <t>REYHAN FAHREZA DANUNEGORO</t>
  </si>
  <si>
    <t>AHMAD NUR RIZKI</t>
  </si>
  <si>
    <t>ERNI CITRAWATI</t>
  </si>
  <si>
    <t>HAFIS NURYAN PUTRA</t>
  </si>
  <si>
    <t>LUXITA CANDRA KUSUMA</t>
  </si>
  <si>
    <t>19/05/2023</t>
  </si>
  <si>
    <t>SHALMA ALIFA ZALFAYA</t>
  </si>
  <si>
    <t>KARIMATUL LUTHFIANI</t>
  </si>
  <si>
    <t>DINDA AFFIFACH NUR</t>
  </si>
  <si>
    <t>S1 Ulmu Hubungan Internasional</t>
  </si>
  <si>
    <t>WAHYU KARTIKA</t>
  </si>
  <si>
    <t>18/05/2023</t>
  </si>
  <si>
    <t>NEFADA SHERLIANA KHALIFAH PUTRI</t>
  </si>
  <si>
    <t>NABILA TUZZAHRA</t>
  </si>
  <si>
    <t>KRISTIAN BAYU DWI PRIHANTORO</t>
  </si>
  <si>
    <t>S1 TEKNIK PERTAMBAANGAN</t>
  </si>
  <si>
    <t>DENNI RISNAWATI BR ANAK AMPUN</t>
  </si>
  <si>
    <t>DIVA KANIGARA</t>
  </si>
  <si>
    <t>TAUFIK KURNIAWAN</t>
  </si>
  <si>
    <t>GALIH WAHYU AJI HENDRA KURNIAWAN</t>
  </si>
  <si>
    <t>NUR HIDAYAT</t>
  </si>
  <si>
    <t>NIDA ZULFA  NAFI'AH</t>
  </si>
  <si>
    <t>MUHAMMAD FEBRIYAN BAGUS SAPUTRA</t>
  </si>
  <si>
    <t>KINTAN KAYLA HUSNA</t>
  </si>
  <si>
    <t>RAHMAD KRISTIARDI</t>
  </si>
  <si>
    <t>ANISA APRILIA</t>
  </si>
  <si>
    <t>M TAUFIQ RAHMAN SIAGIAN</t>
  </si>
  <si>
    <t>SETO NUGROHO</t>
  </si>
  <si>
    <t>ABYASA BHANUAJI</t>
  </si>
  <si>
    <t>DENNY KRISTIANTO MUKTI STEFANUS</t>
  </si>
  <si>
    <t>SALSABILA DWI MEYLASARI</t>
  </si>
  <si>
    <t>PANI RISKI MARSELIN</t>
  </si>
  <si>
    <t>ARBIANA PUTRI WULANDARI</t>
  </si>
  <si>
    <t>RAHMAWATI PRIHATININGTYAS</t>
  </si>
  <si>
    <t>REZA DWIKI FATHURRAHMAN</t>
  </si>
  <si>
    <t>SHANIA SEPTIKA INAYASARI</t>
  </si>
  <si>
    <t>M. KEMAL NAHROWI</t>
  </si>
  <si>
    <t>VANESSA ARNITA DARMAWAN</t>
  </si>
  <si>
    <t>DESTIYA NURUL IZZAH</t>
  </si>
  <si>
    <t>YORDAN PENTAKOSTA</t>
  </si>
  <si>
    <t>MUHAMMAD HILMY RAIHAN AZHARI</t>
  </si>
  <si>
    <t>APRILIA KARTININGSIH</t>
  </si>
  <si>
    <t>RAHMA SEKAR ARUM</t>
  </si>
  <si>
    <t>Elfaricha Suryani</t>
  </si>
  <si>
    <t>Afifah Nur Haksapia</t>
  </si>
  <si>
    <t>AULIA PUTRI INDAH KRISANTI</t>
  </si>
  <si>
    <t>S1 EKONOMI PEMBANGUNAN</t>
  </si>
  <si>
    <t>DANES RAHMA BUDHIARTA</t>
  </si>
  <si>
    <t>AKBAR PRABAWA MUKTI</t>
  </si>
  <si>
    <t>WAHYU HELMY PAMBUDI</t>
  </si>
  <si>
    <t>AFNI SILVI DWI NOVIANA</t>
  </si>
  <si>
    <t>ERVAN NUR ZAIN</t>
  </si>
  <si>
    <t>ARYASATYA RIZKY PRADANA</t>
  </si>
  <si>
    <t>WINASTI NUR AISAH</t>
  </si>
  <si>
    <t>DHEA PUTRI PRAMUDITA</t>
  </si>
  <si>
    <t>JESSLYN</t>
  </si>
  <si>
    <t>MUHAMMAD SIDIQ JATI PAMUNGKAS</t>
  </si>
  <si>
    <t>ERLITO FAHMI PRIBADI</t>
  </si>
  <si>
    <t>DEVI WAHYU NOVITA SARI</t>
  </si>
  <si>
    <t>I WAYAN WAHYU DARMAWAN</t>
  </si>
  <si>
    <t>FITRAH AULIA</t>
  </si>
  <si>
    <t>DEWI SOFIANA RATNAWATI</t>
  </si>
  <si>
    <t>NASYWA RIZQYA SALMA</t>
  </si>
  <si>
    <t>ZULFINA HASNI NABILA</t>
  </si>
  <si>
    <t>ALWID FULITO HAREFA</t>
  </si>
  <si>
    <t>MEDISA AYU NINA</t>
  </si>
  <si>
    <t>THEODORA ALMA SORAYA</t>
  </si>
  <si>
    <t>NEVILIA SALSABILA HARIS</t>
  </si>
  <si>
    <t>MUHAMAD RIZKI RASYIDIN</t>
  </si>
  <si>
    <t>Seftiana Dewi Nur Aini</t>
  </si>
  <si>
    <t>MUHAMMAD THOHA RACHMAWAN</t>
  </si>
  <si>
    <t>SATRIA SUCI NOVARISKA SIREGAR</t>
  </si>
  <si>
    <t>RADHITYA PUSPITAWATI</t>
  </si>
  <si>
    <t>AURA INDIASTUTI</t>
  </si>
  <si>
    <t>DEWI MADU CANDANI</t>
  </si>
  <si>
    <t>DIFA ABDULLAH</t>
  </si>
  <si>
    <t>ANNISA CHIKA ARIESTA</t>
  </si>
  <si>
    <t>SAFIRAH KHAIRINA PRADANI</t>
  </si>
  <si>
    <t>BIMO NARADHIPA NANDIWARDHANA WIDODO</t>
  </si>
  <si>
    <t>MARCEL JORDY MAWARDI GOUSANA</t>
  </si>
  <si>
    <t>GHOZI ABDURROHMAN AL FAATIH</t>
  </si>
  <si>
    <t>MELLYANDA RISKA RAMDHANI</t>
  </si>
  <si>
    <t>ERISA AMALIA KUSUMA PUTRI</t>
  </si>
  <si>
    <t>ROBI DARULHUDA</t>
  </si>
  <si>
    <t>NADZIFA CANDRA CHOIRUNNISA</t>
  </si>
  <si>
    <t>AURELLIO YUDIPRASETYO</t>
  </si>
  <si>
    <t>FARRAS ALAM MAJID</t>
  </si>
  <si>
    <t>MARTHIAS PANGGIH PROBO SURYONO</t>
  </si>
  <si>
    <t>AJENG ADELISTA NOFRIJAR PAWESTRI</t>
  </si>
  <si>
    <t>17/05/2023</t>
  </si>
  <si>
    <t>TIO AFIF FADHLUROHMAN</t>
  </si>
  <si>
    <t>CARISSA EVELYN PRAMESTI</t>
  </si>
  <si>
    <t>LALA ANASTASIA</t>
  </si>
  <si>
    <t>MUHAMMAD DES AMRI</t>
  </si>
  <si>
    <t>BAYU PRASETYO WIBOWO</t>
  </si>
  <si>
    <t>AJI SURYA WIJAYA</t>
  </si>
  <si>
    <t>Manajemen</t>
  </si>
  <si>
    <t>NUZULLA FARHAN FIRMANSAH</t>
  </si>
  <si>
    <t>SITI MAYSARAH SITORUS</t>
  </si>
  <si>
    <t>Bagas Mahatvavirya Nagara Bhakti</t>
  </si>
  <si>
    <t>PUTRI AGHNI AMALIA</t>
  </si>
  <si>
    <t>BERLIANA SRI ULTARI HUTABARAT</t>
  </si>
  <si>
    <t>BERLIANA RIDA REDIVIA</t>
  </si>
  <si>
    <t>S1 TEKNIK KIMIA</t>
  </si>
  <si>
    <t>HUSNA NOVEMBIYANI</t>
  </si>
  <si>
    <t>DIAH TRI UTAMI</t>
  </si>
  <si>
    <t>ULMI KELSUM</t>
  </si>
  <si>
    <t>NIKEN INDRIA RINI</t>
  </si>
  <si>
    <t>RTUPRADNYA DESYNTA PARAMITHA</t>
  </si>
  <si>
    <t>WAYAN ANTI VINA FEBRIOLA</t>
  </si>
  <si>
    <t>UQVI SETYA DININGGANTARI</t>
  </si>
  <si>
    <t>HEMAS ALIFIAH DAFFITRI</t>
  </si>
  <si>
    <t>NAZHIFA PUTRI SAYYIDINA</t>
  </si>
  <si>
    <t>ARDHANU SABILA ALHAQ</t>
  </si>
  <si>
    <t>GITA ROSMADINA ELHASYIM</t>
  </si>
  <si>
    <t>HANANTOMO</t>
  </si>
  <si>
    <t>Hilda Lorenza Pasaribu</t>
  </si>
  <si>
    <t>FADLILLA DIAZ PANGESTU</t>
  </si>
  <si>
    <t>FARHAN SAIDI</t>
  </si>
  <si>
    <t>MUHAMMAD RANGGA MAULANA</t>
  </si>
  <si>
    <t>REYNALDI ARIEF SETIYAWAN</t>
  </si>
  <si>
    <t>SHOFIANA KHOLIFATUL FATHONAH AULIA</t>
  </si>
  <si>
    <t>NAURA ADELIA ARTIKA</t>
  </si>
  <si>
    <t>TRIE DHARMAWAN PUTRA MARALI</t>
  </si>
  <si>
    <t>SEPTIANA NOVITASARI</t>
  </si>
  <si>
    <t>CHANDRA FRASISKA NUR</t>
  </si>
  <si>
    <t>Fakultas Ilmu Sosial Dan Ilmu Politik</t>
  </si>
  <si>
    <t>DIEKEL DILLSYAD AL FATIH</t>
  </si>
  <si>
    <t>ANGGARA AULIA HIMOKTA</t>
  </si>
  <si>
    <t>ADITYA SEPTIAN NUGRAHA</t>
  </si>
  <si>
    <t>SERGI HAYUMUKTI</t>
  </si>
  <si>
    <t>Teknik Industri</t>
  </si>
  <si>
    <t>BRILLIANT AGATHA SURYA ZAHRA</t>
  </si>
  <si>
    <t>YULICO ARDITYA YUDHA PRATAMA</t>
  </si>
  <si>
    <t>LISA FIRDAUS SITI NURJANAH</t>
  </si>
  <si>
    <t>S1 llmu Komunikasi</t>
  </si>
  <si>
    <t>FAJAR SANDI ANGGARA</t>
  </si>
  <si>
    <t>ULYATUS SA%5C%27ADAH AL HABIBAH</t>
  </si>
  <si>
    <t>FADILA RIMA JATININGTYAS</t>
  </si>
  <si>
    <t>CICILLIA LOLA WAHYU SETYANINGRUM</t>
  </si>
  <si>
    <t>AGUS SUPRAPTO</t>
  </si>
  <si>
    <t>MEY MAHARANI PRISTYAWIBI</t>
  </si>
  <si>
    <t>NAUFAL NIDA SABILA RIDWANIA</t>
  </si>
  <si>
    <t>NAUFAL SHIDQI RIZQULLAH</t>
  </si>
  <si>
    <t>ANGGUN HANIFAH PUTRI</t>
  </si>
  <si>
    <t>ARAS WISNU ADILLAH</t>
  </si>
  <si>
    <t>DWI LESTARI</t>
  </si>
  <si>
    <t>MUHAMMAD MIRZA AL FARROSY</t>
  </si>
  <si>
    <t>MARSEL MAHENDRA HAMANDIKA</t>
  </si>
  <si>
    <t>Mussyaffa Fathony</t>
  </si>
  <si>
    <t>ADE SATRIA</t>
  </si>
  <si>
    <t>YOHANNA ABIGAEL BR SIHITE</t>
  </si>
  <si>
    <t>ALMIRA MELITA PERMATA RAMADHAN</t>
  </si>
  <si>
    <t>DHITO ROFIADHI ILHAMSYAH HARIYANTO</t>
  </si>
  <si>
    <t>SHIYATI SHAFILINA</t>
  </si>
  <si>
    <t>MUHAMMAD FILLAH MAFTUHUL KHOIR ARIFIN</t>
  </si>
  <si>
    <t>MEGA AULIA</t>
  </si>
  <si>
    <t>TIARA ARISTA MAHARANI</t>
  </si>
  <si>
    <t>EKA APRI SETYAWAN</t>
  </si>
  <si>
    <t>LAILI WIDYASTUTI</t>
  </si>
  <si>
    <t>RIFALDY RIZKY ALBHARNUR</t>
  </si>
  <si>
    <t>S1 Teknk Kimiai</t>
  </si>
  <si>
    <t>JUANA HIZKIA HASIBUAN</t>
  </si>
  <si>
    <t>TRY PRIBADI KURNIAWAN</t>
  </si>
  <si>
    <t>ADITYA LUTFI NUGROHO</t>
  </si>
  <si>
    <t>ANGGI DWI GUSTIAN</t>
  </si>
  <si>
    <t>MELDYANI AISYAH RAMADHANI IRJHI</t>
  </si>
  <si>
    <t>RANDY RIZKY KURNIAWAN</t>
  </si>
  <si>
    <t>16/05/2023</t>
  </si>
  <si>
    <t>LAMRO TARUNA WILLMAN</t>
  </si>
  <si>
    <t>TASYA AFIFAH</t>
  </si>
  <si>
    <t>UMMY KALSUM</t>
  </si>
  <si>
    <t>HUBUNGAN MASYARAKAT</t>
  </si>
  <si>
    <t>ELYSAMA TAMBA</t>
  </si>
  <si>
    <t>Ilmu Tanah</t>
  </si>
  <si>
    <t>AGUNG KURNIAWAN</t>
  </si>
  <si>
    <t>MUHAMMAD ALFARIJI PURNOMO</t>
  </si>
  <si>
    <t>ZANILLA HUZAIFAH</t>
  </si>
  <si>
    <t>HALENA LEA ARDI</t>
  </si>
  <si>
    <t>EGI RAHMAT WICAKSONO</t>
  </si>
  <si>
    <t>DWI PRASETYANI</t>
  </si>
  <si>
    <t>ARIB BRIAN PRAYOGI</t>
  </si>
  <si>
    <t>EMILLUL FATA HABIBULLAH</t>
  </si>
  <si>
    <t>SITI AQILLA SAYYIDHA WINATA PRAJA</t>
  </si>
  <si>
    <t>MEYDI KARTINI SIMANJUNTAK</t>
  </si>
  <si>
    <t>Indri Dwi Lestari Olandri Simbolon</t>
  </si>
  <si>
    <t>CHELSEA DIMARE STENI</t>
  </si>
  <si>
    <t>KESYA ANGELINA ROSMAWATI</t>
  </si>
  <si>
    <t>Aisyah Izdihar Elora Putri</t>
  </si>
  <si>
    <t>ZILHAM REJASANJAYA</t>
  </si>
  <si>
    <t>HANING ADITYASARI</t>
  </si>
  <si>
    <t>AGA NOVAN PRATAMA</t>
  </si>
  <si>
    <t>AKHMAL DIMAS PRATAMA</t>
  </si>
  <si>
    <t>RICO AMINANDA</t>
  </si>
  <si>
    <t>NANDA AYU DIA ELISA</t>
  </si>
  <si>
    <t>NOVIADI WICAKSONO</t>
  </si>
  <si>
    <t>ATHALLA AFIF NAYAKA INDRA</t>
  </si>
  <si>
    <t>HANDIRA AINUR RASYID</t>
  </si>
  <si>
    <t>BAGAS APRILLIANO</t>
  </si>
  <si>
    <t>S1 teknik pertambanhan</t>
  </si>
  <si>
    <t>FASRANI BR PANDIANGAN</t>
  </si>
  <si>
    <t>MUTIA YULISA AMANDA</t>
  </si>
  <si>
    <t>ILHAM ARIESTA FADHLILLAH</t>
  </si>
  <si>
    <t>S1 TEKNIK GEOFISIKA</t>
  </si>
  <si>
    <t>DEWI NUR ANDINI WIJOYONO</t>
  </si>
  <si>
    <t>TRENALDI AWALUDIN IKSAN</t>
  </si>
  <si>
    <t>BAGUS WISANGGENI MEGANANDA</t>
  </si>
  <si>
    <t>MOHAMMAD FARIZ FERNANDA</t>
  </si>
  <si>
    <t>RIBKA DIMITRI</t>
  </si>
  <si>
    <t>UMMI AUFAA AZMI AULIA</t>
  </si>
  <si>
    <t>RADEN MAS TEJA ISWARA ROZAN AMMAR</t>
  </si>
  <si>
    <t>CHERIL BRIGITA BIMBIN</t>
  </si>
  <si>
    <t>NATHANNAEL SURYA PUTRA LESMONO</t>
  </si>
  <si>
    <t>SAHIRA SHAFIYYA ULINUHA</t>
  </si>
  <si>
    <t>ALIFAH RAHMANINGTYAS</t>
  </si>
  <si>
    <t>DAFFA BECKHAM PRATAMA</t>
  </si>
  <si>
    <t>RACHMAWATI SULASTINI DIAS</t>
  </si>
  <si>
    <t>PASCHASIA TYAS SWANDARIPUTRI</t>
  </si>
  <si>
    <t>FIRA YOSIKA LOLA PRATIWI</t>
  </si>
  <si>
    <t>ACHMAD FARHAN AR-ROSYID</t>
  </si>
  <si>
    <t>Kadek Anggita Pratiwi</t>
  </si>
  <si>
    <t>RENDY JULIANTO</t>
  </si>
  <si>
    <t>MEILINA FARADIBA SITEPU</t>
  </si>
  <si>
    <t>MAURINT ROSITA DEWI</t>
  </si>
  <si>
    <t>NETHANIA GEBRIELLA</t>
  </si>
  <si>
    <t>LAURENSIA SONIA NUGROHO</t>
  </si>
  <si>
    <t>Aurelia Aiko Adinda</t>
  </si>
  <si>
    <t>KHAIRINA ZAHRA PUTRI</t>
  </si>
  <si>
    <t>NABILA FERNANDA FASYA</t>
  </si>
  <si>
    <t>CARMELA PANDIANGAN</t>
  </si>
  <si>
    <t>AISYAH DAYU EKA KUSUMANINGRUM</t>
  </si>
  <si>
    <t>RIZAL MUHAMAD ANDIKA</t>
  </si>
  <si>
    <t>VIRGINIA GRACE THESIA YOANITA LAESARY</t>
  </si>
  <si>
    <t>Aprilia Swastika</t>
  </si>
  <si>
    <t>ILHAM ANANDA SETYAWAN</t>
  </si>
  <si>
    <t>AUDRY EVA MEYLINDA</t>
  </si>
  <si>
    <t>IRZA TRIAMANDA</t>
  </si>
  <si>
    <t>ANISA</t>
  </si>
  <si>
    <t>AFFAREL FIRDAUSY AKBAR</t>
  </si>
  <si>
    <t>RURIT USDIANTININGSIH</t>
  </si>
  <si>
    <t>15/05/2023</t>
  </si>
  <si>
    <t>ANTON RUMANDI</t>
  </si>
  <si>
    <t>MUHAMMAD AFIF BAYHAQI</t>
  </si>
  <si>
    <t>INIGO YUBEL PULUNG WARDAYA</t>
  </si>
  <si>
    <t>BERLIANA INDAH NI MAH ILLAHI</t>
  </si>
  <si>
    <t>NISWATUL MUTHMA INNAH</t>
  </si>
  <si>
    <t>MUHAMMAD AGUNG IZZULHAQ</t>
  </si>
  <si>
    <t>LULU KHUSNIYAH</t>
  </si>
  <si>
    <t>S1 Ilmu Administraasi Bisnis</t>
  </si>
  <si>
    <t>ANISA FEBRIANI</t>
  </si>
  <si>
    <t>MAHESWARI KUSUMA BAWANI</t>
  </si>
  <si>
    <t>ESTI UTAMI LOKA</t>
  </si>
  <si>
    <t>MUHAMMAD FATHUR RACHMAN RIZKY</t>
  </si>
  <si>
    <t>GAYUH LAKSONO WIGUNA</t>
  </si>
  <si>
    <t>SHEIKHA HEFFIANA NAQLI</t>
  </si>
  <si>
    <t>AZIZ FATIH FAUZI</t>
  </si>
  <si>
    <t>VIVI DIAH RESPATIE</t>
  </si>
  <si>
    <t>MUHAMMAD MIRZA IRAWAN MUNTHE</t>
  </si>
  <si>
    <t>MIKHA MAMORU</t>
  </si>
  <si>
    <t>FEVI MIRAWATI</t>
  </si>
  <si>
    <t>ATHA ARNINDHITA FEBRIANI</t>
  </si>
  <si>
    <t>DIVA IMARA ALKHANSA</t>
  </si>
  <si>
    <t>ANITA DWI PERMATASANI</t>
  </si>
  <si>
    <t>GITA TRISTA</t>
  </si>
  <si>
    <t>ANNISA AMANDA PUTRI HANDOKO</t>
  </si>
  <si>
    <t>BATIA KHOIRU ADDIEN</t>
  </si>
  <si>
    <t>JESICA NINDITA WIRAWAN</t>
  </si>
  <si>
    <t>HAZIMATUL AISYAH</t>
  </si>
  <si>
    <t>S1 ILMU KOMUNIKASI</t>
  </si>
  <si>
    <t>INGE MAHARANI</t>
  </si>
  <si>
    <t>DZAKI GHUFRON FAUZAN</t>
  </si>
  <si>
    <t>AQILA FADIYA HAYAH</t>
  </si>
  <si>
    <t>DAVID CHELSIE GINTING</t>
  </si>
  <si>
    <t>S1 ilmu Komunikasi</t>
  </si>
  <si>
    <t>AGUSTINUS NOVAL ANANTA SUTARSO</t>
  </si>
  <si>
    <t>MUHAMMAD ASYRIL FACHREZI</t>
  </si>
  <si>
    <t>THERESA ANINDHA PRABASWARA</t>
  </si>
  <si>
    <t>VIDYADARI ANJELITA</t>
  </si>
  <si>
    <t>MUHAMMAD IRFAN FAKHREZA</t>
  </si>
  <si>
    <t>OKTAVIANA URMILA CAHYA</t>
  </si>
  <si>
    <t>ROSIANTI ZARIN ARTANTYO</t>
  </si>
  <si>
    <t>FARREL ADI SATWIKA</t>
  </si>
  <si>
    <t>ENIKE WIDYA NURRAHMA</t>
  </si>
  <si>
    <t>NIKEN PUTRI SANTOSA</t>
  </si>
  <si>
    <t>S1 TEKNIK INDUSTRI</t>
  </si>
  <si>
    <t>Muhammad Bahtiar Ridho</t>
  </si>
  <si>
    <t>Medhiana Maulidya Aisyah</t>
  </si>
  <si>
    <t>DIO FAUZAN SHARPTRIA</t>
  </si>
  <si>
    <t>Sehanti Sekar Kinasih</t>
  </si>
  <si>
    <t>LIONI RATNA SARI</t>
  </si>
  <si>
    <t>VINCENTIUS WILLY ARDIYANTO</t>
  </si>
  <si>
    <t>s1 Informatika</t>
  </si>
  <si>
    <t>FARHAN RAMADHAN ARYAPUTRA</t>
  </si>
  <si>
    <t>FAVIAN ERSANTA ANDHIKA PUTRA</t>
  </si>
  <si>
    <t>AURORA MADANIA KHUSNUL</t>
  </si>
  <si>
    <t>Muhammad Zakiyyul Kauni Al Alifi</t>
  </si>
  <si>
    <t>SUCIANA NABILA NUR AINI</t>
  </si>
  <si>
    <t>FINA SYAIHANA RABANIA JAUHARI</t>
  </si>
  <si>
    <t>PUTU BAYU ALAM KRESNAWAN</t>
  </si>
  <si>
    <t>ALVONZO VLIMOTE</t>
  </si>
  <si>
    <t>S1 Teknik Pertambangan, S1</t>
  </si>
  <si>
    <t>ZAHRA SABILLA</t>
  </si>
  <si>
    <t>RYAN SURYA DHARMA TARIGAN</t>
  </si>
  <si>
    <t>Faridah Arih Nur Aisyah</t>
  </si>
  <si>
    <t>AHMAD ALDI RISTONY</t>
  </si>
  <si>
    <t>FATTAH DIASTYA WIRANGGA</t>
  </si>
  <si>
    <t>RIZKY FEBRIANA</t>
  </si>
  <si>
    <t>ALDO HEVANDIKA KURNIAWAN</t>
  </si>
  <si>
    <t>MUHAMMAD IHSANUDDIN</t>
  </si>
  <si>
    <t>DELLA ANUGRAH AYU PRAMESTI</t>
  </si>
  <si>
    <t>MASHARI SAPUTRA</t>
  </si>
  <si>
    <t>FARHAN HILMY MUHAMMAD</t>
  </si>
  <si>
    <t>CHLARA VERONIE INDRA ARIEADIE</t>
  </si>
  <si>
    <t>ANGELITA TYAS WAHYUNINGRUM</t>
  </si>
  <si>
    <t>MOCHAMAD IQBAL FEBRIANSYAH</t>
  </si>
  <si>
    <t>GABRIELA FIDESTA LUMINACIA SILABAN</t>
  </si>
  <si>
    <t>SYARIF KHOIRUL AL FIAN</t>
  </si>
  <si>
    <t>FIRMANTI WIKAN NDARU KUNTI ASIH</t>
  </si>
  <si>
    <t>NIDIA AYU FITRIANA</t>
  </si>
  <si>
    <t>ACHMAD DEKRIAWAN GATA SURYA</t>
  </si>
  <si>
    <t>MELLANIA INDAH PUSPADEWI</t>
  </si>
  <si>
    <t>CELVIN TETIANDRA SUROSO</t>
  </si>
  <si>
    <t>ARIF MUHAMMAD YUDAPUTRA</t>
  </si>
  <si>
    <t>ARSPARINGGA VANDYAH AYU PRABANINGRAT</t>
  </si>
  <si>
    <t>23/09/2022</t>
  </si>
  <si>
    <t>Beasiswa WIMAYA</t>
  </si>
  <si>
    <t>RIZKI AGUNG YULIANTO</t>
  </si>
  <si>
    <t>21/09/2022</t>
  </si>
  <si>
    <t>BIMA PRADIPTA YOGATAMA</t>
  </si>
  <si>
    <t>MUSTAQIM HUDA</t>
  </si>
  <si>
    <t>UMI MUKAROMAH</t>
  </si>
  <si>
    <t>NAILA NUR SINTANI</t>
  </si>
  <si>
    <t>MUHAMMAD HISYAM</t>
  </si>
  <si>
    <t>CICILIA TRI MARANTIKA DEWI</t>
  </si>
  <si>
    <t>RACHEL SISCA RETNO AYUNINGRATRI</t>
  </si>
  <si>
    <t>MUHAMMAD TAUFIQ BUDIMAN</t>
  </si>
  <si>
    <t>VERONIKA ESTIKA MAWARNI</t>
  </si>
  <si>
    <t>ZAHRA HABIBA</t>
  </si>
  <si>
    <t>Teknik Kimia</t>
  </si>
  <si>
    <t>Citra Nanda Agung Subekti</t>
  </si>
  <si>
    <t>MUHAMMAD NAUFAL FATHONY WAHYUJATI</t>
  </si>
  <si>
    <t>ADITYA FERDIANSYAH</t>
  </si>
  <si>
    <t>SILVY RETNO SARI</t>
  </si>
  <si>
    <t>SI Teknik Industri, S1</t>
  </si>
  <si>
    <t>EKKY AYU NIASARI</t>
  </si>
  <si>
    <t>Jewel Kartika Putri Setiawan</t>
  </si>
  <si>
    <t>MUHAMMAD ARIQ WIBOWO</t>
  </si>
  <si>
    <t>SYLVIA CATUR CAHYANTI</t>
  </si>
  <si>
    <t>MIFTA NUR AZIZAH</t>
  </si>
  <si>
    <t>s1 Teknik Pertambangan</t>
  </si>
  <si>
    <t>ANNA SARI</t>
  </si>
  <si>
    <t>YAHYA WIJAYA PANE</t>
  </si>
  <si>
    <t>I KOMANG YUDI DIDIK WIRADIKA</t>
  </si>
  <si>
    <t>DINDA FIRLY FITRIANI</t>
  </si>
  <si>
    <t>20/09/2022</t>
  </si>
  <si>
    <t>FAIDIN JOKO NUR ROCHMAN</t>
  </si>
  <si>
    <t>OLVIONA REDITA</t>
  </si>
  <si>
    <t>SHAFA SATRIYA PANDEGA</t>
  </si>
  <si>
    <t>SASI AGUSTIN</t>
  </si>
  <si>
    <t>RIZQULLAH RISANG PERMADI</t>
  </si>
  <si>
    <t>Nu ma Affanin Diya Ulhaq</t>
  </si>
  <si>
    <t>JANU BAYU PRASETIYO</t>
  </si>
  <si>
    <t>LATRI RASTHA DHANASTRI</t>
  </si>
  <si>
    <t>SHAKIRA RATU CHANTIKA</t>
  </si>
  <si>
    <t>FAJAR ARROFI</t>
  </si>
  <si>
    <t>FEBRIAN ALKINDY PUTRA</t>
  </si>
  <si>
    <t>YUASTIEN RUSYIDA CANDRASARI</t>
  </si>
  <si>
    <t>FEBRIAN RASENDRIYA SANENDA</t>
  </si>
  <si>
    <t>Borromeus Tegar Wahyu Sejati</t>
  </si>
  <si>
    <t>CHAIRUNISA VANIA RIZKY</t>
  </si>
  <si>
    <t>YELSI SASMITA FARA</t>
  </si>
  <si>
    <t>FREDERICO ESPINOZA RANGAN</t>
  </si>
  <si>
    <t>VERRELL ADRIANO DANUARTA</t>
  </si>
  <si>
    <t>MUHAMMAD ALFARIZI</t>
  </si>
  <si>
    <t>SI Teknik Industri</t>
  </si>
  <si>
    <t>FISIP/Humas</t>
  </si>
  <si>
    <t>TEKNIK PERTAMBANGAN</t>
  </si>
  <si>
    <t>IRWAN RIFANI</t>
  </si>
  <si>
    <t>RISKA AGUSTIN</t>
  </si>
  <si>
    <t>AURELIA STEFANNIE RACHELITA</t>
  </si>
  <si>
    <t>EKONOMI PEMBANGUNAN</t>
  </si>
  <si>
    <t>FARHANA AL MUTASIMAH</t>
  </si>
  <si>
    <t>BAYU WICAKSONO</t>
  </si>
  <si>
    <t>LISTIYA INSI MARHABI</t>
  </si>
  <si>
    <t>Fikri Nur Fajri</t>
  </si>
  <si>
    <t>MUHAMMAD ILHAM SULISTYAWAN</t>
  </si>
  <si>
    <t>NUFAIZA NARADIKA SALMA</t>
  </si>
  <si>
    <t>SISKA ARIYANTI</t>
  </si>
  <si>
    <t>NURUL HIDAYAH</t>
  </si>
  <si>
    <t>SHINTA SHULUCHIYAH</t>
  </si>
  <si>
    <t>ALIFIA SURYA DAMAYANTI</t>
  </si>
  <si>
    <t>RIVANKA DESYA FAWWAZ ASSYIRAAJ</t>
  </si>
  <si>
    <t>FAJRI ANGGORO PUTRA TAULADAN</t>
  </si>
  <si>
    <t>SHERINA TIARA DEWI</t>
  </si>
  <si>
    <t>JIHAN IVANA PUTRI</t>
  </si>
  <si>
    <t>Ilmu Hubungan Internasional</t>
  </si>
  <si>
    <t>NAVA AULIA DAMAYANTI</t>
  </si>
  <si>
    <t>19/09/2022</t>
  </si>
  <si>
    <t>RIYANDIKA RIZKI NUGROHO</t>
  </si>
  <si>
    <t>NABILA TASYA AYU SABRINA</t>
  </si>
  <si>
    <t>VICKY SUKMA PUTRA ISTADI</t>
  </si>
  <si>
    <t>ADYAKSA BAGAS BIMANTORO</t>
  </si>
  <si>
    <t>TEKNIK METALURGI</t>
  </si>
  <si>
    <t>NICOLAS</t>
  </si>
  <si>
    <t>CELINE TRACYANA</t>
  </si>
  <si>
    <t>HERDIAN MAULANA SAFRIAN</t>
  </si>
  <si>
    <t>FANI PERDANA PUTRI</t>
  </si>
  <si>
    <t>R. ISMAIL FAHMI ZEN</t>
  </si>
  <si>
    <t>Syarifah Aini Dahlan</t>
  </si>
  <si>
    <t>JULEHA</t>
  </si>
  <si>
    <t>HERLINA WIDI ASTUTI</t>
  </si>
  <si>
    <t>APRILIA KURNIAWATI</t>
  </si>
  <si>
    <t>OLIVIA EUNIKE ROMAULI</t>
  </si>
  <si>
    <t>NOVITA DEA ASMARAWATI</t>
  </si>
  <si>
    <t>WILLIAM ARTHUR SIMBOLON</t>
  </si>
  <si>
    <t>S1 ilmu komunikasi</t>
  </si>
  <si>
    <t>DINDA NUR SYAFA PUTRI</t>
  </si>
  <si>
    <t>RIZKI EDI NUGROHO</t>
  </si>
  <si>
    <t>RICO FADHLAN ADITYA</t>
  </si>
  <si>
    <t>ELANG DANU PRAMUDYA</t>
  </si>
  <si>
    <t>BERGAS KHAIRUL ZAMAN</t>
  </si>
  <si>
    <t>BIMA SAKTI NUGRAHA WIDYANDARU</t>
  </si>
  <si>
    <t>GHALBIAN RAYHANDA AZQUILA</t>
  </si>
  <si>
    <t>S1 Teknik Teknik Kimia</t>
  </si>
  <si>
    <t>RIFKY RAMADHANI AVIANTO</t>
  </si>
  <si>
    <t>FATKHUR RIZAL MAHFUD</t>
  </si>
  <si>
    <t>NILLA ASIH PRATIWI</t>
  </si>
  <si>
    <t>SHAFFIRA AYUNING BYZHURA</t>
  </si>
  <si>
    <t>S1 MANAJEMEN</t>
  </si>
  <si>
    <t>FADEL RADITYA LATIEF</t>
  </si>
  <si>
    <t>Matias Lintang Rajendra Prabaswara</t>
  </si>
  <si>
    <t>MUHAMMAD LUTHFI AIDILHAQ</t>
  </si>
  <si>
    <t>FARRA DIVA PRILLASASTI</t>
  </si>
  <si>
    <t>GIVENTHEO KHEMIDES</t>
  </si>
  <si>
    <t>RENALDI YUDO PRAKOSO</t>
  </si>
  <si>
    <t>AHMAD EMIR NEXTAYANI SY</t>
  </si>
  <si>
    <t>KAYLA AISYAH</t>
  </si>
  <si>
    <t>MUHAMAD IBNU ALDIRA RAZAK</t>
  </si>
  <si>
    <t>Ananda Airidasasi</t>
  </si>
  <si>
    <t>MONANG APRINDA PUTRA</t>
  </si>
  <si>
    <t>JOSELINE PIENNY JUMADI</t>
  </si>
  <si>
    <t>GREGORIUS OKTAVIANO PURNAMA DEWA</t>
  </si>
  <si>
    <t>FARRELL BRAMASTRA PUTRA</t>
  </si>
  <si>
    <t>DILLA RAHMADHONA SAFIRA</t>
  </si>
  <si>
    <t>DHANIE PANGESTU</t>
  </si>
  <si>
    <t>MIRA PERMATA SARI</t>
  </si>
  <si>
    <t>ANDREAS SEPEN AGUNG BUTAR BUTAR</t>
  </si>
  <si>
    <t>17/09/2022</t>
  </si>
  <si>
    <t>FIRDA RAMADANTI</t>
  </si>
  <si>
    <t>INAYATUL MUNA</t>
  </si>
  <si>
    <t>Steven Adi Roedijono</t>
  </si>
  <si>
    <t>ADHIESTI RIZKY CAHYA PUTRI</t>
  </si>
  <si>
    <t>MONIKA PUTRI PARAMITA NUGRAHA</t>
  </si>
  <si>
    <t>SABRINA AYU ANIS RISTIYANA</t>
  </si>
  <si>
    <t>Hubungan Masyarakat</t>
  </si>
  <si>
    <t>HANUM DYAH WULANDARI</t>
  </si>
  <si>
    <t>FAISA SAKTA AMRULLAH</t>
  </si>
  <si>
    <t>AMANDA PUTRI NUGRAHAINI</t>
  </si>
  <si>
    <t>YESSY BULAN OCTAVIANA</t>
  </si>
  <si>
    <t>IRFAN ARIF WICAKSONO</t>
  </si>
  <si>
    <t>S1 Agoteknologi</t>
  </si>
  <si>
    <t>TALITHA DHEA RAMADHANY</t>
  </si>
  <si>
    <t>ANANDA LINTANG PUTRI RAMADHANI</t>
  </si>
  <si>
    <t>YUDHA RIZKI WARDANA</t>
  </si>
  <si>
    <t>RAYGISCA HAFIZ SYAH ANDIN</t>
  </si>
  <si>
    <t>SALSABILA DIVA SAFARI</t>
  </si>
  <si>
    <t>TEKNIK INDUSTRI</t>
  </si>
  <si>
    <t>KRISTUAJI ANDRE WIRAWAN</t>
  </si>
  <si>
    <t>ACHMADIENA ISWARI ANDINI RAHARDJO</t>
  </si>
  <si>
    <t>Ilmu tanah</t>
  </si>
  <si>
    <t>16/09/2022</t>
  </si>
  <si>
    <t>MUHAMMAD FAIZ ESTANTO</t>
  </si>
  <si>
    <t>ACHMAD FADHIL MAHESA</t>
  </si>
  <si>
    <t>FAUZAN NUR CHOLIS</t>
  </si>
  <si>
    <t>LU'LU' HALIMATUL CHASANAH</t>
  </si>
  <si>
    <t>ARFAN DANANG SYAHRIZY</t>
  </si>
  <si>
    <t>ADINDA PASHYA WIJAYANTHI</t>
  </si>
  <si>
    <t>AKSHAL ATTARIQ</t>
  </si>
  <si>
    <t>KARINA YUNIKA</t>
  </si>
  <si>
    <t>SATRIO ABDUSYAKUR GUNAWAN</t>
  </si>
  <si>
    <t>NITA APRILIA</t>
  </si>
  <si>
    <t>MOHAMMAD AZIS ARFANDI</t>
  </si>
  <si>
    <t>FEBYNA AGITHA BR GINTING</t>
  </si>
  <si>
    <t>S1 Ilmu Tanag</t>
  </si>
  <si>
    <t>SHINTA DWI RUQMANA</t>
  </si>
  <si>
    <t>ADELIA SALSABILA</t>
  </si>
  <si>
    <t>DYMAS ALBERT NASRULAH ARIFAINI</t>
  </si>
  <si>
    <t>FIDYA RULIEF NUR PRIHANTARI</t>
  </si>
  <si>
    <t>S1 TEKNIK GEOLOGI</t>
  </si>
  <si>
    <t>ALFITO FAJAR RAMADHAN</t>
  </si>
  <si>
    <t>Tresna Nugraheni</t>
  </si>
  <si>
    <t>SEKAR DEWI ARYANI</t>
  </si>
  <si>
    <t>S1 Teknik Geologi, S1</t>
  </si>
  <si>
    <t>KHAFIDH PRADANA LUTFIA</t>
  </si>
  <si>
    <t>15/09/2022</t>
  </si>
  <si>
    <t>WAFA' SHOLIHATUN NISA'</t>
  </si>
  <si>
    <t>MAHENDRA IVAN FAHREZI</t>
  </si>
  <si>
    <t>APRILIA ARUM FIRDAUSA</t>
  </si>
  <si>
    <t>D3 TEKNIK KIMIA</t>
  </si>
  <si>
    <t>GILANG TRI HARTONO</t>
  </si>
  <si>
    <t>MURTANTI</t>
  </si>
  <si>
    <t>ANMITA INTAN FATIMAH</t>
  </si>
  <si>
    <t>Hubungan Internasional</t>
  </si>
  <si>
    <t>VIA SETYA NINGRUM</t>
  </si>
  <si>
    <t>AFI RAHMAWATI</t>
  </si>
  <si>
    <t>TAFIS ALI AJDAR</t>
  </si>
  <si>
    <t>BUNTARAN EKA CHANDRA</t>
  </si>
  <si>
    <t>ILMU TANAH</t>
  </si>
  <si>
    <t>RIZKA NUR AISIYAH</t>
  </si>
  <si>
    <t>RADYA ADI ANGGARA</t>
  </si>
  <si>
    <t>AMELIA PUTRI CHRISTANTI</t>
  </si>
  <si>
    <t>DEVI AULIA OKTAVIONA</t>
  </si>
  <si>
    <t>BAIQ YOLA WAHYU FEBRYANTY</t>
  </si>
  <si>
    <t>NAUFAL NUR FAUZAN</t>
  </si>
  <si>
    <t>Ricky Ahmad Musthofa</t>
  </si>
  <si>
    <t>14/09/2022</t>
  </si>
  <si>
    <t>AFRIDHA RAHMA SARI</t>
  </si>
  <si>
    <t>TAUFIK FUAD DERMAWAN</t>
  </si>
  <si>
    <t>FEBBY TRI UTARI</t>
  </si>
  <si>
    <t>S1 INFORMATIKA</t>
  </si>
  <si>
    <t>13/09/2022</t>
  </si>
  <si>
    <t>ANNASTA FEBRYANTI</t>
  </si>
  <si>
    <t>EKA BAGUS GUNANDITO</t>
  </si>
  <si>
    <t>YOHANA JENNIE GAVRILA</t>
  </si>
  <si>
    <t>FINI KURNIA NINGRUM</t>
  </si>
  <si>
    <t>12/09/2022</t>
  </si>
  <si>
    <t>08/04/2022</t>
  </si>
  <si>
    <t>Tes 2 Beasiswa</t>
  </si>
  <si>
    <t>GADIS AYUN CAHYA</t>
  </si>
  <si>
    <t>S1 akuntansi</t>
  </si>
  <si>
    <t>07/04/2022</t>
  </si>
  <si>
    <t>Tes Beasiswa 2022</t>
  </si>
  <si>
    <t>Fajar Kurnia Putra</t>
  </si>
  <si>
    <t>01/04/2021</t>
  </si>
  <si>
    <t>BEASISWA UPN REGULER</t>
  </si>
  <si>
    <t>BUNGA CHAIRUNNISA</t>
  </si>
  <si>
    <t>DIAMONDITA AISYA AZZAHRA</t>
  </si>
  <si>
    <t>MARIA RANI RAKA SIWI</t>
  </si>
  <si>
    <t>FAARIS EDRIA</t>
  </si>
  <si>
    <t>THARIQ DARIS RAMADHAN</t>
  </si>
  <si>
    <t>FEBRIANZA DEWI SETIAWATI</t>
  </si>
  <si>
    <t>TUBAGUS RIFKY AYUZA</t>
  </si>
  <si>
    <t>WANGI BUNGA</t>
  </si>
  <si>
    <t>31/03/2021</t>
  </si>
  <si>
    <t>DELANEIRA KISKA</t>
  </si>
  <si>
    <t>REFA ZAIDAN ASSIDQI</t>
  </si>
  <si>
    <t>TEDI SEPTIAWAN</t>
  </si>
  <si>
    <t>MUHAMMAD NALENDRA ARIEFANI</t>
  </si>
  <si>
    <t>HANI HANANTIO ARVA</t>
  </si>
  <si>
    <t>SUYA RAMA FADILLAH</t>
  </si>
  <si>
    <t>RURY ASHARIA</t>
  </si>
  <si>
    <t>AUFA LAELANI ANJALI</t>
  </si>
  <si>
    <t>FAZAWATI ZHAHIRAH PUTRI HERMAWAN</t>
  </si>
  <si>
    <t>GERY LAZUARDI</t>
  </si>
  <si>
    <t>WILDAN WAHYU NUGROHO</t>
  </si>
  <si>
    <t>GETTO RAIHAN BHAGASKARA</t>
  </si>
  <si>
    <t>s1 Teknik Kimia</t>
  </si>
  <si>
    <t>FAHRUROZI SETYANDI</t>
  </si>
  <si>
    <t>Beasiswa Putra Putri TNI, POLRI dan PNS Kemhan</t>
  </si>
  <si>
    <t>Dawud Alfarisi</t>
  </si>
  <si>
    <t>SHIDQI MAULANA</t>
  </si>
  <si>
    <t>LUTHFI NOOR ZAIN</t>
  </si>
  <si>
    <t>BALQIS AMINI NAISA</t>
  </si>
  <si>
    <t>NAMIRA HANI UTAMI</t>
  </si>
  <si>
    <t>S1 ILMU HUBUNGAN INTERNASIONAL</t>
  </si>
  <si>
    <t>RENO FATURACHMAN</t>
  </si>
  <si>
    <t>RUDY ZAINUR ROHMAN</t>
  </si>
  <si>
    <t>S 1 Ekonomi Pembangunan</t>
  </si>
  <si>
    <t>INDRA KURNIAWAN BHAKTI SAPUTRA</t>
  </si>
  <si>
    <t>RINDIYANI YOSEFIN KOYONGKAM</t>
  </si>
  <si>
    <t>INTAN MAHARANI</t>
  </si>
  <si>
    <t>RIZALDI AIDINUL HAKIM</t>
  </si>
  <si>
    <t>Muhammad Izhar Yusran</t>
  </si>
  <si>
    <t>AIDIL FIQRI ASKARI</t>
  </si>
  <si>
    <t>BAYU YOGA PAMUNGKAS</t>
  </si>
  <si>
    <t>GRACE MARIANA</t>
  </si>
  <si>
    <t>KHOIRUNNISAH</t>
  </si>
  <si>
    <t>ASHARI WIDODO</t>
  </si>
  <si>
    <t>BRILLIAN ZAINUN FAIZ</t>
  </si>
  <si>
    <t>30/03/2021</t>
  </si>
  <si>
    <t>DWI MAYANG CINDY LUBIS</t>
  </si>
  <si>
    <t>ANNISA WAHYUNINGRUM HARYUDANTI</t>
  </si>
  <si>
    <t>SALSABILA MIRZA</t>
  </si>
  <si>
    <t>29/03/2021</t>
  </si>
  <si>
    <t>FERI MAULANA</t>
  </si>
  <si>
    <t>DWI YULIANTORO</t>
  </si>
  <si>
    <t>RIZKY ANDRE SAPUTRA</t>
  </si>
  <si>
    <t>FITRI NUR PRABAWATI</t>
  </si>
  <si>
    <t>DIMAS FAADHILAH HAKIM</t>
  </si>
  <si>
    <t>28/03/2021</t>
  </si>
  <si>
    <t>CORNELYA NOVIANTY KUNTONO</t>
  </si>
  <si>
    <t>MUH MELFIN ZAINUL FANANI</t>
  </si>
  <si>
    <t>MUHAMMAD FAQIH AL UBAIDAH</t>
  </si>
  <si>
    <t>NANDYA NUR AZIZAH</t>
  </si>
  <si>
    <t>NOVANI RAHAYU RAMADHANTI JATMIKO</t>
  </si>
  <si>
    <t>26/03/2021</t>
  </si>
  <si>
    <t>WULANDARI ANUGRAHINI</t>
  </si>
  <si>
    <t>DESSY DANNISWARA</t>
  </si>
  <si>
    <t>16/03/2021</t>
  </si>
  <si>
    <t>NARINTA RAMADHANTY JELANG SAVITRI</t>
  </si>
  <si>
    <t>HANAFIAH HAMID</t>
  </si>
  <si>
    <t>FITRA HELMALIA</t>
  </si>
  <si>
    <t>VIKRI ALIM MASYOGI</t>
  </si>
  <si>
    <t>SADDAM RAFLIZAL RAIS</t>
  </si>
  <si>
    <t>ALDALIA FEBIOLA AMADEA</t>
  </si>
  <si>
    <t>AMMAR CHAIRUDIN</t>
  </si>
  <si>
    <t>SINTA MELINA ANGGRAINI</t>
  </si>
  <si>
    <t>RIZKI FAUZIAH AMIN</t>
  </si>
  <si>
    <t>BAYU SATRIA MUSTAFIED</t>
  </si>
  <si>
    <t>RISANG HARYO DEWANTORO</t>
  </si>
  <si>
    <t>15/03/2021</t>
  </si>
  <si>
    <t>deleted</t>
  </si>
  <si>
    <t>SYAFIQ IHSAN</t>
  </si>
  <si>
    <t>MUKHLASIN SYAIFULLAH</t>
  </si>
  <si>
    <t>AKUNTANSI</t>
  </si>
  <si>
    <t>YUSUF MUHAMMAD ALFARIH</t>
  </si>
  <si>
    <t>SAFIRA NURUL AZMI</t>
  </si>
  <si>
    <t>AMIR FATAH</t>
  </si>
  <si>
    <t>RADEN NUR AZIZAH AFIATI</t>
  </si>
  <si>
    <t>ANNISYA ASRI DIARTA</t>
  </si>
  <si>
    <t>AGUS HERI PAMUNGKAS</t>
  </si>
  <si>
    <t>ERYNA PERWITA SARI</t>
  </si>
  <si>
    <t>SI TEKNIK LINGKUNGAN</t>
  </si>
  <si>
    <t>BELLA MAYANG PUTRI</t>
  </si>
  <si>
    <t>AYU ENJELINA SITOMPUL</t>
  </si>
  <si>
    <t>PUTRI FEBRI PRATIWI</t>
  </si>
  <si>
    <t>DWI FAJAR NURRAHMAN</t>
  </si>
  <si>
    <t>SYIFA ALDHIA LAFASH ARMYANI</t>
  </si>
  <si>
    <t>SEFIRA DITA OKTAVIANTI</t>
  </si>
  <si>
    <t>CESTLAVIETRIA RAMADHANI PURNOMOPUTRI</t>
  </si>
  <si>
    <t>FAUZIYAH AHMAD INAYANTI</t>
  </si>
  <si>
    <t>MUHAMMAD GALANTTAMA MONDIRA</t>
  </si>
  <si>
    <t>ALIF SATRIA WISNU WARDANA</t>
  </si>
  <si>
    <t>JOHAN JEFRIYANTO</t>
  </si>
  <si>
    <t>RANI SUKMAWATI</t>
  </si>
  <si>
    <t>ZAHRA AMALIA HUSNA</t>
  </si>
  <si>
    <t>S1 Akuntansj</t>
  </si>
  <si>
    <t>VERNAN MUHAMMAD RIGZY</t>
  </si>
  <si>
    <t>TYKA RAMADHAMAYANTI</t>
  </si>
  <si>
    <t>ROYHAN ALBAR LUBIS</t>
  </si>
  <si>
    <t>ENDAR AGUNG WIJAYA</t>
  </si>
  <si>
    <t>ALBERTUS EVANI AWANG SUBEKTI</t>
  </si>
  <si>
    <t>NURHIKMAHWATI HUSNI</t>
  </si>
  <si>
    <t>IVANA PUSPITA SARI</t>
  </si>
  <si>
    <t>FENNY ANINDYA</t>
  </si>
  <si>
    <t>MUHAMAD KHASBULLOH</t>
  </si>
  <si>
    <t>MUHAMAD ADEN FITRAH HARADIN</t>
  </si>
  <si>
    <t>SHAFIRA ATHAMEYVIA</t>
  </si>
  <si>
    <t>IKA PUTRI PUSPITASARI</t>
  </si>
  <si>
    <t>AUDLEY RAYHAN YULIATANTO</t>
  </si>
  <si>
    <t>PRADITYA ANGGI WIDHIANANTO</t>
  </si>
  <si>
    <t>SINGGIH ADI NUGROHO</t>
  </si>
  <si>
    <t>ANNISA NABILA</t>
  </si>
  <si>
    <t>AJENG PERMATA SARI</t>
  </si>
  <si>
    <t>MOHAMMAD KIFLI RIFKI MUBAROK</t>
  </si>
  <si>
    <t>ACHMAD FAUZAN ABIYASA</t>
  </si>
  <si>
    <t>YUSUF KURNIAWAN</t>
  </si>
  <si>
    <t>ABELA SOYA NIKITA</t>
  </si>
  <si>
    <t>S1 TEKNIK LINGKUNGAN</t>
  </si>
  <si>
    <t>DIMAS AJI HARNAWAN</t>
  </si>
  <si>
    <t>FADHIL GIWANGKARA WIJAYADI</t>
  </si>
  <si>
    <t>S1 Teknik Industri, S1</t>
  </si>
  <si>
    <t>VERONIKA CENDI PRAMESWARI PUTRI</t>
  </si>
  <si>
    <t>NEZHA SARFINA</t>
  </si>
  <si>
    <t>AMIN NUGROHO HADI</t>
  </si>
  <si>
    <t>ALIF ZAKY ZULFIKAR</t>
  </si>
  <si>
    <t>S1 teknik pertambangan</t>
  </si>
  <si>
    <t>GALIH EXSA PRATAMA</t>
  </si>
  <si>
    <t>FAUZAN RIZKY NUGRAHANTO</t>
  </si>
  <si>
    <t>APRILIANA WULANDARI</t>
  </si>
  <si>
    <t>MUHAMMAD RAFLIE RAMADHAN</t>
  </si>
  <si>
    <t>PANJI SALMAN FIRDAUS</t>
  </si>
  <si>
    <t>JANUAVERA KURNIA DEVI</t>
  </si>
  <si>
    <t>14/03/2021</t>
  </si>
  <si>
    <t>MONIKA ASWORO</t>
  </si>
  <si>
    <t>S1 Teknik Mtelaurgi</t>
  </si>
  <si>
    <t>ICHA LIARA GUSTI</t>
  </si>
  <si>
    <t>SALMAH MAYSARAH</t>
  </si>
  <si>
    <t>DESVIANO WILIS ALFATKHAN</t>
  </si>
  <si>
    <t>AINAYA ALFATIHAH FIKRULHAQ</t>
  </si>
  <si>
    <t>Agribisnis</t>
  </si>
  <si>
    <t>ROMADAN NUR HUDA</t>
  </si>
  <si>
    <t>IQBAL HAFIZ</t>
  </si>
  <si>
    <t>DHILA DWISTHI NUGRAHENI</t>
  </si>
  <si>
    <t>KEVIN NUGROHO BAYU PRATAMA</t>
  </si>
  <si>
    <t>AKRAM AZIZ ASHIDIQIE</t>
  </si>
  <si>
    <t>WAHYU IDI PANGESTU</t>
  </si>
  <si>
    <t>ANITA NUR ARDIYANI</t>
  </si>
  <si>
    <t>MUTIARA SELINA</t>
  </si>
  <si>
    <t>HALILINTAR DIXFFIN</t>
  </si>
  <si>
    <t>DWIKI RAMA PANGESTIKO</t>
  </si>
  <si>
    <t>RIAD ARFAN</t>
  </si>
  <si>
    <t>AJI TRI SANTOSA</t>
  </si>
  <si>
    <t>SALSABILLA AURELIA AZZAHRA</t>
  </si>
  <si>
    <t>SALSABILA AGATHA</t>
  </si>
  <si>
    <t>LABIBAH NEVITA SALWA</t>
  </si>
  <si>
    <t>Agroteknologi S1</t>
  </si>
  <si>
    <t>13/03/2021</t>
  </si>
  <si>
    <t>ELKANA AMELIA FITRIALISTANTI</t>
  </si>
  <si>
    <t>MUHAMMAD NURMAN AGHA ZAIN</t>
  </si>
  <si>
    <t>GUNTOR SURYO PUTRO</t>
  </si>
  <si>
    <t>MAHARDIKA YURICO BILLIAN</t>
  </si>
  <si>
    <t>12/03/2021</t>
  </si>
  <si>
    <t>RYAN AGUNG SAMUDRA</t>
  </si>
  <si>
    <t>SAFINA ARIN NABILA</t>
  </si>
  <si>
    <t>NUR ALIF YUSUF PUTRA KARLINA</t>
  </si>
  <si>
    <t>SHAFIA RAHMANISSA SEKAR KINASIH</t>
  </si>
  <si>
    <t>DINDA FAJRIASANI</t>
  </si>
  <si>
    <t>SUCI EKA RAMADHANI</t>
  </si>
  <si>
    <t>ADHELIA EKA FAUZIATI</t>
  </si>
  <si>
    <t>BANU SETIAWAN</t>
  </si>
  <si>
    <t>MARCELLUS YURICO HADI EKA PUTRA</t>
  </si>
  <si>
    <t>MOHAMMAD FAISAL ANNAS RASYID</t>
  </si>
  <si>
    <t>S1 Teknik pertambangan</t>
  </si>
  <si>
    <t>Danang Satrio Wibowo</t>
  </si>
  <si>
    <t>ELVIRA MAYA PANGESTI</t>
  </si>
  <si>
    <t>WAHYUDI SETIAWAN</t>
  </si>
  <si>
    <t>SALMA AMALIA</t>
  </si>
  <si>
    <t>WIDYA EKA APRILLIA NAVYANDARI</t>
  </si>
  <si>
    <t>WISANGGENI YUDHA SATRIA</t>
  </si>
  <si>
    <t>RR. BERNADINE ROSAVITA DEVINA MIRE CIPTAWANDIRA</t>
  </si>
  <si>
    <t>RICO HARIS PERDANA</t>
  </si>
  <si>
    <t>REVI ANDRIAN</t>
  </si>
  <si>
    <t>NISYA PUTRI PRADIRA</t>
  </si>
  <si>
    <t>NABILA CINTYA ISWARA</t>
  </si>
  <si>
    <t>ALMA ASHFIA PUTRI MUSPARA</t>
  </si>
  <si>
    <t>ARI PASKAH TAMPUBOLON</t>
  </si>
  <si>
    <t>IBNU EKO PURWOWIBOWO</t>
  </si>
  <si>
    <t>CAROLUS GONZALES BLANTRAN DE ROSARI</t>
  </si>
  <si>
    <t>MUHAMMAD AKBAR IVANSYAH SANTOSO</t>
  </si>
  <si>
    <t>RIA AYU RIFANI</t>
  </si>
  <si>
    <t>NADIA AYU DIAH MARLINAWATY</t>
  </si>
  <si>
    <t>NUR FADILAH</t>
  </si>
  <si>
    <t>S1 ekonomi pembangunan</t>
  </si>
  <si>
    <t>NABILA INDAH HERMANY</t>
  </si>
  <si>
    <t>NURUL RACHMA FITRIANI</t>
  </si>
  <si>
    <t>THERESIA YOLANDA BR SIAGIAN</t>
  </si>
  <si>
    <t>11/03/2021</t>
  </si>
  <si>
    <t>MAYKE GALUH PRASTIWI</t>
  </si>
  <si>
    <t>NANDITA LINGGA SARI</t>
  </si>
  <si>
    <t>Rachmat Fauzi Viarso</t>
  </si>
  <si>
    <t>Shonia Inri Lalombombuida</t>
  </si>
  <si>
    <t>Kevin Sebastian</t>
  </si>
  <si>
    <t>MUHAMMAD AGIL HUSEIN</t>
  </si>
  <si>
    <t>MAULANA HAKIM SATRIA</t>
  </si>
  <si>
    <t>DANDY EKA PRASETYA</t>
  </si>
  <si>
    <t>MUHAMMAD ILHAM</t>
  </si>
  <si>
    <t>TOIBUL HADI</t>
  </si>
  <si>
    <t>MUHAMAD ALFA RIZKY</t>
  </si>
  <si>
    <t>RAHMAWATI BERKAH GUSTI MARTINO</t>
  </si>
  <si>
    <t>ARLENDA ISKANDAR PUTRA</t>
  </si>
  <si>
    <t>RYAN FADHILAH</t>
  </si>
  <si>
    <t>Eliadi Karmel Pangaribuan</t>
  </si>
  <si>
    <t>NGABDURRAHMAN RIFAI</t>
  </si>
  <si>
    <t>MUHAMMAD KEVIN ALIANDIKA</t>
  </si>
  <si>
    <t>PUTRI WIDYA HANIFAH</t>
  </si>
  <si>
    <t>MUHAMMAD KHAIDIR RAFIKI</t>
  </si>
  <si>
    <t>NAUFAL DZIKRIANSYAH FAISOL</t>
  </si>
  <si>
    <t>RAFI AMMAR NUGRAHANTO</t>
  </si>
  <si>
    <t>FAISHAL IRFAN</t>
  </si>
  <si>
    <t>PRIMADANI EVANJAYA PRAKASA</t>
  </si>
  <si>
    <t>KMS. ABDUL AZIZ</t>
  </si>
  <si>
    <t>FARISGINA ALMEYDA</t>
  </si>
  <si>
    <t>MUHAMAD ZIDAN IKHSANI</t>
  </si>
  <si>
    <t>HASNA ASMARANINGTHYAS</t>
  </si>
  <si>
    <t>FIKI RAHMATINA NIHRIROH</t>
  </si>
  <si>
    <t>BAGUS FEBYANTORO</t>
  </si>
  <si>
    <t>RIKY AGUSETIAWAN MANURUNG</t>
  </si>
  <si>
    <t>GAMA AHMAD ZACKY ALVAIN</t>
  </si>
  <si>
    <t>IHSAN DZAKY SAPUTRA</t>
  </si>
  <si>
    <t>HAIDAR DZAKY MUBARAK</t>
  </si>
  <si>
    <t>MUHAMMAD ALLIFKA ABDULLAH</t>
  </si>
  <si>
    <t>S1 Teknik Industei</t>
  </si>
  <si>
    <t>AKHMAD ADIN ABDILAH</t>
  </si>
  <si>
    <t>AGROTEKNOLOGI</t>
  </si>
  <si>
    <t>BARIQ JAUHAR</t>
  </si>
  <si>
    <t>RIZKY DWI ANANDA</t>
  </si>
  <si>
    <t>MARCELLINUS KEVIN BAGASKARA</t>
  </si>
  <si>
    <t>YOGA PERMATASARI</t>
  </si>
  <si>
    <t>SITI CHAIRUNNISA</t>
  </si>
  <si>
    <t>MUHAMMAD RIKO DWINARO</t>
  </si>
  <si>
    <t>ALVIN ANDRYAN</t>
  </si>
  <si>
    <t>D3 Teknik Kimia, D3</t>
  </si>
  <si>
    <t>DWI BAGUS NODIANTARA</t>
  </si>
  <si>
    <t>NURUL FITRIASARI</t>
  </si>
  <si>
    <t>SENJA SUKMA HERNAWAN</t>
  </si>
  <si>
    <t>ARIF YASIN SAPUTRA</t>
  </si>
  <si>
    <t>REGI RESTU WINANDA</t>
  </si>
  <si>
    <t>YUNAN ALVIAN RIDHO</t>
  </si>
  <si>
    <t>ADJAR LANDUNG PAMBUDI MUSODIQ</t>
  </si>
  <si>
    <t>YUSQI RAKHMAN ASSIDIQI</t>
  </si>
  <si>
    <t>RIVANDO B. SAERANG</t>
  </si>
  <si>
    <t>RICKY EDWARD MARUDUT TUA AMBARITA</t>
  </si>
  <si>
    <t>LINTANG LARASATI ADI PUTRI</t>
  </si>
  <si>
    <t>EKKY FITRITIADI SUKAMDANI</t>
  </si>
  <si>
    <t>AGUNG PRASETYO</t>
  </si>
  <si>
    <t>s1 Ilmu hubungan Internasional</t>
  </si>
  <si>
    <t>ANGGI MICHAEL PURBA</t>
  </si>
  <si>
    <t>MAULANA PRABANDARU</t>
  </si>
  <si>
    <t>OLVYRA LARASATY</t>
  </si>
  <si>
    <t>SANIA SAMIR</t>
  </si>
  <si>
    <t>WANDA AULIYA ADRIYANI</t>
  </si>
  <si>
    <t>MUWALLIHA SYAHDANI</t>
  </si>
  <si>
    <t>YOVIE CIKAL MARDIAN</t>
  </si>
  <si>
    <t>LA ODE MUHAMAD RAZAK</t>
  </si>
  <si>
    <t>SOPHAN JAMIL ANDRIANSYAH</t>
  </si>
  <si>
    <t>ARWANA RACHMANSYAH</t>
  </si>
  <si>
    <t>KENADINDA SEPTIAN TRISNA MEUNASAH</t>
  </si>
  <si>
    <t>RANTIKA PRATIWI</t>
  </si>
  <si>
    <t>M. ALIF HAMLIKA</t>
  </si>
  <si>
    <t>FANY REYZA FAIZAL LATIF</t>
  </si>
  <si>
    <t>ALDITHO AKBAR PASHA</t>
  </si>
  <si>
    <t>ALIFA NUR AFIFAH PUTRI SUKMONO</t>
  </si>
  <si>
    <t>MUHAMMAD ALFIAN NUR HARIWIGUNA</t>
  </si>
  <si>
    <t>INDAH PUSPO RINI</t>
  </si>
  <si>
    <t>MUHAMMAD HILMY RABBANI</t>
  </si>
  <si>
    <t>AFFAN HARITS ALFIANTORO</t>
  </si>
  <si>
    <t>S1 Teknik Informatika</t>
  </si>
  <si>
    <t>MUHAMMAD IQBAL HIDAYAT</t>
  </si>
  <si>
    <t>DIYAFAKHRI ANDRIANDITA</t>
  </si>
  <si>
    <t>MANZILATUL AFKARIYAH</t>
  </si>
  <si>
    <t>DHAFA ADHI CHANDRA</t>
  </si>
  <si>
    <t>RIFQI ALHADY AZIZ</t>
  </si>
  <si>
    <t>MUHAMMAD FIKRI USMAN</t>
  </si>
  <si>
    <t>GALIH AULIA MAHADI</t>
  </si>
  <si>
    <t>MONICA GEBY ANASTASIA</t>
  </si>
  <si>
    <t>NGAKAN MADE ARIYOGA</t>
  </si>
  <si>
    <t>TRY PUTRI ELISABETH GULTOM</t>
  </si>
  <si>
    <t>Muhammad Pramaditya</t>
  </si>
  <si>
    <t>HANIF PANJI PRASETYA</t>
  </si>
  <si>
    <t>PUJI MUHARDINI</t>
  </si>
  <si>
    <t>LARAS DIKA YOULANDA</t>
  </si>
  <si>
    <t>ADITYA PUTRA BARUNA</t>
  </si>
  <si>
    <t>RAKHA SURYA YUDHISTIRA</t>
  </si>
  <si>
    <t>AHMAD RAFI MUAFA SYARIF</t>
  </si>
  <si>
    <t>MUHAMMAD IQBAL MAULANA</t>
  </si>
  <si>
    <t>S1 Akuntantansi</t>
  </si>
  <si>
    <t>ZAHRAH LATIFAH</t>
  </si>
  <si>
    <t>MUHAMMAD AFIQ ALVADEANO</t>
  </si>
  <si>
    <t>10/03/2021</t>
  </si>
  <si>
    <t>JUNDI HABIB</t>
  </si>
  <si>
    <t>SALMA CLARISTA TIARAPUTRI</t>
  </si>
  <si>
    <t>ANDINI EKI YULIASTUTI</t>
  </si>
  <si>
    <t>RISTI KHOIRUNA HAPSARI</t>
  </si>
  <si>
    <t>YOSUA MELASUREY</t>
  </si>
  <si>
    <t>FAVIAN AURA PRATAMA</t>
  </si>
  <si>
    <t>S1 Ilmu Hubungan Masyarakat</t>
  </si>
  <si>
    <t>GILANG DIRGANTARA</t>
  </si>
  <si>
    <t>MIRANTI MEGA PERTIWI</t>
  </si>
  <si>
    <t>RISKA INDAH OCTAVIAN</t>
  </si>
  <si>
    <t>RONALD ADITHYA PRATAMA HARUNRASJID</t>
  </si>
  <si>
    <t>RAVI ALDRIN SYAFALDI</t>
  </si>
  <si>
    <t>MUHAMMAD HAFIDZ AZHAR</t>
  </si>
  <si>
    <t>HERDIAWAN PUTRA PRATAMA</t>
  </si>
  <si>
    <t>GERY SETIAWAN</t>
  </si>
  <si>
    <t>NAUFAL FIKRI HANIF</t>
  </si>
  <si>
    <t>REVALINA RACHMATRIA HAMIDAH</t>
  </si>
  <si>
    <t>MUHAMMAD AFIN FAUZI</t>
  </si>
  <si>
    <t>FAISAL FAJRI ARDIANSYAH</t>
  </si>
  <si>
    <t>KEVIN YOGATAMA</t>
  </si>
  <si>
    <t>AYOLA IKA ARIHTA</t>
  </si>
  <si>
    <t>HERMANTO HENDRIKUS SIMBOLON</t>
  </si>
  <si>
    <t>KURNIA INDAH NURHAYATI</t>
  </si>
  <si>
    <t>VIAN ROSYADI NUGRAHA</t>
  </si>
  <si>
    <t>DHEVY AYU MAHARANI</t>
  </si>
  <si>
    <t>SALMA CAHYA JELITA</t>
  </si>
  <si>
    <t>ALMA UNA YUDITIA</t>
  </si>
  <si>
    <t>LATIFATUL FIRDAUSA HAQ</t>
  </si>
  <si>
    <t>RAMA ENDARWAN</t>
  </si>
  <si>
    <t>BUNGA RANA NOVADITA</t>
  </si>
  <si>
    <t>AJI SETIA BUDI</t>
  </si>
  <si>
    <t>NOVARITA CAHYA KRISMA SAPUTRI</t>
  </si>
  <si>
    <t>AGISKA MILLENDRATAMA GUNAWAN</t>
  </si>
  <si>
    <t>FITRI SETIANINGRUM</t>
  </si>
  <si>
    <t>ANGELA MERICI HERDYANA PROKLAMAGITA</t>
  </si>
  <si>
    <t>MOHAMMAD PUTRA SAHAJA</t>
  </si>
  <si>
    <t>ALIVI MILOVA</t>
  </si>
  <si>
    <t>ENGGAR RAHAYU MEYLANI</t>
  </si>
  <si>
    <t>GHOLAM ZAKI DZAMIRI</t>
  </si>
  <si>
    <t>FAUZAN OKTAVIANTO NUGROHO</t>
  </si>
  <si>
    <t>TARI ARMADITA</t>
  </si>
  <si>
    <t>A. RIZAL MATUFANI WIDYA LAKSANA</t>
  </si>
  <si>
    <t>AHMAD MUZAKKY</t>
  </si>
  <si>
    <t>GITA RHESTU TRIAKUSUMANINGRUM</t>
  </si>
  <si>
    <t>YUSUF ADI NUGROHO</t>
  </si>
  <si>
    <t>GUSSIAZMII AQIL TAUFIIQUL HAKIM</t>
  </si>
  <si>
    <t>SAFELY DIANA CHINTYAWATI</t>
  </si>
  <si>
    <t>ANGGI TASYA MARGARETHA MARPAUNG</t>
  </si>
  <si>
    <t>TIARA PRAMESTY HASIM PUTRI</t>
  </si>
  <si>
    <t>KAFA BIHI ROSYID AL HIKAM</t>
  </si>
  <si>
    <t>FITRIANA AZZAHRA</t>
  </si>
  <si>
    <t>SEPTIANA DEWI PUSPITASARI</t>
  </si>
  <si>
    <t>NURUL AINI SUPRIYADI</t>
  </si>
  <si>
    <t>TEKNIK GEOLOGI</t>
  </si>
  <si>
    <t>NAJLA ATHIFAH</t>
  </si>
  <si>
    <t>AZIZUL HAQ</t>
  </si>
  <si>
    <t>SYAHFAN ARGUSTA MAHARDHIKA</t>
  </si>
  <si>
    <t>HASNA MUNA MAHFUZHAH</t>
  </si>
  <si>
    <t>LARASATI EKA PRASETYA</t>
  </si>
  <si>
    <t>ALVIANSYAH SATRIA MAULANA</t>
  </si>
  <si>
    <t>WURI PANDANSARI</t>
  </si>
  <si>
    <t>ANIDYA RHISMA DEWI PAMBUDI</t>
  </si>
  <si>
    <t>RIVANO CAHYA WARDANA</t>
  </si>
  <si>
    <t>DEMA TATA LAKSANA</t>
  </si>
  <si>
    <t>VELINDA AQILAHUSNA</t>
  </si>
  <si>
    <t>AMBAR DWI WISMAWATI</t>
  </si>
  <si>
    <t>FALAH NURUZAMAN</t>
  </si>
  <si>
    <t>NANDA RIFAN RAMADHAN</t>
  </si>
  <si>
    <t>MUHAMMAD WILDAN ILYASA</t>
  </si>
  <si>
    <t>HARUN AL RASYID</t>
  </si>
  <si>
    <t>TAUFIQ FAJAR NUGROHO</t>
  </si>
  <si>
    <t>M. DIMAS AMARTA</t>
  </si>
  <si>
    <t>ATHREEANISA SULTANIN BINTANG KUSUMAYA</t>
  </si>
  <si>
    <t>DEWI AYU NUR SUSANTI</t>
  </si>
  <si>
    <t>GABRIEL GONZAGA MIKA ANDRIES</t>
  </si>
  <si>
    <t>09/03/2021</t>
  </si>
  <si>
    <t>SITI FATIMAH</t>
  </si>
  <si>
    <t>ATANIA HARFIANI</t>
  </si>
  <si>
    <t>RIYALDA CAPRICORNELIA</t>
  </si>
  <si>
    <t>ALFA ADI SYAHPUTRA</t>
  </si>
  <si>
    <t>AGIL FIRMANSHAH</t>
  </si>
  <si>
    <t>DIAH WIDYA RETNANI</t>
  </si>
  <si>
    <t>SITTI NURLIAN HANDAYANI</t>
  </si>
  <si>
    <t>DWI MILYANTI YUDHA UTAMI</t>
  </si>
  <si>
    <t>SINGGIH PANGESTU</t>
  </si>
  <si>
    <t>Teknik Kimia S1</t>
  </si>
  <si>
    <t>WIKA ANGGIASARI INDAH PALUPI</t>
  </si>
  <si>
    <t>M. FADLI</t>
  </si>
  <si>
    <t>I KETUT WISNU NUGRAHA</t>
  </si>
  <si>
    <t>RAYGUEL JULYFER LAMBERTHUS GULTOM</t>
  </si>
  <si>
    <t>YUDHA RIZKI ROMADHONA</t>
  </si>
  <si>
    <t>AMELIA HERSA ALDILA</t>
  </si>
  <si>
    <t>DIRGA YODHIA FARASI</t>
  </si>
  <si>
    <t>08/03/2021</t>
  </si>
  <si>
    <t>RISMAYA DWI MELANIE</t>
  </si>
  <si>
    <t>S1 AGRIBISNIS</t>
  </si>
  <si>
    <t>M. RUSDI LUBIS</t>
  </si>
  <si>
    <t>FATYA ZAKI UBAIDILLAH</t>
  </si>
  <si>
    <t>SALSABILA  ASYSYIFATUL   ULLIYA</t>
  </si>
  <si>
    <t>FARAH DHIYA MELATI PUTERI</t>
  </si>
  <si>
    <t>MARIA YOSEPHA GALUH PRAMESTI</t>
  </si>
  <si>
    <t>MUHAMMAD ATHIF NAUFAL</t>
  </si>
  <si>
    <t>AGASTYAN BAGAS KURNIA SEJATI</t>
  </si>
  <si>
    <t>CINDY AZIZA ROSALINA</t>
  </si>
  <si>
    <t>S1 ilmu administrasi bisnis</t>
  </si>
  <si>
    <t>CAREL BOBY BASTIAN</t>
  </si>
  <si>
    <t>PERDANA FIARA FINDA</t>
  </si>
  <si>
    <t>WANDY INDRAWAN</t>
  </si>
  <si>
    <t>CHANDRA WAHYU KUSUMA</t>
  </si>
  <si>
    <t>BIRRUL ANIS FADHILAH</t>
  </si>
  <si>
    <t>ADITYA FIRMAN PRAMUDYA</t>
  </si>
  <si>
    <t>SATRIO NAJIB ADANI</t>
  </si>
  <si>
    <t>SOFURA MARIAH NADITA</t>
  </si>
  <si>
    <t>NATHANIEL RAMOS SIMANGUNSONG</t>
  </si>
  <si>
    <t>RAMA ANUGRAH RAMADHAN</t>
  </si>
  <si>
    <t>ERIC SATRIO RACHMAT</t>
  </si>
  <si>
    <t>ANNISYA DWI ANJARSARI</t>
  </si>
  <si>
    <t>AFDALA ICHZAR WIRAYUDA</t>
  </si>
  <si>
    <t>YENI ANA REDITA</t>
  </si>
  <si>
    <t>SYAFRIE SETIAWAN</t>
  </si>
  <si>
    <t>GRACELA NANDA PUSPITA SARI</t>
  </si>
  <si>
    <t>S1 Pertanian</t>
  </si>
  <si>
    <t>ROMADHANTI PUTRI HARISTA</t>
  </si>
  <si>
    <t>MUHAMAD SETIAWAN WICAKSONO</t>
  </si>
  <si>
    <t>ZIDAN AFIARY RACHMAD SINAGA</t>
  </si>
  <si>
    <t>RAHUL BIN SUBAGIO</t>
  </si>
  <si>
    <t>KEVIN SAMBOWO NUGROHO</t>
  </si>
  <si>
    <t>DONNY NOOR CAHYADI RISTYAWAN</t>
  </si>
  <si>
    <t>REGITA MELINA PRAMESTI</t>
  </si>
  <si>
    <t>PRATIWI SUTRISNOWATI</t>
  </si>
  <si>
    <t>BISMANTIYO KUMOLO JAKTI SUKMANDARU</t>
  </si>
  <si>
    <t>AJENG PANGESTIKA HERYAWAN</t>
  </si>
  <si>
    <t>EGHA ALMIRA AURELLIA</t>
  </si>
  <si>
    <t>VANIA ARTHA FELLICIA</t>
  </si>
  <si>
    <t>DEMA BALKHIS PUTRIMA HANIFAH</t>
  </si>
  <si>
    <t>STEADI NIKO PAMBUDI</t>
  </si>
  <si>
    <t>KATON KUMALA SARI</t>
  </si>
  <si>
    <t>WISNU ARI MURTI PRABOWO</t>
  </si>
  <si>
    <t>TAUFIQ NUR AHSAN</t>
  </si>
  <si>
    <t>ADAM ARDIYANTO WICAKSONO</t>
  </si>
  <si>
    <t>JULIETH PESIWARISSA</t>
  </si>
  <si>
    <t>AZIS HAFID ALBUCHORI</t>
  </si>
  <si>
    <t>ARKAN AJITAMA</t>
  </si>
  <si>
    <t>AJENG FITRIANI SAPUTRI</t>
  </si>
  <si>
    <t>PRITI CAHYA AINI</t>
  </si>
  <si>
    <t>HESTI APRIYANI TRIYANA</t>
  </si>
  <si>
    <t>ROHMATUL MAFTUKAH</t>
  </si>
  <si>
    <t>AJI VIRDIAN NURCAHYA</t>
  </si>
  <si>
    <t>ZULFA ELISTIANI</t>
  </si>
  <si>
    <t>HARIZKA NUR ABDUL MALIK</t>
  </si>
  <si>
    <t>HERI DWI SETIAWAN</t>
  </si>
  <si>
    <t>JIHAN DEA SAVITRI</t>
  </si>
  <si>
    <t>JELIKA MAHARANI</t>
  </si>
  <si>
    <t>ELVIRA ISZA KUSUMADHANI</t>
  </si>
  <si>
    <t>ARROSYIDA KARTIKA ZAMHARIRA</t>
  </si>
  <si>
    <t>SHEVIA YOVITA TAMARA DEWI</t>
  </si>
  <si>
    <t>DHAMAR ADJI KINTOKO</t>
  </si>
  <si>
    <t>05/03/2021</t>
  </si>
  <si>
    <t>FACHRUL DWALASENA</t>
  </si>
  <si>
    <t>MOH. PRASETYO HARDIANTO</t>
  </si>
  <si>
    <t>SHAFA ARCHI GUSTANIA</t>
  </si>
  <si>
    <t>INDAH MAKMUR</t>
  </si>
  <si>
    <t>HANNISA MENTARI SIWI</t>
  </si>
  <si>
    <t>REFANDA SETYAGUNA SUTRISNO</t>
  </si>
  <si>
    <t>CICI YURIZA</t>
  </si>
  <si>
    <t>JESSICA LUTHFIA</t>
  </si>
  <si>
    <t>SHIDQI MAHENDRA FADHOLI</t>
  </si>
  <si>
    <t>FLORENSIA DITA MAHARANI VANNETIA</t>
  </si>
  <si>
    <t>FITRIA ARUM HENDRASARI</t>
  </si>
  <si>
    <t>BUDHI BHAKTI WIRA UTAMA</t>
  </si>
  <si>
    <t>ELISA PUTRI BR. SIHALOHO</t>
  </si>
  <si>
    <t>DYAH ANGGRAINI KARTIKA PUTRI</t>
  </si>
  <si>
    <t>ASANDI PAHAN PRIAMBODO</t>
  </si>
  <si>
    <t>RICKY ARISTA KURNIAWAN</t>
  </si>
  <si>
    <t>AYU NOVIRA SHINTA PERMATASARI</t>
  </si>
  <si>
    <t>INFORMATIKA</t>
  </si>
  <si>
    <t>NENY ASTUTI</t>
  </si>
  <si>
    <t>NUR SABIKAH NAHDLIYAH</t>
  </si>
  <si>
    <t>MUHAMMAD YORA REZA ALFAJRI</t>
  </si>
  <si>
    <t>NOVIA HASNA SALSABILLA</t>
  </si>
  <si>
    <t>TASYA AQILA PUTRI INDRIANA</t>
  </si>
  <si>
    <t>NICO</t>
  </si>
  <si>
    <t>MERI SEPTIANA SITOHANG</t>
  </si>
  <si>
    <t>MELANI MAGDALENA HUTABARAT</t>
  </si>
  <si>
    <t>RIKO DWI KURNIAWAN</t>
  </si>
  <si>
    <t>VANDA NURMAYULITA</t>
  </si>
  <si>
    <t>MUHAMMAD RAYHAN ARVIZIDAN</t>
  </si>
  <si>
    <t>INDRI WULAN NUGRAHENI</t>
  </si>
  <si>
    <t>04/03/2021</t>
  </si>
  <si>
    <t>KRISTIANTO DWI SUPRAPTO</t>
  </si>
  <si>
    <t>ANCAS NERING TAMA</t>
  </si>
  <si>
    <t>DEWI KURNIAWATI BROTO WILLIS</t>
  </si>
  <si>
    <t>NICHOLAS NANDA SULAKSANA</t>
  </si>
  <si>
    <t>SALSABILA TANA KUMARAJATI</t>
  </si>
  <si>
    <t>PARADISA ARSANTI RAHMADANIA</t>
  </si>
  <si>
    <t>FIRDA ELLYSA</t>
  </si>
  <si>
    <t>AMALIA CAHYA USWATUN NISA</t>
  </si>
  <si>
    <t>QORI FATKHUL KURNIYADI</t>
  </si>
  <si>
    <t>MUHAMMAD AGUSTAFOURDY MI'RAJ</t>
  </si>
  <si>
    <t>ERISA MEI PRATIWI</t>
  </si>
  <si>
    <t>PRADITA WIJI RAHAYU</t>
  </si>
  <si>
    <t>HENGGAR ADIMAS SUKMANDARU</t>
  </si>
  <si>
    <t>MUHAMMAD VONZA OCTANINEDINO</t>
  </si>
  <si>
    <t>KLARINDA DIAN AZIZAH</t>
  </si>
  <si>
    <t>MUHAMAD RIZKY HAIYDAR AKBAR</t>
  </si>
  <si>
    <t>ADDINA ATTASYA DAMARANTI</t>
  </si>
  <si>
    <t>YOSIA WAHYU PUTRI AMBARARUMNINGTYAS</t>
  </si>
  <si>
    <t>DICKY ALVIANDI RAIS</t>
  </si>
  <si>
    <t>NADIA ULIMA ZAHERMI</t>
  </si>
  <si>
    <t>03/03/2021</t>
  </si>
  <si>
    <t>VICHO FEBRI RAMADHAN</t>
  </si>
  <si>
    <t>KEVIN ORKANANDA</t>
  </si>
  <si>
    <t>FAKHRUL ILMI AUFA</t>
  </si>
  <si>
    <t>GARIN PRIAMBODO</t>
  </si>
  <si>
    <t>WITA MEILIA ROSIANA</t>
  </si>
  <si>
    <t>FAJAR TRI PRASETYA</t>
  </si>
  <si>
    <t>NUR SITI ANIFAH</t>
  </si>
  <si>
    <t>MUHAMMAD TITAN VADEL</t>
  </si>
  <si>
    <t>https://drive.google.com/drive/folders/1HgAz8K2YakD5Z_-Jbf1iGFUA_y7oG6I3?usp=sharing</t>
  </si>
  <si>
    <t xml:space="preserve">Nama Dokumen </t>
  </si>
  <si>
    <t xml:space="preserve">SOP Pembimbingan Akademik </t>
  </si>
  <si>
    <t>Buku Panduan Tugas Akhir</t>
  </si>
  <si>
    <t>Format Buku Tugas Akhir</t>
  </si>
  <si>
    <t>SOP MBKM</t>
  </si>
  <si>
    <t xml:space="preserve">SK Dekan Visi Misi - FTM UPN "Veteran" Yogyakarta </t>
  </si>
  <si>
    <t>NIDN/NIDK</t>
  </si>
  <si>
    <t>Pendidikan Pasca Sarjana</t>
  </si>
  <si>
    <t>Nomor Sertifikat Pendidik Profesional</t>
  </si>
  <si>
    <t>Sertifikat  Kompetensi/ Profesi/  Industri</t>
  </si>
  <si>
    <t>Mata Kuliah yang Diampu pada PS yang Diakreditasi</t>
  </si>
  <si>
    <t>Kesesuaian Bidang Keahlian dengan Mata Kuliah yang Diampu</t>
  </si>
  <si>
    <t>Magister/ Magister Terapan</t>
  </si>
  <si>
    <t>Doktor/ Doktor Terapan</t>
  </si>
  <si>
    <t>Bidang Sertifikasi</t>
  </si>
  <si>
    <t>Lembaga Penerbit</t>
  </si>
  <si>
    <t xml:space="preserve">Pendidikan Sistim Ganda - SMK 1 Sorong </t>
  </si>
  <si>
    <t>Pengenalan Laboratorium - SMK 1 Tuban</t>
  </si>
  <si>
    <t>https://drive.google.com/drive/folders/1519RSNjXLLKs3a3bvGhfJNV27UV3cY8g?usp=sharing</t>
  </si>
  <si>
    <t>https://drive.google.com/drive/folders/1V3YaSbcT-h_nPp2yJ1fd721kPz85zqRX?usp=sharing</t>
  </si>
  <si>
    <t>PENENTUAN KEBUTUHAN AIR BAKU UNTUK HUNIAN TETAP PENYINTAS ERUPSI GUNUNGAPI SEMERU</t>
  </si>
  <si>
    <t>https://drive.google.com/file/d/1xufoPrJ5lX48f-VRF5duFnuxJvh2-m_z/view?usp=sharing</t>
  </si>
  <si>
    <t>Praktek Kerja Lapangan (PKL) SMK Negeri 1 Karanggayam pada Jurusan Geologi Pertambangan</t>
  </si>
  <si>
    <t>https://drive.google.com/drive/folders/1WSRQWPQtFhlZr0j9s3iW0UVObIZ7Wixq?usp=sharing</t>
  </si>
  <si>
    <t>https://drive.google.com/file/d/1HooyBxxZcmJ02AHG4whBHyghyQ-QPcun/view?usp=sharing</t>
  </si>
  <si>
    <t>https://drive.google.com/file/d/1SN8Uhu221JxvXBTmBgpdvlxkudrFOyBo/view?usp=sharing</t>
  </si>
  <si>
    <t>https://drive.google.com/file/d/1J052fT2rsuxLn6UnRoIESaQFskoS3JpV/view?usp=sharing</t>
  </si>
  <si>
    <t>https://drive.google.com/file/d/1Oi6ZR_4XqQAMF41_4aH5BanqA2K7jm4O/view?usp=sharing</t>
  </si>
  <si>
    <t>https://drive.google.com/file/d/1OzdLCbjUE9WSuSeNUaGCXTrz4Yo8EPeG/view?usp=sharing</t>
  </si>
  <si>
    <t>Pelayanan Klinik Pratama UPN "Veteran" Yogyakarta</t>
  </si>
  <si>
    <t>Laporan Kinerja UPN "Veteran" Yogyakarta 2020</t>
  </si>
  <si>
    <t>Laporan Kinerja UPN "Veteran" Yogyakarta 2021</t>
  </si>
  <si>
    <t>Laporan Kinerja UPN "Veteran" Yogyakarta 2022</t>
  </si>
  <si>
    <t>Laporan Kinerja FTM UPN "Veteran" Yogyakarta 2022</t>
  </si>
  <si>
    <t>Laporan Kinerja FTM UPN "Veteran" Yogyakarta 2020</t>
  </si>
  <si>
    <t>Laporan Kinerja FTM UPN "Veteran" Yogyakarta 2021</t>
  </si>
  <si>
    <t>Rektor UPN "Veteran" Yogyakarta</t>
  </si>
  <si>
    <t>https://drive.google.com/file/d/1bci-8N_O2k1wDqEd0ay1fpe62F3XTRbz/view?usp=sharing</t>
  </si>
  <si>
    <t>https://drive.google.com/file/d/1Ba7pZJYBU5h61WxzMz1FpSccwwZ-pH-p/view?usp=sharing</t>
  </si>
  <si>
    <t>Dekan FTM UPN "Veteran" Yogyakarta</t>
  </si>
  <si>
    <t>https://drive.google.com/file/d/1-y87NC3_rjpn0Ke2x0p0ozJ1aMhX9mud/view?usp=sharing</t>
  </si>
  <si>
    <t>Peraturan Rektor Penetapan Renstra FTM UPN "Veteran" Yogyakarta</t>
  </si>
  <si>
    <t>https://drive.google.com/file/d/1tYu09jCCS2RVS3PHK6w_JGnQhljlpayX/view?usp=sharing</t>
  </si>
  <si>
    <t>https://drive.google.com/file/d/1u_QZzrlsjFZVGZsnz1cZxWKrlCa9cQHk/view?usp=sharing</t>
  </si>
  <si>
    <t>https://drive.google.com/file/d/1_tEUBST8Hrwj3UFUDfU_MBnz8oGmXmQm/view?usp=sharing</t>
  </si>
  <si>
    <t>Pekan Olahraga Daerah DIY Cabang Hockey; Nama Mahasiswa: Duan Yoga C. K.</t>
  </si>
  <si>
    <t>https://drive.google.com/file/d/1bWZ_c-Px4Od3kGufO6vOj0oRd8NHg_Vn/view?usp=sharing</t>
  </si>
  <si>
    <t>Korea Maritim and Ocean University Industry</t>
  </si>
  <si>
    <t>Consultancy of Abandonment and Site Restoration (ASR) in Indonesia</t>
  </si>
  <si>
    <t xml:space="preserve">Pelaksanaan Pengabdian kepada Masyarakat oleh Dosen PSTM UPN "Veteran" Yogyakarta </t>
  </si>
  <si>
    <t>https://drive.google.com/file/d/1krT0LVnMb6lWtmgR6-svpOyr-wIqROoI/view?usp=sharing</t>
  </si>
  <si>
    <t>https://drive.google.com/file/d/12TPUOZXCEdI0IiHAQFIz4ym94VMiiF_c/view?usp=sharing</t>
  </si>
  <si>
    <t>Review Masterplan Pertambangan Kabupaten Pamekasan, Provinsi Jawa Timur</t>
  </si>
  <si>
    <t>https://drive.google.com/file/d/10mNMTrwPX-jp3ZLJMBg3wy6kYxthiAfp/view?usp=sharing</t>
  </si>
  <si>
    <t>Studi Karakteristik Breksi Hidrotermal Daerah Pit Site Tumpengpitu, Desa Sumberagung, Kecamatan Pesanggaran, Kabupaten Banyuwangi Provinsi Jawa Timur</t>
  </si>
  <si>
    <t>https://drive.google.com/file/d/1SRjuUhUjVZnW6KHABCjfwcVgprHrQ_TT/view?usp=sharing</t>
  </si>
  <si>
    <t>https://drive.google.com/file/d/1Z8GUIXYr9QZXVnNu8E8GYBDeVWRJzvV1/view?usp=sharing</t>
  </si>
  <si>
    <t>Ir. Bambang Bintarto</t>
  </si>
  <si>
    <t>Ir. Subiatmono, M.T.</t>
  </si>
  <si>
    <t>Ristiyan Ragil P., S.T., M.T.</t>
  </si>
  <si>
    <t>Bungin, Bungkal, Rayun GGR Study for POD (Non Subsurface)</t>
  </si>
  <si>
    <t>Bidang Keahlian: Teknik Reservoir Migas; Kegiatan: Tenaga Ahli pada Lembaga Pusat Studi Mineral dan Energi (PSME)</t>
  </si>
  <si>
    <t>Surat Keterangan Ketua Pusat Studi Mineral dan Energi (PSME) NO: U40-0/PSME-UN62/IX/2023</t>
  </si>
  <si>
    <t>https://drive.google.com/drive/folders/1uowGiLvK_8mfmKLcBmynAQC9yafUbAut?usp=sharing</t>
  </si>
  <si>
    <t>Kuliah Tamu</t>
  </si>
  <si>
    <t>https://drive.google.com/drive/folders/1J_aNpIwqtDCDBfvWAdeXGrZAn0fImTFa?usp=sharing</t>
  </si>
  <si>
    <t>Layanan UPT Laboratorium Terpadu</t>
  </si>
  <si>
    <t>https://labterpadu.upnyk.ac.id/</t>
  </si>
  <si>
    <t>Organisasi Kemahasiswaan</t>
  </si>
  <si>
    <t>https://drive.google.com/drive/folders/18iesjANRtABpBhQtRijG8DkAA9ryl9qe?usp=sharing</t>
  </si>
  <si>
    <t>Kualifikasi Akademik Terakhir</t>
  </si>
  <si>
    <t>Studi Kelayakan Pembangunan Kilang Minyak Mini di Kabupaten Siak - PT Bumi Siak Pusako</t>
  </si>
  <si>
    <t>https://drive.google.com/file/d/1Hz9v4eah9xDFt95IeU6707koRXKO5ZMF/view?usp=sharing</t>
  </si>
  <si>
    <t>Studi GGR-2023 Cluster 2D (Studi Small Field Lapangan Rokiri)</t>
  </si>
  <si>
    <t>Ir. Bambang Bintarto, M.T.</t>
  </si>
  <si>
    <t>https://drive.google.com/file/d/1tkP1JKvWTRI9WJ27Nvtok-8LoFlQsq41/view?usp=sharing</t>
  </si>
  <si>
    <t>Sabar, Tiung, Berkah GGR Study Services and NGMK Reservoir Study Services</t>
  </si>
  <si>
    <t>https://drive.google.com/file/d/1oPzo53W3k7zzTdBbMGLYWDs3uWjFL8SU/view?usp=sharing</t>
  </si>
  <si>
    <t>https://drive.google.com/file/d/1IgsyTjN6BtTWVgVCm_ApguqmKjR7t2X9/view?usp=sharing</t>
  </si>
  <si>
    <t>Perjanjian Kinerja TM - FTM 2021</t>
  </si>
  <si>
    <t>Perjanjian Kinerja TM - FTM 2022</t>
  </si>
  <si>
    <t>Perjanjian Kinerja TM - FTM 2023</t>
  </si>
  <si>
    <t>Dokumen Rencana Pengembangan Dosen</t>
  </si>
  <si>
    <t>https://drive.google.com/drive/folders/1vrO4ujTsgk-ULwiI-9z_T5YC-o7mfk39?usp=sharing</t>
  </si>
  <si>
    <t xml:space="preserve">Sasaran dan Evaluasi Kinerja Dosen </t>
  </si>
  <si>
    <t>https://drive.google.com/file/d/1n9_Yt2gois0C38_IdRkzwoGfOlKfOIXW/view?usp=sharing</t>
  </si>
  <si>
    <t>Magmatisme Gunungapi dan Identifikasi Panasbumi Menggunakan Metode ADMT di Gunung Lamongan, Lumajang, Jawa Timur</t>
  </si>
  <si>
    <t>https://drive.google.com/file/d/16LCDUFRENQYII7aNZgEI0-4zD6gEOhKL/view?usp=sharing</t>
  </si>
  <si>
    <t>Identification of Geothermal System In “Diana” Area, Indonesia Based On Magnetotelluric Data Modelling</t>
  </si>
  <si>
    <t>Rcp Gas Field Development Plan To Fullfill Gas Sales Agreement Plan</t>
  </si>
  <si>
    <t>https://scholar.google.com/citations?hl=id&amp;user=nF-xQlUAAAAJ&amp;view_op=list_works&amp;sortby=pubdate</t>
  </si>
  <si>
    <t>https://drive.google.com/file/d/1snxhGsBvWN8yieFLg5juMloVWTfVZ2-i/view?usp=sharing</t>
  </si>
  <si>
    <t>https://drive.google.com/file/d/1g_JE6c299_Uh1v0jZiVohsKbX0rQkskF/view?usp=sharing</t>
  </si>
  <si>
    <t>Ikatan Ahli Fasilitas Produksi Minyak dan Gas Bumi Indonesia (AFMI)</t>
  </si>
  <si>
    <t>Pelaksanaan Kuliah Umum bagi Mahasiswa Teknik Perminyakan UPN "Veteran" Yogyakarta dengan Tema Fasilitas Produksi Permukaan pada Industri Migas</t>
  </si>
  <si>
    <t>Memberi Wawasan Tambahan bagi Mahasiswa Terkait Kondisi Industri Migas, Khususnya Fasilitas Produksi Permukaan.</t>
  </si>
  <si>
    <t>Pelaksanaan Kuliah Umum bagi Mahasiswa Teknik Perminyakan UPN "Veteran" Yogyakarta dengan Tema Inovasi Drilling pada Industri Hulu Migas</t>
  </si>
  <si>
    <t>Memberi Wawasan Tambahan bagi Mahasiswa Terkait Kondisi Industri Migas, Khususnya Inovasi Drilling pada Industri Hulu Migas</t>
  </si>
  <si>
    <t xml:space="preserve">Rock Flow Dynamics PTE. LTD Nomor: 13/UN62/HK.07.00/2020 </t>
  </si>
  <si>
    <t>Pelaksanaan Workshop Simulasi Reservoir Menggunakan Perangkat Lunak Tnavigator</t>
  </si>
  <si>
    <t>Memberi Wawasan bagi Mahasiswa terkait Simulasi Reservoir Menggunakan Perangkat Lunak Tnavigator</t>
  </si>
  <si>
    <t>National Oilwell Varco</t>
  </si>
  <si>
    <t>Pengadaan Drillbit untuk Laboratorium Peragaan Peralatan Pemboran PSTM UPN "Veteran" Yogyakarta</t>
  </si>
  <si>
    <t>Menunjang dan Memutakhirkan Fasilitas Laboratorium Peragaan Peralatan Pemboran PSTM UPN "Veteran" Yogyakarta</t>
  </si>
  <si>
    <t>18/4/2017</t>
  </si>
  <si>
    <t>18/4/2020</t>
  </si>
  <si>
    <t>15/6/2023</t>
  </si>
  <si>
    <t>15/6/2024</t>
  </si>
  <si>
    <t>Bukti lain yang relevan</t>
  </si>
  <si>
    <t>https://drive.google.com/file/d/1eU7e4JT5fXfHy9T1mUzvw2WwDg4hU_v7/view?usp=sharing</t>
  </si>
  <si>
    <t>https://drive.google.com/file/d/16st0NR6Blao2CMdlw7A2eTPkdnvCQDLo/view?usp=sharing</t>
  </si>
  <si>
    <t>Analisis dan Interpretasi Eksplorasi Air Tanah Desa Ngloro, Kecamatan Saptosari, Gunungkidul, Yogyakarta</t>
  </si>
  <si>
    <t>Dr. Ir. Yatini, M.Si.</t>
  </si>
  <si>
    <t>https://drive.google.com/file/d/1qLn02iXGi95nlAAzwZ8bUERYqSA3ZbPW/view?usp=sharing</t>
  </si>
  <si>
    <t>Nama Dosen Industri/Praktisi</t>
  </si>
  <si>
    <t>NIDK</t>
  </si>
  <si>
    <t>Perusahaan/ Industri</t>
  </si>
  <si>
    <t>Pendidikan Tertinggi</t>
  </si>
  <si>
    <t>Sertifikat Profesi/ Kompetensi/ Industri</t>
  </si>
  <si>
    <t>Mata Kuliah yang Diampu</t>
  </si>
  <si>
    <t>Bobot Kredit (sks)</t>
  </si>
  <si>
    <t>Affar Mbai, S.T., M.Sc.</t>
  </si>
  <si>
    <t>RH Petrogas Ltd.</t>
  </si>
  <si>
    <t>Pengantar Teknik Perminyakan dan Panasbumi</t>
  </si>
  <si>
    <t>Pengelolaan Lapangan Migas - Pabum</t>
  </si>
  <si>
    <t>Plan of Development</t>
  </si>
  <si>
    <t>Luky A. Yusgiantoro, B.Sc., M.Sc., Ph.D</t>
  </si>
  <si>
    <t>SKK Migas</t>
  </si>
  <si>
    <t>Teknik Gas Bumi</t>
  </si>
  <si>
    <t>Pengelolaan Industri Migas - Pabum</t>
  </si>
  <si>
    <t>Manajemen Reservoir Migas</t>
  </si>
  <si>
    <t>https://drive.google.com/drive/folders/1wMw20y1Iw6rxtybe34qqMkODWUZqZQ_9?usp=sharing</t>
  </si>
  <si>
    <t>https://drive.google.com/file/d/1M5gXj3ijZtU6_ty56JJhv6eiRWniiWyV/view?usp=sharing</t>
  </si>
  <si>
    <t>https://drive.google.com/file/d/1zy_4pUNEpt2sTF-xkCdD_h7cvnVSNqwe/view?usp=sharing</t>
  </si>
  <si>
    <t>A</t>
  </si>
  <si>
    <t>B</t>
  </si>
  <si>
    <t>C</t>
  </si>
  <si>
    <t>Keterlibatan pemangku kepentingan dalam proses evaluasi dan pemutakhiran kurikulum.</t>
  </si>
  <si>
    <t>Ketepatan struktur kurikulum dalam pembentukan capaian pembelajaran.</t>
  </si>
  <si>
    <t>https://drive.google.com/drive/folders/1JMEJ77MKGK2QEbMZV_BXEzW7n5lWTvvV?usp=sharing</t>
  </si>
  <si>
    <t>Kesesuaian capaian pembelajaran dengan profil lulusan dan jenjang KKNI/SKKNI.</t>
  </si>
  <si>
    <t>Pemenuhan karakteristik proses pembelajaran, yang terdiri atas sifat: 1) interaktif, 2) holistik, 3) integratif, 4) saintifik, 5) kontekstual, 6) tematik, 7) efektif, 8) kolaboratif, dan 9) berpusat pada mahasiswa.</t>
  </si>
  <si>
    <t>https://drive.google.com/drive/folders/1MDrFLoqA5CtjmAdlCZfFNvmhKmqrIxoH?usp=sharing</t>
  </si>
  <si>
    <t>Kedalaman dan keluasan RPS sesuai dengan capaian pembelajaran lulusan.</t>
  </si>
  <si>
    <t>Ketersediaan dan kelengkapan dokumen rencana pembelajaran semester (RPS)</t>
  </si>
  <si>
    <t>https://drive.google.com/drive/folders/1QSenJ2DnsR8jLvuk5ozmESnTolvLuDd-?usp=sharing</t>
  </si>
  <si>
    <t>D</t>
  </si>
  <si>
    <t>E</t>
  </si>
  <si>
    <t>Bentuk interaksi antara dosen, mahasiswa, dan sumber belajar.
Ada narasi pelaksanaan pembelajaran dalam bentuk interaksi dosen-mahasiswa-sumber belajar dalam lingkungan belajar online maupun offline.</t>
  </si>
  <si>
    <t>Pemantauan kesesuaian proses terhadap rencana pembelajaran.
Ada sistem dan pelaksanaan monitoring proses pembelajaran untuk terjaminnya kesesuaian dengan RPS. Misalnya, monitoring kehadiran mahasiswa dilakukan melalui alur secara bertahap (mengisi kehadiran, diinput oleh prodi, dilaporkan ke fakultas). Demikian pula monitoring kehadiran dosen, monitoring perkuliahan dan materi kuliah melalui daftar hadir mahasiswa dan dosen, berita acara perkuliahan.</t>
  </si>
  <si>
    <t>Ada informasi berupa narasi dalam LED dan tabulasi dalam LKPS tentang proses pembelajaran terkait penelitian yang mengacu kepada SNPT Penelitian: hasil memenuhi pengembangan ipteks, isi memenuhi kedalaman, proses mencakup perencanaan, pelaksanaan, pelaporan, penilaian memenuhi unsur edukatif sampai transparan.</t>
  </si>
  <si>
    <t>Ada informasi berupa narasi dalam LED dan tabulasi dalam LKPS tentang proses pembelajaran terkait PkM mengacu kepada SNPT PkM: hasil, isi, proses, dan penilaian seperti proses pembelajaran terkait penelitian.</t>
  </si>
  <si>
    <t>Kesesuaian metode pembelajarn dengan capaian pembelajaran (RBE dsb). Ada narasi tentang proses pembelajaran berbasis project semisal POD.</t>
  </si>
  <si>
    <t>https://drive.google.com/drive/folders/1ymDwcGXLnzh7f5RTjyZyMDQ3WoTXO0v7?usp=sharing</t>
  </si>
  <si>
    <r>
      <rPr>
        <b/>
        <u/>
        <sz val="11"/>
        <color theme="10"/>
        <rFont val="Calibri"/>
        <family val="2"/>
        <scheme val="minor"/>
      </rPr>
      <t>RPS KURIKULUM:</t>
    </r>
    <r>
      <rPr>
        <u/>
        <sz val="11"/>
        <color theme="10"/>
        <rFont val="Calibri"/>
        <family val="2"/>
        <scheme val="minor"/>
      </rPr>
      <t xml:space="preserve">
https://drive.google.com/drive/folders/1S9wCvsCUXsv5Hq4_6_XPO0E1Gw2bpP1e?usp=sharing</t>
    </r>
  </si>
  <si>
    <t>PELAKSANAAN PROSES PEMBELAJARAN</t>
  </si>
  <si>
    <t>https://drive.google.com/drive/folders/1EcGj9dHZw1qjM2xjWBWpbJUiuQom7k_t?usp=sharing</t>
  </si>
  <si>
    <t>Monitoring dan Evaluasi Proses Pembelajaran</t>
  </si>
  <si>
    <t>https://drive.google.com/drive/folders/1xh_Rhm14aPhfWtbslxa2UM95VxCYhXR9?usp=sharing</t>
  </si>
  <si>
    <t>Mutu pelaksanaan penilaian pembelajaran.</t>
  </si>
  <si>
    <t>Pelaksanaan penilaian terdiri atas teknik dan instrumen penilaian.</t>
  </si>
  <si>
    <t>Pelaksanaan penilaian memuat unsur-unsur: kontrak rencana penelitian, penilaian sesuai kontrak, umpan balik, dokumentasi yang baik, prosedur mulai perencanaan sampai pemberian nilai akhir, pelaporan, proses perbaikan.</t>
  </si>
  <si>
    <t>https://drive.google.com/drive/folders/1n-qtLwtzIXciZIDLBFIQGqg32rjFqJ7U?usp=sharing</t>
  </si>
  <si>
    <t>https://drive.google.com/drive/folders/1esjmAQp7rJrg6oqTWKOT4uIy5-0Lm3ap?usp=sharing</t>
  </si>
  <si>
    <t>https://drive.google.com/drive/folders/1bPQxpCl4NoUgrm4ceNJZ9xxH0bivuj8C?usp=sharing</t>
  </si>
  <si>
    <t>https://drive.google.com/drive/folders/1l03u0_fsYylPj1XocDHQAzqvPo6w4fPc?usp=sharing</t>
  </si>
  <si>
    <t>https://drive.google.com/drive/folders/1emRfBvJsHQLld_i6vSX6J9TpzDQ3JrTa?usp=sharing</t>
  </si>
  <si>
    <t>Keterlaksanaan dan keberkalaan program dan kegiatan diluar kegiatan pembelajaran terstruktur untuk meningkatkan suasana akademik</t>
  </si>
  <si>
    <t>https://drive.google.com/drive/folders/1RfLJrBa6VIdDXEeC6nKHLAbBQbfT-mxr?usp=sharing</t>
  </si>
  <si>
    <t>https://drive.google.com/drive/folders/1zfA6flNwL2LrvqSk2aPNPAed3DI1eblS?usp=sharing</t>
  </si>
  <si>
    <t>Kondisi eksternal secara global terkait isu transisi energi</t>
  </si>
  <si>
    <t>Tanggapan/Tindaklanjut</t>
  </si>
  <si>
    <t>Hasil Review</t>
  </si>
  <si>
    <r>
      <t xml:space="preserve">1. FTM UPN "Veteran" Yogyakarta mengakomodir isu transisi energi dengan pembukaan Program Studi baru yang telah direncanakan pada </t>
    </r>
    <r>
      <rPr>
        <b/>
        <sz val="11"/>
        <rFont val="Calibri"/>
        <family val="2"/>
        <scheme val="minor"/>
      </rPr>
      <t>Renstra FTM tahun 2022 - 2024</t>
    </r>
    <r>
      <rPr>
        <sz val="11"/>
        <rFont val="Calibri"/>
        <family val="2"/>
        <scheme val="minor"/>
      </rPr>
      <t>. Program Studi baru tersebut adalah: Prodi Sarjana Geothermal (2024); Prodi Sarjana Pengelolaan Sumber Daya Air (2024); dan Prodi Magister Energi (2024).</t>
    </r>
  </si>
  <si>
    <t>2. PSTM UPN "Veteran" Yogyakarta mengakomodir isu transisi energi melalui matakuliah konsentrasi Panasbumi pada tiap Kelompok Bidang Kompetensi (KBK).</t>
  </si>
  <si>
    <t>3. PSTM UPN "Veteran" Yogyakarta mengakomodir perkembangan teknologi melalui matakuliah Artificial Intelligence (AI).</t>
  </si>
  <si>
    <t>4. PSTM PSTM UPN "Veteran" Yogyakarta mengakomodir isu reservoir non-konvensional melalui matakuliah Eksploitasi Reservoir Non-Konvensional.</t>
  </si>
  <si>
    <t>5. PSTM PSTM UPN "Veteran" Yogyakarta mengakomodir perkembangan CCS-CCUS melalui materi pembahasan pada matakuliah Enhanced Oil Recovery (EOR)</t>
  </si>
  <si>
    <t>https://drive.google.com/drive/folders/1BXwaOjqV45SSU2XpjIaFCiCRuVsypETx?usp=sharing</t>
  </si>
  <si>
    <t xml:space="preserve">M. Akram </t>
  </si>
  <si>
    <t>https://drive.google.com/drive/folders/1njOpm70veEvf4m7j1GNzGUP6qQyEQeIN?usp=sharing</t>
  </si>
  <si>
    <t>https://drive.google.com/drive/folders/19woARmkvSncHf3A_HjRuq1Jh9wS2VDuk?usp=sharing</t>
  </si>
  <si>
    <t>Pekan Olahraga, Seni, dan Ilmiah Mahasiswa Nasional Widya Mwat Yasa Cabang Bulutangkis Tunggal Putri; Nama Mahasiswa: Faraz F. Fauziyah</t>
  </si>
  <si>
    <t>https://drive.google.com/file/d/1qxfbgKy_bJlCtfj9hNrx6JN3vFHPJmT-/view?usp=sharing</t>
  </si>
  <si>
    <t>Renstra Penelitian LPPM UPN "Veteran" Yogyakarta</t>
  </si>
  <si>
    <t>Renstra PkM LPPM UPN "Veteran" Yogyakarta</t>
  </si>
  <si>
    <t>https://drive.google.com/drive/folders/1OflJwmgdRXRHWwhg8TTjqR9z6ljvBKO1?usp=sharing</t>
  </si>
  <si>
    <t>https://drive.google.com/drive/folders/12OYqNqjZ-vrKGZ2e75LVnFmGIx1SOAA_?usp=sharing</t>
  </si>
  <si>
    <t>https://drive.google.com/drive/folders/1N-25mvq6_IxOlWI0TCdikR06GphGBf5s?usp=sharing</t>
  </si>
  <si>
    <t>QMS41078</t>
  </si>
  <si>
    <t>16/2/2021</t>
  </si>
  <si>
    <t>https://drive.google.com/drive/folders/1X3kuH752rURExPhkO4TLn9dwEbYQoEoM?usp=sharing</t>
  </si>
  <si>
    <t>Pengakuan Mutu Internasional - 
ISO 9001:2015</t>
  </si>
  <si>
    <t>1130382 (Perilaku Reservoir)</t>
  </si>
  <si>
    <t>1130332 (Teknik Produksi Pabum)</t>
  </si>
  <si>
    <t>1130572 (Pengolahan Data Lapangan)</t>
  </si>
  <si>
    <t>1130522 (Pengelolaan Industri Migas-Pabum (PIMP)</t>
  </si>
  <si>
    <t>1130442 (Penanganan Produksi di Permukaan</t>
  </si>
  <si>
    <t>1130402 (Pemodelan Simulasi Reservoir</t>
  </si>
  <si>
    <t>1130432 (Kerja Ulang dan Stimulasi)</t>
  </si>
  <si>
    <t>1130322 (Teknik Produksi Sembur Buatan - Artificial Lift)</t>
  </si>
  <si>
    <t>Rekap MBKM</t>
  </si>
  <si>
    <t>Assisten Mengajar</t>
  </si>
  <si>
    <t>KKN Tematik</t>
  </si>
  <si>
    <t>Jumlah Mahasiswa yang Mengikuti</t>
  </si>
  <si>
    <t>19 Mahasiswa</t>
  </si>
  <si>
    <t>1  Mahasiswa</t>
  </si>
  <si>
    <t>1 Mahasiswa</t>
  </si>
  <si>
    <t>12 Mahasiswa</t>
  </si>
  <si>
    <t>20 Mahasiswa</t>
  </si>
  <si>
    <t>https://drive.google.com/drive/folders/10uR3o92BgJeZKMoGyTex2LmdUO81UL2m?usp=sharing</t>
  </si>
  <si>
    <t>OCEANO 2022 - Institut Teknologi Sepuluh November - Oil Rig Desain Competition; Nama Mahasiswa: Bima E. Pratama, Listya Cahya R., Syafrin Kulsum A., Paskalis louis dan Muhammad Yusrin</t>
  </si>
  <si>
    <t>https://drive.google.com/file/d/1nDkfhVQmtojuSnuAf5VTqUxLNM07MeyU/view?usp=sharing</t>
  </si>
  <si>
    <t>IPA CONVEX - Petronas - Smart Competition; Nama Mahasiswa: Michael Hebron dan Ahmad Zayd</t>
  </si>
  <si>
    <t>Nama Sheet</t>
  </si>
  <si>
    <t>Kebijakan</t>
  </si>
  <si>
    <t>Daftar Program Studi</t>
  </si>
  <si>
    <t>Kondisi Eksternal</t>
  </si>
  <si>
    <t>No. Butir</t>
  </si>
  <si>
    <t>Kesesuaian VMTS: PT, UPPS dan PS</t>
  </si>
  <si>
    <t>Survey Pemahaman VMTS PSTM</t>
  </si>
  <si>
    <t>Penyusunan/Perubahan VMTS PSTM</t>
  </si>
  <si>
    <t>Pemahamanan VSTM PSTM</t>
  </si>
  <si>
    <t>Kerjasama Pendidikan</t>
  </si>
  <si>
    <t>Kerjasama Penelitian</t>
  </si>
  <si>
    <t>Kerjasama PkM</t>
  </si>
  <si>
    <t>&lt;&lt;&lt; Daftar Sheet</t>
  </si>
  <si>
    <t>Seleksi Mahasiswa</t>
  </si>
  <si>
    <t>Peningkatan Animo Calon Mahasiswa</t>
  </si>
  <si>
    <t>Layanan Beasiswa Mahasiswa</t>
  </si>
  <si>
    <t>15A</t>
  </si>
  <si>
    <t>15B</t>
  </si>
  <si>
    <t>Data DTPS</t>
  </si>
  <si>
    <t>Pembimbingan Tugas Akhir Mahasiswa</t>
  </si>
  <si>
    <t>Ekuivalensi Waktu Mengajar Penuh</t>
  </si>
  <si>
    <t>Data DTTPS</t>
  </si>
  <si>
    <t>Dosen Industri/Praktisi</t>
  </si>
  <si>
    <t>Rekognisi Dosen</t>
  </si>
  <si>
    <t>Daftar Penelitian Dosen</t>
  </si>
  <si>
    <t>Daftar PkM Dosen</t>
  </si>
  <si>
    <t>Publikasi Dosen</t>
  </si>
  <si>
    <t>Sitasi Dosen</t>
  </si>
  <si>
    <t>Luaran Dosen</t>
  </si>
  <si>
    <t>Pengembangan Dosen</t>
  </si>
  <si>
    <t>Tenaga Kependidikan</t>
  </si>
  <si>
    <t>Keuangan Operasional Pendidikan</t>
  </si>
  <si>
    <t>Keuangan Penelitian Dosen</t>
  </si>
  <si>
    <t>Keuangan PkM Dosen</t>
  </si>
  <si>
    <t>Realisasi Investasi</t>
  </si>
  <si>
    <t>Realisasi investasi (SDM, sarana dan prasarana) yang mendukung penyelenggaraan tridharma.</t>
  </si>
  <si>
    <t>https://drive.google.com/drive/folders/1qzXYHB7sBtEzYmvLrO8K1UnNRWydvdUd?usp=sharing</t>
  </si>
  <si>
    <t>Kecukupan Dana ntuk menjamin pencapaian capaian pembelajaran.</t>
  </si>
  <si>
    <t xml:space="preserve">Kecukupan Dana </t>
  </si>
  <si>
    <t>Kurikulum</t>
  </si>
  <si>
    <t>Karakteristik Pembelajaran</t>
  </si>
  <si>
    <t>Rencana Proses Pembelajaran</t>
  </si>
  <si>
    <t>Pelaksanaan Pembelajaran</t>
  </si>
  <si>
    <t>RPS Kurikulum</t>
  </si>
  <si>
    <t>Monev Proses Pembelajaran</t>
  </si>
  <si>
    <t>Penilaian Pembelajaran</t>
  </si>
  <si>
    <t>Matakuliah Basic Science</t>
  </si>
  <si>
    <t>Matakuliah Capstone Design</t>
  </si>
  <si>
    <t>Distribusi Pembimbingan TA Mahasiswa</t>
  </si>
  <si>
    <t>Program MBKM</t>
  </si>
  <si>
    <t>Mahasiswa Peserta MBKM</t>
  </si>
  <si>
    <t>Integrasi Penelitian dan PkM ke Matakuliah</t>
  </si>
  <si>
    <t>Susana Akademik</t>
  </si>
  <si>
    <t>Kepuasan Mahasiswa</t>
  </si>
  <si>
    <t>Roadmap Penelitian</t>
  </si>
  <si>
    <t>Daftar Penelitian Dosen Melibatkan Mahasiswa</t>
  </si>
  <si>
    <t>Roadmap PkM</t>
  </si>
  <si>
    <t>Daftar PkM Dosen Melibatkan Mahasiswa</t>
  </si>
  <si>
    <t>IPK Mahasiswa</t>
  </si>
  <si>
    <t>Prestasi Akademik Mahasiswa</t>
  </si>
  <si>
    <t>Prestasi Non-Akademik Mahasiswa</t>
  </si>
  <si>
    <t>58, 59, &amp; 60</t>
  </si>
  <si>
    <t>Masa Studi Lulusan</t>
  </si>
  <si>
    <t>Waktu Tunggu Lulusan</t>
  </si>
  <si>
    <t>Tracer Study</t>
  </si>
  <si>
    <t>Kesesuaian Bidang Kerja Lulusan</t>
  </si>
  <si>
    <t>Tempat Kerja Lulusan</t>
  </si>
  <si>
    <t>Kepuasan Pengguna Lulusan</t>
  </si>
  <si>
    <t>Publikasi Ilmiah Mahasiswa</t>
  </si>
  <si>
    <t>Luaran Mahasiswa</t>
  </si>
  <si>
    <t>Penjaminan Mutu</t>
  </si>
  <si>
    <t>Dokumen SPMI</t>
  </si>
  <si>
    <t>Survey Kepuasan Pemangku Kepentingan</t>
  </si>
  <si>
    <t>Survey Kepuasan Stakeholder</t>
  </si>
  <si>
    <t>https://drive.google.com/file/d/1oojt0jSFymDHcQXeFU4fuoQqhaS87pnY/view?usp=sharing</t>
  </si>
  <si>
    <t>Layanan Nalar, Minat, Bakat Mahasiswa, dan Layanan Kesehatan</t>
  </si>
  <si>
    <t>PT. Sele Raya Merangin Dua, Nomor: 001/SRMD-SWK/2020</t>
  </si>
  <si>
    <t>Pelaksanaan Penelitian Dosen PSTM UPN "Veteran" Yogyakarta: "GGR Study of Tampi Field for Optimization Development"</t>
  </si>
  <si>
    <t>https://drive.google.com/file/d/1sFEP1yrN5gmXwOz5ZnZucWF2ZPlLNmYu/view?usp=sharing</t>
  </si>
  <si>
    <t>https://drive.google.com/file/d/1BcFPwnAnDs8yuASQsFR8hWmtZBVv0I_7/view?usp=sharing</t>
  </si>
  <si>
    <t>Genting Oil Kasuri Pte. Ltd.; Nomor: 010/OUD/DP/GOKPL/2020</t>
  </si>
  <si>
    <t>Jindi South Jambi Co. Ltd.; Nomor: 001/JSJB-SWK/2021</t>
  </si>
  <si>
    <t>Pelaksanaan PkM Dosen PSTM UPN "Veteran" Yogyakarta melalui kegiatan studi ilmiah sesuai kepakaran sebagai konsultan; Rekognisi Dosen PSTM UPN "Veteran" Yogyakarta oleh Institusi/Lembaga/Universitas Luar Perguruan Tinggi</t>
  </si>
  <si>
    <t>Pelaksanaan Studi Optimasi POD I Lapangan Asap, Kido, dan Merah &amp; Studi Lokasi Alternatif Kilang Petrokimia di Luar Daerah Onar</t>
  </si>
  <si>
    <t>Pelaksnaan Studi GGR POD Bungin, Bungkal, Rayun (Non Subsurface)</t>
  </si>
  <si>
    <t>https://drive.google.com/file/d/12o_inEbDiXf3qvku_HGx3kfOU0OyGomp/view?usp=sharing</t>
  </si>
  <si>
    <t>Gold Award</t>
  </si>
  <si>
    <t>Paduan Suara Internasional; Nama Mahasiswa: Ilham Maulana - Vocalista Paradiso UPN "Veteran" Yogyakarta</t>
  </si>
  <si>
    <t>https://drive.google.com/file/d/12vhCTxMvDTDPgj7c7pWACuiGBuVlWQQ0/view?usp=sharing</t>
  </si>
  <si>
    <t>https://drive.google.com/file/d/1mtHA4LUblYU6TwqNcqDLhsV3bdj602L_/view?usp=sharing</t>
  </si>
  <si>
    <t>https://drive.google.com/file/d/13w6cNB86GPDH38QP6W-MkV3Vb5dRA3uw/view?usp=sharing</t>
  </si>
  <si>
    <t>Perjanjian Kinerja Rektor UPNVYk dengan Direktur Jenderal Pendidikan Tinggi, Riset dan Teknologi</t>
  </si>
  <si>
    <t>Rektor UPNVYk dan Direktur Jenderal Pendidikan Tinggi, Riset dan Teknologi</t>
  </si>
  <si>
    <t>https://drive.google.com/file/d/1bh_DKp9dPqBsn4RFP62UI4lBHadxVa3m/view?usp=sharing</t>
  </si>
  <si>
    <t>https://drive.google.com/file/d/1SEMSDySq-UKsuCFTMDcImllwV35L3xWx/view?usp=sharing</t>
  </si>
  <si>
    <t>https://drive.google.com/file/d/1ZripwQ0Wx12JD-pRK7U-TEqrRmLQYGrH/view?usp=sharing</t>
  </si>
  <si>
    <t>Bidang Keahlian: Enhanced Oil Recovery (EOR); Kegaiatan: Narasumber dalam "Chemical EOR from Laboratory to Implementation" - Pertamina EP Zona 4</t>
  </si>
  <si>
    <t>Surat Permohonan Sr. Manager - Pertamina EP Zona 4</t>
  </si>
  <si>
    <t>Bidang Keahlian: Enhanced Oil Recovery (EOR); Kegiatan: Juri Festival EOR Industri Migas Nasional 2022</t>
  </si>
  <si>
    <t>Surat Permohonan Izin - LEMIGAS</t>
  </si>
  <si>
    <t>Bidang Keahlian: Enhanced Oil Recovery (EOR); Kegiatan: Narasumber dalam "Festival EOR Industri Migas Nasional 2022"</t>
  </si>
  <si>
    <t>Bidang Keahlian: Enhanced Oil Recovery (EOR); Kegiatan: Reviewer Manuscript pada Jurnal "Petroleum Science and Technology"</t>
  </si>
  <si>
    <t>Reviewer Invitation - Petroleum Science and Technology</t>
  </si>
  <si>
    <t>Bidang Keahlian: Enhanced Oil Recovery (EOR); Kegiatan: Pembicara dalam Seminar "EOR: Theory and Practice" - Prodi Geofisika UNPAD</t>
  </si>
  <si>
    <t>Surat Permohonan dan Sertifikat Prodi Geofisika, Fakultas MIPA - UNPAD</t>
  </si>
  <si>
    <t>Bidang Keahlian: Teknik Produksi Migas; Kegiatan: Asesor BAN PT</t>
  </si>
  <si>
    <t>Sertifikat BAN PT</t>
  </si>
  <si>
    <t>Bidang Keahlian: Teknik Produksi Migas; Kegiatan: Asesor LAMTeknik Prodi Teknik Perminyakan</t>
  </si>
  <si>
    <t>Sertifikat LAMTeknik</t>
  </si>
  <si>
    <t>Bidang Keahlian: Enhanced Oil Recovery (EOR); Kegiatan: Juri Festival EOR Industri Migas Nasional</t>
  </si>
  <si>
    <t>Surat Permohonan LEMIGAS</t>
  </si>
  <si>
    <t>Bidang Keahlian: Teknik Produksi Migas; Kegiatan: Pembimbing Prodi Doktor Teknik Perminyakan - Institut Teknologi Bandung</t>
  </si>
  <si>
    <t>visiting lecturer atau visiting scholar</t>
  </si>
  <si>
    <t>SK Dekan Sekolah Pascasarjana ITB</t>
  </si>
  <si>
    <t>Bidang Keahlian: Teknik Produksi Migas; Kegiatan: Pemateri dalam "Bimtek Penyusunan Naskah Dokumen Akreditasi LAMTeknik" - STT Migas Balikpapan</t>
  </si>
  <si>
    <t>Sertifikat STT Migas Balikpapan</t>
  </si>
  <si>
    <t>Bidang Keahlian: Teknik Reservoir Migas; Kegiatan: Mitra Bestari Jurnal Bhara Petro Energi</t>
  </si>
  <si>
    <t>Tangkapan Layar Web Jurnal Bhara Petro Energi - Fakultas Teknik, Universitas Bhayangkara Jakarta Raya</t>
  </si>
  <si>
    <t>Bidang Keahlian: Teknik Reservoir Migas; Kegiatan: Editor Jurnal Penelitian dan Karya Ilmiah Lembaga Penelitian Universitas Trisakti</t>
  </si>
  <si>
    <t>Tangkapan Layar Web Jurnal Penelitian dan Karya Ilmiah - Universitas Trisakti</t>
  </si>
  <si>
    <t>SK Dekan Sekolah Pasca Sarjana ITB</t>
  </si>
  <si>
    <t>Penyusun Soal Uji Pengetahuan - Uji Kompetensi Mahasiswa Pendidikan Profesi Guru - Universitas Negeri Yogyakarta</t>
  </si>
  <si>
    <t>Surat Undangan - Universitas Negeri Yogyakarta</t>
  </si>
  <si>
    <t>Pereviu Eksternal Soal Uji Pengetahuan - Uji Kompetensi Mahasiswa Pendidikan Profesi Guru - Universitas Negeri Yogyakarta</t>
  </si>
  <si>
    <t>Bidang Keahlian: Teknik Reservoir Migas; Kegiatan: Peer Reviewer/Mitra Bestari pada Jurnal "Scientific Contributions Oil &amp; Gas - LEMIGAS"</t>
  </si>
  <si>
    <t>Bidang Keahlian: Teknik Reservoir Panasbumi; Kegiatan: Dosen Konsultan dalam "Studi Kelayakan Teknis dan Finansial Pemanfaatan Fluida Sumur ULB-03 untuk Pembangkit Listrik di PLTP Ulumbu</t>
  </si>
  <si>
    <t>https://drive.google.com/drive/folders/1vDKynD2ClKcG-M7Dt3rKyrmVA-ZP5BZ0?usp=sharing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</si>
</sst>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Rp&quot;* #,##0.00_-;\-&quot;Rp&quot;* #,##0.00_-;_-&quot;Rp&quot;* &quot;-&quot;??_-;_-@_-"/>
    <numFmt numFmtId="164" formatCode="_(* #,##0.00_);_(* \(#,##0.00\);_(* &quot;-&quot;??_);_(@_)"/>
    <numFmt numFmtId="165" formatCode="d/m/yyyy"/>
    <numFmt numFmtId="166" formatCode="0.0"/>
    <numFmt numFmtId="167" formatCode="[$Rp]#,##0"/>
    <numFmt numFmtId="168" formatCode="_-[$Rp-421]* #,##0.00_-;\-[$Rp-421]* #,##0.00_-;_-[$Rp-421]* &quot;-&quot;??_-;_-@_-"/>
  </numFmts>
  <fonts count="7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0"/>
      <color theme="1"/>
      <name val="Calibri"/>
      <family val="2"/>
    </font>
    <font>
      <b/>
      <sz val="16"/>
      <color theme="1"/>
      <name val="Arial"/>
      <family val="2"/>
    </font>
    <font>
      <b/>
      <sz val="11"/>
      <color theme="1"/>
      <name val="Arial"/>
      <family val="2"/>
    </font>
    <font>
      <b/>
      <sz val="11"/>
      <name val="Arial"/>
      <family val="2"/>
    </font>
    <font>
      <b/>
      <i/>
      <sz val="11"/>
      <name val="Arial"/>
      <family val="2"/>
    </font>
    <font>
      <sz val="11"/>
      <color theme="1"/>
      <name val="Arial"/>
      <family val="2"/>
    </font>
    <font>
      <sz val="11"/>
      <name val="Calibri"/>
      <family val="2"/>
      <scheme val="minor"/>
    </font>
    <font>
      <b/>
      <sz val="11"/>
      <color theme="1"/>
      <name val="Calibri"/>
      <family val="2"/>
      <charset val="1"/>
    </font>
    <font>
      <b/>
      <sz val="11"/>
      <color theme="1"/>
      <name val="Calibri"/>
      <family val="2"/>
      <charset val="1"/>
      <scheme val="minor"/>
    </font>
    <font>
      <b/>
      <sz val="14"/>
      <color theme="1"/>
      <name val="Calibri"/>
      <family val="2"/>
      <charset val="1"/>
    </font>
    <font>
      <sz val="12"/>
      <color theme="1"/>
      <name val="Calibri"/>
      <family val="2"/>
    </font>
    <font>
      <sz val="12"/>
      <color theme="1"/>
      <name val="Calibri"/>
      <family val="2"/>
      <scheme val="minor"/>
    </font>
    <font>
      <sz val="11"/>
      <color theme="1"/>
      <name val="Calibri"/>
      <family val="2"/>
    </font>
    <font>
      <sz val="12"/>
      <color rgb="FF000000"/>
      <name val="Calibri"/>
      <family val="2"/>
    </font>
    <font>
      <u/>
      <sz val="12"/>
      <color theme="10"/>
      <name val="Calibri"/>
      <family val="2"/>
      <scheme val="minor"/>
    </font>
    <font>
      <sz val="12"/>
      <name val="Calibri"/>
      <family val="2"/>
      <scheme val="minor"/>
    </font>
    <font>
      <b/>
      <sz val="14"/>
      <color theme="1"/>
      <name val="Calibri"/>
      <family val="2"/>
      <scheme val="minor"/>
    </font>
    <font>
      <sz val="12"/>
      <color rgb="FF000000"/>
      <name val="Times New Roman"/>
      <family val="1"/>
    </font>
    <font>
      <sz val="12"/>
      <color theme="1"/>
      <name val="Times New Roman"/>
      <family val="1"/>
    </font>
    <font>
      <sz val="12"/>
      <color rgb="FF222222"/>
      <name val="Calibri"/>
      <family val="2"/>
      <scheme val="minor"/>
    </font>
    <font>
      <sz val="12"/>
      <color rgb="FF111111"/>
      <name val="Times New Roman"/>
      <family val="1"/>
    </font>
    <font>
      <sz val="12"/>
      <color rgb="FF222222"/>
      <name val="Times New Roman"/>
      <family val="1"/>
    </font>
    <font>
      <sz val="12"/>
      <color rgb="FF333333"/>
      <name val="Times New Roman"/>
      <family val="1"/>
    </font>
    <font>
      <sz val="12"/>
      <color rgb="FF000000"/>
      <name val="Calibri"/>
      <family val="2"/>
      <scheme val="minor"/>
    </font>
    <font>
      <sz val="11"/>
      <color theme="10"/>
      <name val="Calibri"/>
      <family val="2"/>
      <scheme val="minor"/>
    </font>
    <font>
      <sz val="12"/>
      <color rgb="FF2E2E2E"/>
      <name val="Calibri"/>
      <family val="2"/>
      <scheme val="minor"/>
    </font>
    <font>
      <sz val="12"/>
      <color rgb="FF111111"/>
      <name val="Calibri"/>
      <family val="2"/>
      <scheme val="minor"/>
    </font>
    <font>
      <sz val="12"/>
      <color theme="1"/>
      <name val="Calibri"/>
      <family val="2"/>
      <charset val="1"/>
    </font>
    <font>
      <i/>
      <sz val="12"/>
      <color rgb="FF000000"/>
      <name val="Times New Roman"/>
      <family val="1"/>
    </font>
    <font>
      <vertAlign val="subscript"/>
      <sz val="12"/>
      <color rgb="FF000000"/>
      <name val="Times New Roman"/>
      <family val="1"/>
    </font>
    <font>
      <sz val="12"/>
      <color rgb="FF333333"/>
      <name val="Calibri"/>
      <family val="2"/>
      <scheme val="minor"/>
    </font>
    <font>
      <b/>
      <sz val="12"/>
      <color theme="1"/>
      <name val="Arial"/>
      <family val="2"/>
    </font>
    <font>
      <sz val="11"/>
      <name val="Calibri"/>
      <family val="2"/>
    </font>
    <font>
      <b/>
      <u/>
      <sz val="11"/>
      <color theme="10"/>
      <name val="Calibri"/>
      <family val="2"/>
      <scheme val="minor"/>
    </font>
    <font>
      <b/>
      <sz val="10"/>
      <color theme="1"/>
      <name val="Calibri"/>
      <family val="2"/>
    </font>
    <font>
      <b/>
      <i/>
      <sz val="10"/>
      <color theme="1"/>
      <name val="Calibri"/>
      <family val="2"/>
    </font>
    <font>
      <b/>
      <sz val="10"/>
      <name val="Calibri"/>
      <family val="2"/>
      <scheme val="minor"/>
    </font>
    <font>
      <sz val="11"/>
      <color rgb="FFFF0000"/>
      <name val="Calibri"/>
      <family val="2"/>
      <scheme val="minor"/>
    </font>
    <font>
      <sz val="11"/>
      <name val="Arial"/>
      <family val="2"/>
    </font>
    <font>
      <b/>
      <sz val="11"/>
      <color theme="1"/>
      <name val="Calibri"/>
      <family val="2"/>
    </font>
    <font>
      <sz val="11"/>
      <color rgb="FF000000"/>
      <name val="Calibri"/>
      <family val="2"/>
      <scheme val="minor"/>
    </font>
    <font>
      <sz val="11"/>
      <color rgb="FF000000"/>
      <name val="Calibri"/>
      <family val="2"/>
    </font>
    <font>
      <b/>
      <sz val="10"/>
      <color theme="1"/>
      <name val="Arial"/>
      <family val="2"/>
    </font>
    <font>
      <sz val="10"/>
      <color theme="1"/>
      <name val="Arial"/>
      <family val="2"/>
    </font>
    <font>
      <sz val="10"/>
      <color rgb="FF000000"/>
      <name val="Arial"/>
      <family val="2"/>
    </font>
    <font>
      <sz val="10"/>
      <name val="Arial"/>
      <family val="2"/>
    </font>
    <font>
      <u/>
      <sz val="10"/>
      <color theme="10"/>
      <name val="Arial"/>
      <family val="2"/>
    </font>
    <font>
      <sz val="14"/>
      <color theme="1"/>
      <name val="Arial Narrow"/>
      <family val="2"/>
    </font>
    <font>
      <b/>
      <sz val="9"/>
      <color indexed="81"/>
      <name val="Tahoma"/>
      <family val="2"/>
    </font>
    <font>
      <sz val="11"/>
      <color rgb="FF3B3B3B"/>
      <name val="Calibri"/>
      <family val="2"/>
      <scheme val="minor"/>
    </font>
    <font>
      <b/>
      <sz val="12"/>
      <color theme="1"/>
      <name val="Calibri"/>
      <family val="2"/>
      <scheme val="minor"/>
    </font>
    <font>
      <b/>
      <sz val="11"/>
      <name val="Calibri"/>
      <family val="2"/>
    </font>
    <font>
      <b/>
      <sz val="14"/>
      <name val="Calibri"/>
      <family val="2"/>
    </font>
    <font>
      <sz val="12"/>
      <name val="Calibri"/>
      <family val="2"/>
    </font>
    <font>
      <b/>
      <sz val="11"/>
      <name val="Calibri"/>
      <family val="2"/>
      <scheme val="minor"/>
    </font>
    <font>
      <sz val="12"/>
      <color theme="1"/>
      <name val="Arial"/>
      <family val="2"/>
    </font>
    <font>
      <sz val="8"/>
      <name val="Calibri"/>
      <family val="2"/>
      <scheme val="minor"/>
    </font>
    <font>
      <b/>
      <sz val="10"/>
      <color rgb="FF000000"/>
      <name val="Calibri"/>
      <family val="2"/>
    </font>
    <font>
      <sz val="12"/>
      <color rgb="FF222222"/>
      <name val="Arial"/>
      <family val="2"/>
    </font>
    <font>
      <b/>
      <sz val="11"/>
      <color theme="8"/>
      <name val="Calibri"/>
      <family val="2"/>
      <scheme val="minor"/>
    </font>
    <font>
      <sz val="12"/>
      <color rgb="FFFF0000"/>
      <name val="Calibri"/>
      <family val="2"/>
    </font>
    <font>
      <sz val="12"/>
      <color rgb="FFFF0000"/>
      <name val="Calibri"/>
      <family val="2"/>
      <scheme val="minor"/>
    </font>
    <font>
      <b/>
      <sz val="20"/>
      <color theme="1"/>
      <name val="Calibri"/>
      <family val="2"/>
      <scheme val="minor"/>
    </font>
    <font>
      <sz val="20"/>
      <color theme="1"/>
      <name val="Calibri"/>
      <family val="2"/>
      <scheme val="minor"/>
    </font>
    <font>
      <u/>
      <sz val="16"/>
      <color theme="10"/>
      <name val="Calibri"/>
      <family val="2"/>
      <scheme val="minor"/>
    </font>
    <font>
      <u/>
      <sz val="18"/>
      <color theme="10"/>
      <name val="Calibri"/>
      <family val="2"/>
      <scheme val="minor"/>
    </font>
  </fonts>
  <fills count="16">
    <fill>
      <patternFill patternType="none"/>
    </fill>
    <fill>
      <patternFill patternType="gray125"/>
    </fill>
    <fill>
      <patternFill patternType="solid">
        <fgColor theme="8"/>
        <bgColor indexed="64"/>
      </patternFill>
    </fill>
    <fill>
      <patternFill patternType="solid">
        <fgColor rgb="FFFFFF00"/>
        <bgColor indexed="64"/>
      </patternFill>
    </fill>
    <fill>
      <patternFill patternType="solid">
        <fgColor rgb="FFFFFF00"/>
        <bgColor rgb="FFFFFF00"/>
      </patternFill>
    </fill>
    <fill>
      <patternFill patternType="solid">
        <fgColor rgb="FFC2D69B"/>
        <bgColor rgb="FFC2D69B"/>
      </patternFill>
    </fill>
    <fill>
      <patternFill patternType="solid">
        <fgColor theme="0" tint="-0.499984740745262"/>
        <bgColor indexed="64"/>
      </patternFill>
    </fill>
    <fill>
      <patternFill patternType="solid">
        <fgColor rgb="FF8DB3E2"/>
        <bgColor rgb="FF8DB3E2"/>
      </patternFill>
    </fill>
    <fill>
      <patternFill patternType="solid">
        <fgColor theme="8"/>
        <bgColor rgb="FF8DB3E2"/>
      </patternFill>
    </fill>
    <fill>
      <patternFill patternType="solid">
        <fgColor rgb="FFBFBFBF"/>
        <bgColor rgb="FFBFBFBF"/>
      </patternFill>
    </fill>
    <fill>
      <patternFill patternType="solid">
        <fgColor rgb="FFFFC000"/>
        <bgColor rgb="FFFFFF00"/>
      </patternFill>
    </fill>
    <fill>
      <patternFill patternType="solid">
        <fgColor theme="0"/>
        <bgColor theme="0"/>
      </patternFill>
    </fill>
    <fill>
      <patternFill patternType="solid">
        <fgColor rgb="FFFFFF00"/>
        <bgColor rgb="FFC2D69B"/>
      </patternFill>
    </fill>
    <fill>
      <patternFill patternType="solid">
        <fgColor rgb="FF92D050"/>
        <bgColor indexed="64"/>
      </patternFill>
    </fill>
    <fill>
      <patternFill patternType="solid">
        <fgColor rgb="FFFFC000"/>
        <bgColor indexed="64"/>
      </patternFill>
    </fill>
    <fill>
      <patternFill patternType="solid">
        <fgColor theme="8" tint="0.79998168889431442"/>
        <bgColor indexed="64"/>
      </patternFill>
    </fill>
  </fills>
  <borders count="3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0000"/>
      </left>
      <right/>
      <top style="thin">
        <color indexed="64"/>
      </top>
      <bottom/>
      <diagonal/>
    </border>
    <border>
      <left/>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0" fontId="37" fillId="0" borderId="0"/>
  </cellStyleXfs>
  <cellXfs count="484">
    <xf numFmtId="0" fontId="0" fillId="0" borderId="0" xfId="0"/>
    <xf numFmtId="0" fontId="0" fillId="0" borderId="0" xfId="0" applyAlignment="1">
      <alignment horizontal="center"/>
    </xf>
    <xf numFmtId="0" fontId="2" fillId="2" borderId="5" xfId="0" applyFont="1" applyFill="1" applyBorder="1" applyAlignment="1">
      <alignment horizontal="center" vertical="center"/>
    </xf>
    <xf numFmtId="0" fontId="0" fillId="3" borderId="5" xfId="0" applyFill="1" applyBorder="1" applyAlignment="1">
      <alignment horizontal="center" vertical="center"/>
    </xf>
    <xf numFmtId="0" fontId="0" fillId="3" borderId="5" xfId="0" applyFill="1" applyBorder="1" applyAlignment="1">
      <alignment vertical="center"/>
    </xf>
    <xf numFmtId="14" fontId="0" fillId="3" borderId="5" xfId="0" applyNumberFormat="1" applyFill="1" applyBorder="1" applyAlignment="1">
      <alignment horizontal="center" vertical="center"/>
    </xf>
    <xf numFmtId="0" fontId="5" fillId="4" borderId="7" xfId="0" applyFont="1" applyFill="1" applyBorder="1" applyAlignment="1">
      <alignment horizontal="center" vertical="center" wrapText="1"/>
    </xf>
    <xf numFmtId="0" fontId="3" fillId="3" borderId="5" xfId="1" applyFill="1" applyBorder="1" applyAlignment="1">
      <alignment vertical="center"/>
    </xf>
    <xf numFmtId="14" fontId="5" fillId="4" borderId="7" xfId="0" applyNumberFormat="1" applyFont="1" applyFill="1" applyBorder="1" applyAlignment="1">
      <alignment horizontal="center" vertical="center" wrapText="1"/>
    </xf>
    <xf numFmtId="0" fontId="5" fillId="4" borderId="7" xfId="0" applyFont="1" applyFill="1" applyBorder="1" applyAlignment="1">
      <alignment horizontal="left" vertical="center" wrapText="1"/>
    </xf>
    <xf numFmtId="0" fontId="0" fillId="0" borderId="0" xfId="0" applyAlignment="1">
      <alignment horizontal="center" vertical="center"/>
    </xf>
    <xf numFmtId="0" fontId="10" fillId="3" borderId="5" xfId="0" applyFont="1" applyFill="1" applyBorder="1" applyAlignment="1">
      <alignment horizontal="center" vertical="center"/>
    </xf>
    <xf numFmtId="0" fontId="10" fillId="3" borderId="5" xfId="0" applyFont="1" applyFill="1" applyBorder="1" applyAlignment="1">
      <alignment horizontal="left" vertical="center"/>
    </xf>
    <xf numFmtId="0" fontId="10" fillId="3" borderId="5" xfId="0" quotePrefix="1" applyFont="1" applyFill="1" applyBorder="1" applyAlignment="1">
      <alignment horizontal="left" vertical="center"/>
    </xf>
    <xf numFmtId="0" fontId="0" fillId="0" borderId="0" xfId="0" applyAlignment="1">
      <alignment horizontal="left" vertical="center"/>
    </xf>
    <xf numFmtId="0" fontId="11" fillId="0" borderId="0" xfId="0" applyFont="1"/>
    <xf numFmtId="0" fontId="7" fillId="2" borderId="5" xfId="0" applyFont="1" applyFill="1" applyBorder="1" applyAlignment="1">
      <alignment horizontal="center" vertical="center"/>
    </xf>
    <xf numFmtId="0" fontId="8" fillId="2" borderId="5" xfId="0" applyFont="1" applyFill="1" applyBorder="1" applyAlignment="1">
      <alignment horizontal="center" vertical="center"/>
    </xf>
    <xf numFmtId="0" fontId="12" fillId="0" borderId="0" xfId="0" applyFont="1" applyAlignment="1">
      <alignment horizontal="left" vertical="center"/>
    </xf>
    <xf numFmtId="0" fontId="12" fillId="0" borderId="0" xfId="0" applyFont="1" applyAlignment="1">
      <alignment vertical="center"/>
    </xf>
    <xf numFmtId="0" fontId="12" fillId="0" borderId="0" xfId="0" applyFont="1" applyAlignment="1">
      <alignment horizontal="center" vertical="center"/>
    </xf>
    <xf numFmtId="0" fontId="13" fillId="0" borderId="0" xfId="0" applyFont="1"/>
    <xf numFmtId="0" fontId="17" fillId="0" borderId="0" xfId="0" applyFont="1" applyAlignment="1">
      <alignment vertical="center"/>
    </xf>
    <xf numFmtId="0" fontId="16" fillId="3" borderId="5" xfId="0" applyFont="1" applyFill="1" applyBorder="1" applyAlignment="1">
      <alignment vertical="justify"/>
    </xf>
    <xf numFmtId="0" fontId="16" fillId="3" borderId="5" xfId="0" applyFont="1" applyFill="1" applyBorder="1" applyAlignment="1">
      <alignment horizontal="left" vertical="top" wrapText="1"/>
    </xf>
    <xf numFmtId="0" fontId="13" fillId="0" borderId="0" xfId="0" applyFont="1" applyAlignment="1">
      <alignment horizontal="center"/>
    </xf>
    <xf numFmtId="0" fontId="0" fillId="0" borderId="0" xfId="0" applyAlignment="1">
      <alignment vertical="center"/>
    </xf>
    <xf numFmtId="0" fontId="2" fillId="0" borderId="0" xfId="0" applyFont="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center"/>
    </xf>
    <xf numFmtId="0" fontId="0" fillId="3" borderId="5" xfId="0" applyFill="1" applyBorder="1"/>
    <xf numFmtId="0" fontId="36" fillId="2" borderId="5" xfId="0" applyFont="1" applyFill="1" applyBorder="1" applyAlignment="1">
      <alignment vertical="center"/>
    </xf>
    <xf numFmtId="0" fontId="36" fillId="2" borderId="5" xfId="0" applyFont="1" applyFill="1" applyBorder="1" applyAlignment="1">
      <alignment horizontal="center" vertical="center"/>
    </xf>
    <xf numFmtId="0" fontId="0" fillId="3" borderId="5" xfId="0" applyFill="1" applyBorder="1" applyAlignment="1">
      <alignment horizontal="center"/>
    </xf>
    <xf numFmtId="0" fontId="3" fillId="3" borderId="5" xfId="1" applyFill="1" applyBorder="1"/>
    <xf numFmtId="0" fontId="2" fillId="2" borderId="5" xfId="0" applyFont="1" applyFill="1" applyBorder="1" applyAlignment="1">
      <alignment horizontal="center"/>
    </xf>
    <xf numFmtId="0" fontId="38" fillId="3" borderId="5" xfId="1" applyFont="1" applyFill="1" applyBorder="1" applyAlignment="1">
      <alignment horizontal="center" vertical="center"/>
    </xf>
    <xf numFmtId="0" fontId="5" fillId="4" borderId="7" xfId="0" applyFont="1" applyFill="1" applyBorder="1" applyAlignment="1">
      <alignment vertical="center" wrapText="1"/>
    </xf>
    <xf numFmtId="165" fontId="5" fillId="4" borderId="7" xfId="0" applyNumberFormat="1" applyFont="1" applyFill="1" applyBorder="1" applyAlignment="1">
      <alignment horizontal="center" vertical="center" wrapText="1"/>
    </xf>
    <xf numFmtId="165" fontId="17" fillId="4" borderId="7" xfId="0" applyNumberFormat="1" applyFont="1" applyFill="1" applyBorder="1" applyAlignment="1">
      <alignment horizontal="center" vertical="center"/>
    </xf>
    <xf numFmtId="0" fontId="11" fillId="0" borderId="0" xfId="0" applyFont="1" applyAlignment="1">
      <alignment horizontal="right"/>
    </xf>
    <xf numFmtId="0" fontId="2" fillId="2" borderId="8" xfId="0" applyFont="1" applyFill="1" applyBorder="1" applyAlignment="1">
      <alignment horizontal="center" vertical="center"/>
    </xf>
    <xf numFmtId="0" fontId="0" fillId="3" borderId="1" xfId="0" applyFill="1" applyBorder="1" applyAlignment="1">
      <alignment horizontal="center" vertical="center"/>
    </xf>
    <xf numFmtId="0" fontId="41" fillId="2" borderId="5" xfId="0" applyFont="1" applyFill="1" applyBorder="1" applyAlignment="1">
      <alignment horizontal="center" vertical="center"/>
    </xf>
    <xf numFmtId="0" fontId="0" fillId="2" borderId="5" xfId="0" applyFill="1" applyBorder="1" applyAlignment="1">
      <alignment vertical="center"/>
    </xf>
    <xf numFmtId="0" fontId="3" fillId="3" borderId="1" xfId="1" applyFill="1" applyBorder="1" applyAlignment="1">
      <alignment vertical="center"/>
    </xf>
    <xf numFmtId="0" fontId="2" fillId="2" borderId="5" xfId="0" applyFont="1" applyFill="1" applyBorder="1" applyAlignment="1">
      <alignment vertical="center"/>
    </xf>
    <xf numFmtId="0" fontId="15" fillId="3" borderId="5" xfId="0" applyFont="1" applyFill="1" applyBorder="1" applyAlignment="1">
      <alignment horizontal="center" vertical="center" wrapText="1"/>
    </xf>
    <xf numFmtId="0" fontId="16" fillId="3" borderId="5" xfId="0" applyFont="1" applyFill="1" applyBorder="1" applyAlignment="1">
      <alignment horizontal="center" vertical="justify"/>
    </xf>
    <xf numFmtId="0" fontId="16" fillId="3" borderId="5" xfId="0" applyFont="1" applyFill="1" applyBorder="1" applyAlignment="1">
      <alignment horizontal="center"/>
    </xf>
    <xf numFmtId="0" fontId="15" fillId="3" borderId="5" xfId="0" applyFont="1" applyFill="1" applyBorder="1" applyAlignment="1">
      <alignment horizontal="center" vertical="center"/>
    </xf>
    <xf numFmtId="0" fontId="16" fillId="3" borderId="5" xfId="0" applyFont="1" applyFill="1" applyBorder="1" applyAlignment="1">
      <alignment vertical="top" wrapText="1"/>
    </xf>
    <xf numFmtId="0" fontId="16" fillId="3" borderId="5" xfId="0" applyFont="1" applyFill="1" applyBorder="1" applyAlignment="1">
      <alignment vertical="justify" wrapText="1"/>
    </xf>
    <xf numFmtId="0" fontId="16" fillId="3" borderId="5" xfId="0" applyFont="1" applyFill="1" applyBorder="1" applyAlignment="1">
      <alignment horizontal="center" vertical="justify" wrapText="1"/>
    </xf>
    <xf numFmtId="0" fontId="16" fillId="3" borderId="5" xfId="0" applyFont="1" applyFill="1" applyBorder="1" applyAlignment="1">
      <alignment horizontal="center" vertical="top" wrapText="1"/>
    </xf>
    <xf numFmtId="0" fontId="15" fillId="3" borderId="5" xfId="0" applyFont="1" applyFill="1" applyBorder="1" applyAlignment="1">
      <alignment vertical="center"/>
    </xf>
    <xf numFmtId="0" fontId="16" fillId="3" borderId="5" xfId="0" applyFont="1" applyFill="1" applyBorder="1"/>
    <xf numFmtId="0" fontId="16" fillId="3" borderId="5" xfId="0" applyFont="1" applyFill="1" applyBorder="1" applyAlignment="1">
      <alignment vertical="top"/>
    </xf>
    <xf numFmtId="0" fontId="18" fillId="3" borderId="5"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5"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5" xfId="0" applyFont="1" applyFill="1" applyBorder="1" applyAlignment="1">
      <alignment horizontal="left" vertical="center" wrapText="1"/>
    </xf>
    <xf numFmtId="0" fontId="11" fillId="3" borderId="5" xfId="0" applyFont="1" applyFill="1" applyBorder="1" applyAlignment="1">
      <alignment vertical="center"/>
    </xf>
    <xf numFmtId="0" fontId="16" fillId="3" borderId="5" xfId="0" applyFont="1" applyFill="1" applyBorder="1" applyAlignment="1">
      <alignment vertical="center"/>
    </xf>
    <xf numFmtId="0" fontId="16" fillId="3" borderId="5" xfId="0" applyFont="1" applyFill="1" applyBorder="1" applyAlignment="1">
      <alignment horizontal="center" vertical="center"/>
    </xf>
    <xf numFmtId="0" fontId="11" fillId="3" borderId="5" xfId="0" applyFont="1" applyFill="1" applyBorder="1" applyAlignment="1">
      <alignment horizontal="center" vertical="center" wrapText="1"/>
    </xf>
    <xf numFmtId="0" fontId="12" fillId="3" borderId="5" xfId="0" applyFont="1" applyFill="1" applyBorder="1" applyAlignment="1">
      <alignment vertical="center"/>
    </xf>
    <xf numFmtId="0" fontId="0" fillId="3" borderId="5" xfId="0" applyFill="1" applyBorder="1" applyAlignment="1">
      <alignment horizontal="left" vertical="center"/>
    </xf>
    <xf numFmtId="0" fontId="0" fillId="3" borderId="5" xfId="0" applyFill="1" applyBorder="1" applyAlignment="1">
      <alignment vertical="center" wrapText="1"/>
    </xf>
    <xf numFmtId="0" fontId="20" fillId="3" borderId="5" xfId="0" applyFont="1" applyFill="1" applyBorder="1" applyAlignment="1">
      <alignment horizontal="center" vertical="center"/>
    </xf>
    <xf numFmtId="0" fontId="20" fillId="3" borderId="5" xfId="0" applyFont="1" applyFill="1" applyBorder="1" applyAlignment="1">
      <alignment horizontal="left" vertical="center" wrapText="1"/>
    </xf>
    <xf numFmtId="0" fontId="20" fillId="3" borderId="5" xfId="0" applyFont="1" applyFill="1" applyBorder="1" applyAlignment="1">
      <alignment vertical="center"/>
    </xf>
    <xf numFmtId="0" fontId="19" fillId="3" borderId="5" xfId="1" applyFont="1" applyFill="1" applyBorder="1"/>
    <xf numFmtId="0" fontId="16" fillId="3" borderId="5" xfId="0" applyFont="1" applyFill="1" applyBorder="1" applyAlignment="1">
      <alignment horizontal="left" vertical="center" wrapText="1"/>
    </xf>
    <xf numFmtId="0" fontId="22" fillId="3" borderId="5" xfId="0" applyFont="1" applyFill="1" applyBorder="1" applyAlignment="1">
      <alignment horizontal="left" wrapText="1"/>
    </xf>
    <xf numFmtId="0" fontId="22" fillId="3" borderId="5" xfId="0" applyFont="1" applyFill="1" applyBorder="1" applyAlignment="1">
      <alignment horizontal="center" wrapText="1"/>
    </xf>
    <xf numFmtId="0" fontId="23" fillId="3" borderId="5" xfId="0" applyFont="1" applyFill="1" applyBorder="1" applyAlignment="1">
      <alignment horizontal="left" wrapText="1"/>
    </xf>
    <xf numFmtId="0" fontId="23" fillId="3" borderId="5" xfId="0" applyFont="1" applyFill="1" applyBorder="1" applyAlignment="1">
      <alignment horizontal="center" wrapText="1"/>
    </xf>
    <xf numFmtId="0" fontId="24" fillId="3" borderId="5" xfId="0" applyFont="1" applyFill="1" applyBorder="1" applyAlignment="1">
      <alignment horizontal="left" vertical="center" wrapText="1"/>
    </xf>
    <xf numFmtId="0" fontId="25" fillId="3" borderId="5" xfId="0" applyFont="1" applyFill="1" applyBorder="1" applyAlignment="1">
      <alignment horizontal="left" wrapText="1"/>
    </xf>
    <xf numFmtId="0" fontId="26" fillId="3" borderId="5" xfId="0" applyFont="1" applyFill="1" applyBorder="1" applyAlignment="1">
      <alignment horizontal="center" wrapText="1"/>
    </xf>
    <xf numFmtId="0" fontId="26" fillId="3" borderId="5" xfId="0" applyFont="1" applyFill="1" applyBorder="1" applyAlignment="1">
      <alignment horizontal="left" wrapText="1"/>
    </xf>
    <xf numFmtId="0" fontId="27" fillId="3" borderId="5" xfId="0" applyFont="1" applyFill="1" applyBorder="1" applyAlignment="1">
      <alignment horizontal="left" wrapText="1"/>
    </xf>
    <xf numFmtId="0" fontId="16" fillId="3" borderId="5" xfId="0" quotePrefix="1" applyFont="1" applyFill="1" applyBorder="1" applyAlignment="1">
      <alignment horizontal="center" vertical="justify"/>
    </xf>
    <xf numFmtId="0" fontId="28" fillId="3" borderId="5" xfId="0" applyFont="1" applyFill="1" applyBorder="1" applyAlignment="1">
      <alignment horizontal="left" wrapText="1"/>
    </xf>
    <xf numFmtId="0" fontId="24" fillId="3" borderId="5" xfId="0" applyFont="1" applyFill="1" applyBorder="1" applyAlignment="1">
      <alignment horizontal="center" wrapText="1"/>
    </xf>
    <xf numFmtId="0" fontId="24" fillId="3" borderId="5" xfId="0" applyFont="1" applyFill="1" applyBorder="1" applyAlignment="1">
      <alignment horizontal="left" wrapText="1"/>
    </xf>
    <xf numFmtId="0" fontId="16" fillId="3" borderId="5" xfId="0" applyFont="1" applyFill="1" applyBorder="1" applyAlignment="1">
      <alignment horizontal="center" wrapText="1"/>
    </xf>
    <xf numFmtId="0" fontId="16" fillId="3" borderId="5" xfId="0" applyFont="1" applyFill="1" applyBorder="1" applyAlignment="1">
      <alignment horizontal="center" vertical="center" wrapText="1"/>
    </xf>
    <xf numFmtId="0" fontId="23" fillId="3" borderId="5" xfId="0" applyFont="1" applyFill="1" applyBorder="1" applyAlignment="1">
      <alignment horizontal="left"/>
    </xf>
    <xf numFmtId="0" fontId="29" fillId="3" borderId="5" xfId="1" applyFont="1" applyFill="1" applyBorder="1" applyAlignment="1">
      <alignment vertical="center"/>
    </xf>
    <xf numFmtId="0" fontId="24" fillId="3" borderId="5" xfId="0" applyFont="1" applyFill="1" applyBorder="1" applyAlignment="1">
      <alignment horizontal="center" vertical="center" wrapText="1"/>
    </xf>
    <xf numFmtId="0" fontId="30" fillId="3" borderId="5" xfId="0" applyFont="1" applyFill="1" applyBorder="1" applyAlignment="1">
      <alignment horizontal="center" vertical="center" wrapText="1"/>
    </xf>
    <xf numFmtId="0" fontId="12" fillId="3" borderId="5" xfId="0" applyFont="1" applyFill="1" applyBorder="1" applyAlignment="1">
      <alignment horizontal="center" vertical="center"/>
    </xf>
    <xf numFmtId="0" fontId="23" fillId="3" borderId="5" xfId="0" applyFont="1" applyFill="1" applyBorder="1" applyAlignment="1">
      <alignment horizontal="left" vertical="center" wrapText="1"/>
    </xf>
    <xf numFmtId="0" fontId="23" fillId="3" borderId="5" xfId="0" applyFont="1" applyFill="1" applyBorder="1" applyAlignment="1">
      <alignment horizontal="center" vertical="center" wrapText="1"/>
    </xf>
    <xf numFmtId="0" fontId="31" fillId="3" borderId="5" xfId="0" applyFont="1" applyFill="1" applyBorder="1" applyAlignment="1">
      <alignment horizontal="left" wrapText="1"/>
    </xf>
    <xf numFmtId="0" fontId="32" fillId="3" borderId="5" xfId="0" applyFont="1" applyFill="1" applyBorder="1" applyAlignment="1">
      <alignment horizontal="center" vertical="center"/>
    </xf>
    <xf numFmtId="0" fontId="16" fillId="3" borderId="5" xfId="0" applyFont="1" applyFill="1" applyBorder="1" applyAlignment="1">
      <alignment horizontal="left" wrapText="1"/>
    </xf>
    <xf numFmtId="0" fontId="16" fillId="3" borderId="5" xfId="0" applyFont="1" applyFill="1" applyBorder="1" applyAlignment="1">
      <alignment horizontal="left"/>
    </xf>
    <xf numFmtId="0" fontId="35" fillId="3" borderId="5" xfId="0" applyFont="1" applyFill="1" applyBorder="1" applyAlignment="1">
      <alignment horizontal="left" wrapText="1"/>
    </xf>
    <xf numFmtId="0" fontId="21" fillId="2" borderId="5"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5" xfId="0" applyFont="1" applyFill="1" applyBorder="1" applyAlignment="1">
      <alignment horizontal="center" vertical="center"/>
    </xf>
    <xf numFmtId="165" fontId="17" fillId="4" borderId="7" xfId="0" applyNumberFormat="1" applyFont="1" applyFill="1" applyBorder="1" applyAlignment="1">
      <alignment vertical="top" wrapText="1"/>
    </xf>
    <xf numFmtId="0" fontId="2" fillId="2" borderId="5" xfId="0" applyFont="1" applyFill="1" applyBorder="1" applyAlignment="1">
      <alignment horizontal="center" vertical="center" wrapText="1"/>
    </xf>
    <xf numFmtId="165" fontId="17" fillId="4" borderId="7" xfId="0" applyNumberFormat="1" applyFont="1" applyFill="1" applyBorder="1" applyAlignment="1">
      <alignment horizontal="center" vertical="center" wrapText="1"/>
    </xf>
    <xf numFmtId="0" fontId="0" fillId="3" borderId="5" xfId="0" applyFill="1" applyBorder="1" applyAlignment="1">
      <alignment horizontal="center" vertical="center" wrapText="1"/>
    </xf>
    <xf numFmtId="0" fontId="0" fillId="0" borderId="0" xfId="0" applyAlignment="1">
      <alignment horizontal="center" vertical="center" wrapText="1"/>
    </xf>
    <xf numFmtId="0" fontId="17" fillId="4" borderId="7" xfId="0" applyFont="1" applyFill="1" applyBorder="1" applyAlignment="1">
      <alignment vertical="top" wrapText="1"/>
    </xf>
    <xf numFmtId="0" fontId="5" fillId="4" borderId="7" xfId="0" applyFont="1" applyFill="1" applyBorder="1" applyAlignment="1">
      <alignment horizontal="center" vertical="top" wrapText="1"/>
    </xf>
    <xf numFmtId="0" fontId="17" fillId="5" borderId="7" xfId="0" applyFont="1" applyFill="1" applyBorder="1" applyAlignment="1">
      <alignment horizontal="center" vertical="top" wrapText="1"/>
    </xf>
    <xf numFmtId="0" fontId="17" fillId="4" borderId="7" xfId="0" applyFont="1" applyFill="1" applyBorder="1" applyAlignment="1">
      <alignment vertical="center" wrapText="1"/>
    </xf>
    <xf numFmtId="165" fontId="17" fillId="4" borderId="7" xfId="0" applyNumberFormat="1" applyFont="1" applyFill="1" applyBorder="1" applyAlignment="1">
      <alignment vertical="center" wrapText="1"/>
    </xf>
    <xf numFmtId="0" fontId="17" fillId="5" borderId="7" xfId="0" applyFont="1" applyFill="1" applyBorder="1" applyAlignment="1">
      <alignment horizontal="center" vertical="center" wrapText="1"/>
    </xf>
    <xf numFmtId="0" fontId="0" fillId="2" borderId="5" xfId="0" applyFill="1" applyBorder="1" applyAlignment="1">
      <alignment horizontal="center" vertical="center"/>
    </xf>
    <xf numFmtId="0" fontId="0" fillId="0" borderId="5" xfId="0" applyBorder="1" applyAlignment="1">
      <alignment horizontal="center" vertical="center"/>
    </xf>
    <xf numFmtId="0" fontId="0" fillId="3" borderId="0" xfId="0" applyFill="1"/>
    <xf numFmtId="0" fontId="16" fillId="3" borderId="8" xfId="0" applyFont="1" applyFill="1" applyBorder="1" applyAlignment="1">
      <alignment vertical="justify"/>
    </xf>
    <xf numFmtId="0" fontId="3" fillId="3" borderId="0" xfId="1" applyFill="1"/>
    <xf numFmtId="0" fontId="19" fillId="3" borderId="5" xfId="1" applyFont="1" applyFill="1" applyBorder="1" applyAlignment="1">
      <alignment vertical="center"/>
    </xf>
    <xf numFmtId="0" fontId="0" fillId="6" borderId="5" xfId="0" applyFill="1" applyBorder="1" applyAlignment="1">
      <alignment horizontal="center" vertical="center"/>
    </xf>
    <xf numFmtId="0" fontId="3" fillId="3" borderId="5" xfId="1" applyFill="1" applyBorder="1" applyAlignment="1">
      <alignment horizontal="center" vertical="center"/>
    </xf>
    <xf numFmtId="0" fontId="42" fillId="3" borderId="5" xfId="0" applyFont="1" applyFill="1" applyBorder="1"/>
    <xf numFmtId="0" fontId="41" fillId="2" borderId="6" xfId="0" applyFont="1" applyFill="1" applyBorder="1" applyAlignment="1">
      <alignment horizontal="center" vertical="center"/>
    </xf>
    <xf numFmtId="0" fontId="2" fillId="2" borderId="6" xfId="0" applyFont="1" applyFill="1" applyBorder="1" applyAlignment="1">
      <alignment horizontal="center"/>
    </xf>
    <xf numFmtId="0" fontId="5" fillId="4" borderId="9" xfId="0" quotePrefix="1" applyFont="1" applyFill="1" applyBorder="1" applyAlignment="1">
      <alignment horizontal="center" vertical="center" wrapText="1"/>
    </xf>
    <xf numFmtId="0" fontId="5" fillId="4" borderId="12" xfId="0" quotePrefix="1" applyFont="1" applyFill="1" applyBorder="1" applyAlignment="1">
      <alignment horizontal="center" vertical="center" wrapText="1"/>
    </xf>
    <xf numFmtId="0" fontId="5" fillId="4" borderId="9" xfId="0" applyFont="1" applyFill="1" applyBorder="1" applyAlignment="1">
      <alignment horizontal="center" vertical="center" wrapText="1"/>
    </xf>
    <xf numFmtId="0" fontId="0" fillId="3" borderId="5" xfId="0" quotePrefix="1" applyFill="1" applyBorder="1" applyAlignment="1">
      <alignment horizontal="center" vertical="center"/>
    </xf>
    <xf numFmtId="0" fontId="5" fillId="4" borderId="12" xfId="0" applyFont="1" applyFill="1" applyBorder="1" applyAlignment="1">
      <alignment horizontal="center" vertical="center" wrapText="1"/>
    </xf>
    <xf numFmtId="0" fontId="2" fillId="2" borderId="2" xfId="0" applyFont="1" applyFill="1" applyBorder="1" applyAlignment="1">
      <alignment horizontal="left" vertical="center"/>
    </xf>
    <xf numFmtId="0" fontId="0" fillId="3" borderId="2" xfId="0" applyFill="1" applyBorder="1"/>
    <xf numFmtId="0" fontId="0" fillId="3" borderId="13" xfId="0" applyFill="1" applyBorder="1"/>
    <xf numFmtId="0" fontId="39" fillId="2" borderId="2" xfId="0" applyFont="1" applyFill="1" applyBorder="1" applyAlignment="1">
      <alignment vertical="top" wrapText="1"/>
    </xf>
    <xf numFmtId="0" fontId="5" fillId="4" borderId="14" xfId="0" applyFont="1" applyFill="1" applyBorder="1" applyAlignment="1">
      <alignment horizontal="left" vertical="top" wrapText="1"/>
    </xf>
    <xf numFmtId="0" fontId="5" fillId="4" borderId="15" xfId="0" applyFont="1" applyFill="1" applyBorder="1" applyAlignment="1">
      <alignment horizontal="left" vertical="top" wrapText="1"/>
    </xf>
    <xf numFmtId="0" fontId="39" fillId="2" borderId="16" xfId="0" applyFont="1" applyFill="1" applyBorder="1" applyAlignment="1">
      <alignment vertical="top" wrapText="1"/>
    </xf>
    <xf numFmtId="0" fontId="0" fillId="2" borderId="4" xfId="0" applyFill="1" applyBorder="1" applyAlignment="1">
      <alignment horizontal="center" vertical="center"/>
    </xf>
    <xf numFmtId="165" fontId="5" fillId="4" borderId="10" xfId="0" applyNumberFormat="1" applyFont="1" applyFill="1" applyBorder="1" applyAlignment="1">
      <alignment horizontal="center" vertical="center" wrapText="1"/>
    </xf>
    <xf numFmtId="165" fontId="5" fillId="4" borderId="11" xfId="0" applyNumberFormat="1" applyFont="1" applyFill="1" applyBorder="1" applyAlignment="1">
      <alignment horizontal="center" vertical="center" wrapText="1"/>
    </xf>
    <xf numFmtId="14" fontId="0" fillId="3" borderId="4" xfId="0" applyNumberFormat="1" applyFill="1" applyBorder="1" applyAlignment="1">
      <alignment horizontal="center" vertical="center"/>
    </xf>
    <xf numFmtId="0" fontId="0" fillId="3" borderId="4" xfId="0" applyFill="1" applyBorder="1" applyAlignment="1">
      <alignment horizontal="center" vertical="center"/>
    </xf>
    <xf numFmtId="0" fontId="41" fillId="2" borderId="17" xfId="0" applyFont="1" applyFill="1" applyBorder="1" applyAlignment="1">
      <alignment horizontal="center" vertical="center"/>
    </xf>
    <xf numFmtId="0" fontId="39" fillId="2" borderId="5" xfId="0" applyFont="1" applyFill="1" applyBorder="1" applyAlignment="1">
      <alignment horizontal="center" vertical="top" wrapText="1"/>
    </xf>
    <xf numFmtId="0" fontId="5" fillId="4" borderId="5" xfId="0" applyFont="1" applyFill="1" applyBorder="1" applyAlignment="1">
      <alignment horizontal="center" vertical="top" wrapText="1"/>
    </xf>
    <xf numFmtId="0" fontId="5" fillId="4" borderId="14" xfId="0" applyFont="1" applyFill="1" applyBorder="1" applyAlignment="1">
      <alignment horizontal="left" vertical="center" wrapText="1"/>
    </xf>
    <xf numFmtId="0" fontId="39" fillId="7" borderId="7" xfId="0" applyFont="1" applyFill="1" applyBorder="1" applyAlignment="1">
      <alignment horizontal="center" vertical="center" wrapText="1"/>
    </xf>
    <xf numFmtId="0" fontId="5" fillId="0" borderId="7" xfId="0" applyFont="1" applyBorder="1" applyAlignment="1">
      <alignment horizontal="center" vertical="center" wrapText="1"/>
    </xf>
    <xf numFmtId="0" fontId="17" fillId="4" borderId="7" xfId="0" applyFont="1" applyFill="1" applyBorder="1" applyAlignment="1">
      <alignment horizontal="left" vertical="center" wrapText="1"/>
    </xf>
    <xf numFmtId="0" fontId="17" fillId="4" borderId="7" xfId="0" applyFont="1" applyFill="1" applyBorder="1" applyAlignment="1">
      <alignment horizontal="center" vertical="center" wrapText="1"/>
    </xf>
    <xf numFmtId="0" fontId="17" fillId="0" borderId="7" xfId="0" applyFont="1" applyBorder="1" applyAlignment="1">
      <alignment horizontal="center" vertical="center" wrapText="1"/>
    </xf>
    <xf numFmtId="0" fontId="44" fillId="8" borderId="7" xfId="0" applyFont="1" applyFill="1" applyBorder="1" applyAlignment="1">
      <alignment horizontal="center" vertical="center" wrapText="1"/>
    </xf>
    <xf numFmtId="0" fontId="44" fillId="8" borderId="9"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5" fillId="0" borderId="7" xfId="0" applyFont="1" applyBorder="1" applyAlignment="1">
      <alignment vertical="center" wrapText="1"/>
    </xf>
    <xf numFmtId="10" fontId="17" fillId="0" borderId="7" xfId="0" applyNumberFormat="1" applyFont="1" applyBorder="1" applyAlignment="1">
      <alignment horizontal="center" vertical="center"/>
    </xf>
    <xf numFmtId="0" fontId="17" fillId="9" borderId="7" xfId="0" applyFont="1" applyFill="1" applyBorder="1" applyAlignment="1">
      <alignment vertical="center"/>
    </xf>
    <xf numFmtId="0" fontId="5" fillId="4" borderId="9" xfId="0" quotePrefix="1" applyFont="1" applyFill="1" applyBorder="1" applyAlignment="1">
      <alignment horizontal="left" vertical="center" wrapText="1"/>
    </xf>
    <xf numFmtId="0" fontId="5" fillId="4" borderId="9" xfId="0" quotePrefix="1" applyFont="1" applyFill="1" applyBorder="1" applyAlignment="1">
      <alignment horizontal="left" vertical="top" wrapText="1"/>
    </xf>
    <xf numFmtId="0" fontId="39" fillId="8" borderId="18" xfId="0" applyFont="1" applyFill="1" applyBorder="1" applyAlignment="1">
      <alignment horizontal="center" vertical="center" wrapText="1"/>
    </xf>
    <xf numFmtId="0" fontId="39" fillId="8" borderId="7" xfId="0" applyFont="1" applyFill="1" applyBorder="1" applyAlignment="1">
      <alignment horizontal="center" vertical="center" wrapText="1"/>
    </xf>
    <xf numFmtId="10" fontId="46" fillId="4" borderId="7" xfId="0" applyNumberFormat="1" applyFont="1" applyFill="1" applyBorder="1" applyAlignment="1">
      <alignment horizontal="center" vertical="center"/>
    </xf>
    <xf numFmtId="10" fontId="46" fillId="4" borderId="10" xfId="0" applyNumberFormat="1" applyFont="1" applyFill="1" applyBorder="1" applyAlignment="1">
      <alignment horizontal="center" vertical="center"/>
    </xf>
    <xf numFmtId="2" fontId="5" fillId="4" borderId="7" xfId="0" applyNumberFormat="1"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8" borderId="9" xfId="0" applyFont="1" applyFill="1" applyBorder="1" applyAlignment="1">
      <alignment horizontal="center" vertical="center" wrapText="1"/>
    </xf>
    <xf numFmtId="2" fontId="5" fillId="4" borderId="9" xfId="0" applyNumberFormat="1"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0" borderId="18" xfId="0" applyFont="1" applyBorder="1" applyAlignment="1">
      <alignment horizontal="center" vertical="center" wrapText="1"/>
    </xf>
    <xf numFmtId="0" fontId="5" fillId="9" borderId="18" xfId="0"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10" borderId="18" xfId="0" applyFont="1" applyFill="1" applyBorder="1" applyAlignment="1">
      <alignment horizontal="center" vertical="center" wrapText="1"/>
    </xf>
    <xf numFmtId="0" fontId="39" fillId="8" borderId="19" xfId="0" applyFont="1" applyFill="1" applyBorder="1" applyAlignment="1">
      <alignment horizontal="center" vertical="center" wrapText="1"/>
    </xf>
    <xf numFmtId="0" fontId="39" fillId="0" borderId="7" xfId="0" applyFont="1" applyBorder="1" applyAlignment="1">
      <alignment horizontal="center" vertical="center" wrapText="1"/>
    </xf>
    <xf numFmtId="10" fontId="5" fillId="4" borderId="7" xfId="0" applyNumberFormat="1" applyFont="1" applyFill="1" applyBorder="1" applyAlignment="1">
      <alignment horizontal="center" vertical="center" wrapText="1"/>
    </xf>
    <xf numFmtId="0" fontId="5" fillId="9" borderId="7" xfId="0" applyFont="1" applyFill="1" applyBorder="1" applyAlignment="1">
      <alignment vertical="center" wrapText="1"/>
    </xf>
    <xf numFmtId="0" fontId="5" fillId="4" borderId="9" xfId="0" applyFont="1" applyFill="1" applyBorder="1" applyAlignment="1">
      <alignment vertical="center" wrapText="1"/>
    </xf>
    <xf numFmtId="0" fontId="5" fillId="0" borderId="7" xfId="0" applyFont="1" applyBorder="1" applyAlignment="1">
      <alignment horizontal="left" vertical="center" wrapText="1"/>
    </xf>
    <xf numFmtId="0" fontId="46" fillId="4" borderId="7" xfId="0" applyFont="1" applyFill="1" applyBorder="1" applyAlignment="1">
      <alignment horizontal="center"/>
    </xf>
    <xf numFmtId="0" fontId="46" fillId="4" borderId="19" xfId="0" applyFont="1" applyFill="1" applyBorder="1" applyAlignment="1">
      <alignment horizontal="center"/>
    </xf>
    <xf numFmtId="0" fontId="48" fillId="0" borderId="7" xfId="0" applyFont="1" applyBorder="1" applyAlignment="1">
      <alignment horizontal="center" vertical="center" wrapText="1"/>
    </xf>
    <xf numFmtId="0" fontId="49" fillId="4" borderId="10" xfId="0" applyFont="1" applyFill="1" applyBorder="1" applyAlignment="1">
      <alignment horizontal="center" vertical="center"/>
    </xf>
    <xf numFmtId="0" fontId="49" fillId="4" borderId="24" xfId="0" applyFont="1" applyFill="1" applyBorder="1" applyAlignment="1">
      <alignment horizontal="center" vertical="center"/>
    </xf>
    <xf numFmtId="0" fontId="49" fillId="4" borderId="14" xfId="0" applyFont="1" applyFill="1" applyBorder="1" applyAlignment="1">
      <alignment horizontal="center" vertical="center"/>
    </xf>
    <xf numFmtId="0" fontId="49" fillId="4" borderId="23" xfId="0" applyFont="1" applyFill="1" applyBorder="1" applyAlignment="1">
      <alignment horizontal="center" vertical="center"/>
    </xf>
    <xf numFmtId="0" fontId="48" fillId="9" borderId="19" xfId="0" applyFont="1" applyFill="1" applyBorder="1" applyAlignment="1">
      <alignment horizontal="center" vertical="center" wrapText="1"/>
    </xf>
    <xf numFmtId="165" fontId="48" fillId="4" borderId="5" xfId="0" applyNumberFormat="1" applyFont="1" applyFill="1" applyBorder="1" applyAlignment="1">
      <alignment horizontal="center" vertical="center" wrapText="1"/>
    </xf>
    <xf numFmtId="0" fontId="47" fillId="8" borderId="7" xfId="0" applyFont="1" applyFill="1" applyBorder="1" applyAlignment="1">
      <alignment horizontal="center" vertical="center" wrapText="1"/>
    </xf>
    <xf numFmtId="0" fontId="47" fillId="8" borderId="9" xfId="0" applyFont="1" applyFill="1" applyBorder="1" applyAlignment="1">
      <alignment horizontal="center" vertical="center" wrapText="1"/>
    </xf>
    <xf numFmtId="0" fontId="47" fillId="8" borderId="5" xfId="0" applyFont="1" applyFill="1" applyBorder="1" applyAlignment="1">
      <alignment horizontal="center" vertical="center" wrapText="1"/>
    </xf>
    <xf numFmtId="0" fontId="48" fillId="0" borderId="9" xfId="0" applyFont="1" applyBorder="1" applyAlignment="1">
      <alignment horizontal="center" vertical="center" wrapText="1"/>
    </xf>
    <xf numFmtId="0" fontId="47" fillId="8" borderId="18" xfId="0" applyFont="1" applyFill="1" applyBorder="1" applyAlignment="1">
      <alignment horizontal="center" vertical="center" wrapText="1"/>
    </xf>
    <xf numFmtId="0" fontId="48" fillId="0" borderId="5" xfId="0" applyFont="1" applyBorder="1" applyAlignment="1">
      <alignment horizontal="center" vertical="center" wrapText="1"/>
    </xf>
    <xf numFmtId="0" fontId="48" fillId="0" borderId="5" xfId="0" applyFont="1" applyBorder="1" applyAlignment="1">
      <alignment horizontal="left" vertical="center" wrapText="1"/>
    </xf>
    <xf numFmtId="165" fontId="48" fillId="4" borderId="2" xfId="0" applyNumberFormat="1" applyFont="1" applyFill="1" applyBorder="1" applyAlignment="1">
      <alignment horizontal="center" vertical="center" wrapText="1"/>
    </xf>
    <xf numFmtId="165" fontId="46" fillId="4" borderId="9" xfId="0" applyNumberFormat="1" applyFont="1" applyFill="1" applyBorder="1" applyAlignment="1">
      <alignment horizontal="center"/>
    </xf>
    <xf numFmtId="165" fontId="46" fillId="4" borderId="22" xfId="0" applyNumberFormat="1" applyFont="1" applyFill="1" applyBorder="1" applyAlignment="1">
      <alignment horizontal="center"/>
    </xf>
    <xf numFmtId="0" fontId="39" fillId="7" borderId="5" xfId="0" applyFont="1" applyFill="1" applyBorder="1" applyAlignment="1">
      <alignment horizontal="center" vertical="center" wrapText="1"/>
    </xf>
    <xf numFmtId="0" fontId="0" fillId="3" borderId="1" xfId="0" applyFill="1" applyBorder="1" applyAlignment="1">
      <alignment horizontal="center"/>
    </xf>
    <xf numFmtId="0" fontId="0" fillId="3" borderId="1" xfId="0" applyFill="1" applyBorder="1"/>
    <xf numFmtId="165" fontId="5" fillId="4" borderId="18" xfId="0" applyNumberFormat="1" applyFont="1" applyFill="1" applyBorder="1" applyAlignment="1">
      <alignment horizontal="center" vertical="center" wrapText="1"/>
    </xf>
    <xf numFmtId="0" fontId="3" fillId="3" borderId="1" xfId="1" applyFill="1" applyBorder="1"/>
    <xf numFmtId="0" fontId="47" fillId="2" borderId="5" xfId="0" applyFont="1" applyFill="1" applyBorder="1" applyAlignment="1">
      <alignment horizontal="center" vertical="center"/>
    </xf>
    <xf numFmtId="0" fontId="47" fillId="2" borderId="5" xfId="0" applyFont="1" applyFill="1" applyBorder="1" applyAlignment="1">
      <alignment horizontal="center" vertical="center" wrapText="1"/>
    </xf>
    <xf numFmtId="0" fontId="48" fillId="0" borderId="0" xfId="0" applyFont="1" applyAlignment="1">
      <alignment horizontal="center"/>
    </xf>
    <xf numFmtId="0" fontId="48" fillId="0" borderId="0" xfId="0" applyFont="1" applyAlignment="1">
      <alignment horizontal="left" vertical="center" wrapText="1"/>
    </xf>
    <xf numFmtId="0" fontId="48" fillId="0" borderId="0" xfId="0" applyFont="1"/>
    <xf numFmtId="0" fontId="48" fillId="0" borderId="0" xfId="0" applyFont="1" applyAlignment="1">
      <alignment horizontal="left"/>
    </xf>
    <xf numFmtId="0" fontId="48" fillId="3" borderId="5" xfId="0" applyFont="1" applyFill="1" applyBorder="1" applyAlignment="1">
      <alignment horizontal="center" vertical="center"/>
    </xf>
    <xf numFmtId="0" fontId="48" fillId="3" borderId="5" xfId="0" applyFont="1" applyFill="1" applyBorder="1" applyAlignment="1">
      <alignment horizontal="left" vertical="center" wrapText="1"/>
    </xf>
    <xf numFmtId="0" fontId="48" fillId="3" borderId="5" xfId="0" applyFont="1" applyFill="1" applyBorder="1" applyAlignment="1">
      <alignment vertical="center" wrapText="1"/>
    </xf>
    <xf numFmtId="0" fontId="51" fillId="3" borderId="5" xfId="1" applyFont="1" applyFill="1" applyBorder="1" applyAlignment="1">
      <alignment vertical="center"/>
    </xf>
    <xf numFmtId="0" fontId="48" fillId="3" borderId="5" xfId="0" applyFont="1" applyFill="1" applyBorder="1" applyAlignment="1">
      <alignment horizontal="left" vertical="center"/>
    </xf>
    <xf numFmtId="0" fontId="48" fillId="3" borderId="5" xfId="0" applyFont="1" applyFill="1" applyBorder="1" applyAlignment="1">
      <alignment vertical="center"/>
    </xf>
    <xf numFmtId="0" fontId="37" fillId="0" borderId="0" xfId="0" applyFont="1" applyAlignment="1">
      <alignment horizontal="center" vertical="center"/>
    </xf>
    <xf numFmtId="0" fontId="17" fillId="0" borderId="0" xfId="0" applyFont="1" applyAlignment="1">
      <alignment horizontal="center" vertical="center"/>
    </xf>
    <xf numFmtId="0" fontId="48" fillId="0" borderId="0" xfId="0" applyFont="1" applyAlignment="1">
      <alignment horizontal="left" vertical="center"/>
    </xf>
    <xf numFmtId="0" fontId="0" fillId="3" borderId="5" xfId="0" applyFill="1" applyBorder="1" applyAlignment="1">
      <alignment horizontal="left" vertical="center" wrapText="1"/>
    </xf>
    <xf numFmtId="0" fontId="48" fillId="3" borderId="5" xfId="0" applyFont="1" applyFill="1" applyBorder="1" applyAlignment="1">
      <alignment horizontal="center"/>
    </xf>
    <xf numFmtId="0" fontId="48" fillId="3" borderId="5" xfId="0" applyFont="1" applyFill="1" applyBorder="1" applyAlignment="1">
      <alignment horizontal="left"/>
    </xf>
    <xf numFmtId="0" fontId="48" fillId="3" borderId="5" xfId="0" applyFont="1" applyFill="1" applyBorder="1"/>
    <xf numFmtId="0" fontId="39" fillId="9" borderId="7" xfId="0" applyFont="1" applyFill="1" applyBorder="1" applyAlignment="1">
      <alignment vertical="center" wrapText="1"/>
    </xf>
    <xf numFmtId="167" fontId="52" fillId="4" borderId="7" xfId="0" applyNumberFormat="1" applyFont="1" applyFill="1" applyBorder="1" applyAlignment="1">
      <alignment horizontal="center"/>
    </xf>
    <xf numFmtId="167" fontId="17" fillId="11" borderId="7" xfId="0" applyNumberFormat="1" applyFont="1" applyFill="1" applyBorder="1" applyAlignment="1">
      <alignment vertical="center" wrapText="1"/>
    </xf>
    <xf numFmtId="167" fontId="44" fillId="11" borderId="7" xfId="0" applyNumberFormat="1" applyFont="1" applyFill="1" applyBorder="1" applyAlignment="1">
      <alignment vertical="center" wrapText="1"/>
    </xf>
    <xf numFmtId="167" fontId="44" fillId="0" borderId="10" xfId="0" applyNumberFormat="1" applyFont="1" applyBorder="1"/>
    <xf numFmtId="168" fontId="11" fillId="3" borderId="5" xfId="3" applyNumberFormat="1" applyFont="1" applyFill="1" applyBorder="1" applyAlignment="1">
      <alignment horizontal="center" vertical="center"/>
    </xf>
    <xf numFmtId="168" fontId="11" fillId="3" borderId="5" xfId="0" applyNumberFormat="1" applyFont="1" applyFill="1" applyBorder="1" applyAlignment="1">
      <alignment horizontal="center" vertical="center"/>
    </xf>
    <xf numFmtId="168" fontId="20" fillId="3" borderId="5" xfId="0" applyNumberFormat="1" applyFont="1" applyFill="1" applyBorder="1" applyAlignment="1">
      <alignment horizontal="center" vertical="center"/>
    </xf>
    <xf numFmtId="0" fontId="5" fillId="4" borderId="5" xfId="0" applyFont="1" applyFill="1" applyBorder="1" applyAlignment="1">
      <alignment horizontal="left" vertical="top" wrapText="1"/>
    </xf>
    <xf numFmtId="165" fontId="5" fillId="4" borderId="14" xfId="0" applyNumberFormat="1" applyFont="1" applyFill="1" applyBorder="1" applyAlignment="1">
      <alignment horizontal="center" vertical="center" wrapText="1"/>
    </xf>
    <xf numFmtId="165" fontId="5" fillId="4" borderId="15" xfId="0" applyNumberFormat="1" applyFont="1" applyFill="1" applyBorder="1" applyAlignment="1">
      <alignment horizontal="center" vertical="center" wrapText="1"/>
    </xf>
    <xf numFmtId="0" fontId="0" fillId="3" borderId="2" xfId="0" applyFill="1" applyBorder="1" applyAlignment="1">
      <alignment horizontal="center" vertical="center"/>
    </xf>
    <xf numFmtId="165" fontId="5" fillId="4" borderId="5" xfId="0" applyNumberFormat="1" applyFont="1" applyFill="1" applyBorder="1" applyAlignment="1">
      <alignment horizontal="center" vertical="center" wrapText="1"/>
    </xf>
    <xf numFmtId="168" fontId="16" fillId="3" borderId="5" xfId="0" applyNumberFormat="1" applyFont="1" applyFill="1" applyBorder="1" applyAlignment="1">
      <alignment horizontal="center" vertical="center"/>
    </xf>
    <xf numFmtId="0" fontId="55" fillId="3" borderId="5" xfId="0" applyFont="1" applyFill="1" applyBorder="1" applyAlignment="1">
      <alignment horizontal="center" vertical="center"/>
    </xf>
    <xf numFmtId="168" fontId="0" fillId="0" borderId="0" xfId="0" applyNumberFormat="1" applyAlignment="1">
      <alignment horizontal="center" vertical="center"/>
    </xf>
    <xf numFmtId="168" fontId="16" fillId="3" borderId="5" xfId="0" applyNumberFormat="1" applyFont="1" applyFill="1" applyBorder="1" applyAlignment="1">
      <alignment vertical="justify"/>
    </xf>
    <xf numFmtId="168" fontId="15" fillId="3" borderId="5" xfId="0" applyNumberFormat="1" applyFont="1" applyFill="1" applyBorder="1" applyAlignment="1">
      <alignment vertical="center"/>
    </xf>
    <xf numFmtId="0" fontId="56" fillId="0" borderId="0" xfId="0" applyFont="1" applyAlignment="1">
      <alignment horizontal="center" vertical="center"/>
    </xf>
    <xf numFmtId="0" fontId="57" fillId="2" borderId="5" xfId="0" applyFont="1" applyFill="1" applyBorder="1" applyAlignment="1">
      <alignment horizontal="center" vertical="center" wrapText="1"/>
    </xf>
    <xf numFmtId="0" fontId="20" fillId="3" borderId="5" xfId="0" applyFont="1" applyFill="1" applyBorder="1" applyAlignment="1">
      <alignment horizontal="center"/>
    </xf>
    <xf numFmtId="0" fontId="58" fillId="3" borderId="5" xfId="0" applyFont="1" applyFill="1" applyBorder="1" applyAlignment="1">
      <alignment horizontal="center" vertical="center" wrapText="1"/>
    </xf>
    <xf numFmtId="0" fontId="58" fillId="3" borderId="5" xfId="0" applyFont="1" applyFill="1" applyBorder="1" applyAlignment="1">
      <alignment horizontal="center" vertical="center"/>
    </xf>
    <xf numFmtId="0" fontId="59" fillId="0" borderId="0" xfId="0" applyFont="1" applyAlignment="1">
      <alignment horizontal="center"/>
    </xf>
    <xf numFmtId="0" fontId="3" fillId="3" borderId="5" xfId="1" applyFill="1" applyBorder="1" applyAlignment="1">
      <alignment horizontal="left" vertical="center"/>
    </xf>
    <xf numFmtId="0" fontId="5" fillId="4" borderId="5" xfId="0" applyFont="1" applyFill="1" applyBorder="1" applyAlignment="1">
      <alignment horizontal="center" vertical="center" wrapText="1"/>
    </xf>
    <xf numFmtId="165" fontId="5" fillId="4" borderId="5" xfId="0" applyNumberFormat="1" applyFont="1" applyFill="1" applyBorder="1" applyAlignment="1">
      <alignment horizontal="center" vertical="top" wrapText="1"/>
    </xf>
    <xf numFmtId="0" fontId="16" fillId="3" borderId="0" xfId="0" applyFont="1" applyFill="1"/>
    <xf numFmtId="0" fontId="15" fillId="0" borderId="0" xfId="0" applyFont="1" applyAlignment="1">
      <alignment vertical="center"/>
    </xf>
    <xf numFmtId="0" fontId="16" fillId="0" borderId="0" xfId="0" applyFont="1"/>
    <xf numFmtId="0" fontId="48" fillId="0" borderId="5" xfId="0" applyFont="1" applyBorder="1" applyAlignment="1">
      <alignment vertical="center" wrapText="1"/>
    </xf>
    <xf numFmtId="0" fontId="15" fillId="3" borderId="5" xfId="0" applyFont="1" applyFill="1" applyBorder="1" applyAlignment="1">
      <alignment horizontal="left" vertical="center" wrapText="1"/>
    </xf>
    <xf numFmtId="0" fontId="32" fillId="3" borderId="5" xfId="0" applyFont="1" applyFill="1" applyBorder="1" applyAlignment="1">
      <alignment horizontal="left" vertical="center"/>
    </xf>
    <xf numFmtId="0" fontId="60" fillId="3" borderId="5" xfId="0" applyFont="1" applyFill="1" applyBorder="1" applyAlignment="1">
      <alignment horizontal="left" vertical="center" wrapText="1"/>
    </xf>
    <xf numFmtId="0" fontId="0" fillId="3" borderId="4" xfId="0" applyFill="1" applyBorder="1"/>
    <xf numFmtId="0" fontId="10" fillId="0" borderId="0" xfId="0" applyFont="1" applyAlignment="1">
      <alignment horizontal="left" vertical="center"/>
    </xf>
    <xf numFmtId="0" fontId="37" fillId="0" borderId="0" xfId="4"/>
    <xf numFmtId="1" fontId="37" fillId="0" borderId="0" xfId="4" applyNumberFormat="1"/>
    <xf numFmtId="0" fontId="37" fillId="3" borderId="5" xfId="4" applyFill="1" applyBorder="1"/>
    <xf numFmtId="1" fontId="37" fillId="3" borderId="5" xfId="4" applyNumberFormat="1" applyFill="1" applyBorder="1"/>
    <xf numFmtId="0" fontId="56" fillId="2" borderId="5" xfId="4" applyFont="1" applyFill="1" applyBorder="1" applyAlignment="1">
      <alignment horizontal="center" vertical="center"/>
    </xf>
    <xf numFmtId="0" fontId="2" fillId="2" borderId="5" xfId="0" applyFont="1" applyFill="1" applyBorder="1"/>
    <xf numFmtId="0" fontId="0" fillId="3" borderId="5" xfId="0" applyFill="1" applyBorder="1" applyAlignment="1">
      <alignment wrapText="1"/>
    </xf>
    <xf numFmtId="0" fontId="5" fillId="4" borderId="7" xfId="0" quotePrefix="1" applyFont="1" applyFill="1" applyBorder="1" applyAlignment="1">
      <alignment horizontal="center" vertical="center" wrapText="1"/>
    </xf>
    <xf numFmtId="0" fontId="62" fillId="8" borderId="7" xfId="0" applyFont="1" applyFill="1" applyBorder="1" applyAlignment="1">
      <alignment horizontal="center" vertical="center" wrapText="1"/>
    </xf>
    <xf numFmtId="0" fontId="62" fillId="8" borderId="10" xfId="0" applyFont="1" applyFill="1" applyBorder="1" applyAlignment="1">
      <alignment horizontal="center" vertical="center" wrapText="1"/>
    </xf>
    <xf numFmtId="165" fontId="17" fillId="4" borderId="7" xfId="0" applyNumberFormat="1" applyFont="1" applyFill="1" applyBorder="1" applyAlignment="1">
      <alignment horizontal="right" vertical="center" wrapText="1"/>
    </xf>
    <xf numFmtId="0" fontId="10" fillId="3" borderId="4" xfId="0" applyFont="1" applyFill="1" applyBorder="1" applyAlignment="1">
      <alignment horizontal="left" vertical="center"/>
    </xf>
    <xf numFmtId="0" fontId="15" fillId="3" borderId="5" xfId="0" applyFont="1" applyFill="1" applyBorder="1" applyAlignment="1">
      <alignment horizontal="left" vertical="center"/>
    </xf>
    <xf numFmtId="0" fontId="60" fillId="3" borderId="5" xfId="0" applyFont="1" applyFill="1" applyBorder="1" applyAlignment="1">
      <alignment vertical="center"/>
    </xf>
    <xf numFmtId="0" fontId="63" fillId="3" borderId="5" xfId="0" applyFont="1" applyFill="1" applyBorder="1" applyAlignment="1">
      <alignment horizontal="left" wrapText="1"/>
    </xf>
    <xf numFmtId="0" fontId="60" fillId="3" borderId="5" xfId="0" applyFont="1" applyFill="1" applyBorder="1" applyAlignment="1">
      <alignment horizontal="center"/>
    </xf>
    <xf numFmtId="0" fontId="60" fillId="3" borderId="5" xfId="0" applyFont="1" applyFill="1" applyBorder="1" applyAlignment="1">
      <alignment horizontal="center" vertical="justify"/>
    </xf>
    <xf numFmtId="0" fontId="10" fillId="3" borderId="5" xfId="0" applyFont="1" applyFill="1" applyBorder="1" applyAlignment="1">
      <alignment vertical="center"/>
    </xf>
    <xf numFmtId="165" fontId="17" fillId="4" borderId="18" xfId="0" applyNumberFormat="1" applyFont="1" applyFill="1" applyBorder="1" applyAlignment="1">
      <alignment horizontal="center" vertical="center" wrapText="1"/>
    </xf>
    <xf numFmtId="14" fontId="0" fillId="3" borderId="5" xfId="0" applyNumberFormat="1" applyFill="1" applyBorder="1" applyAlignment="1">
      <alignment horizontal="center" vertical="center" wrapText="1"/>
    </xf>
    <xf numFmtId="0" fontId="0" fillId="3" borderId="8" xfId="0" applyFill="1" applyBorder="1" applyAlignment="1">
      <alignment vertical="center"/>
    </xf>
    <xf numFmtId="0" fontId="0" fillId="3" borderId="6" xfId="0" applyFill="1" applyBorder="1" applyAlignment="1">
      <alignment vertical="center"/>
    </xf>
    <xf numFmtId="0" fontId="64" fillId="3" borderId="8" xfId="0" applyFont="1" applyFill="1" applyBorder="1" applyAlignment="1">
      <alignment horizontal="center" vertical="center"/>
    </xf>
    <xf numFmtId="0" fontId="11" fillId="3" borderId="5" xfId="1" applyFont="1" applyFill="1" applyBorder="1" applyAlignment="1">
      <alignment horizontal="left" vertical="center" wrapText="1"/>
    </xf>
    <xf numFmtId="0" fontId="39" fillId="9" borderId="9" xfId="0" applyFont="1" applyFill="1" applyBorder="1" applyAlignment="1">
      <alignment vertical="center" wrapText="1"/>
    </xf>
    <xf numFmtId="167" fontId="17" fillId="11" borderId="9" xfId="0" applyNumberFormat="1" applyFont="1" applyFill="1" applyBorder="1" applyAlignment="1">
      <alignment vertical="center" wrapText="1"/>
    </xf>
    <xf numFmtId="167" fontId="44" fillId="11" borderId="9" xfId="0" applyNumberFormat="1" applyFont="1" applyFill="1" applyBorder="1" applyAlignment="1">
      <alignment vertical="center" wrapText="1"/>
    </xf>
    <xf numFmtId="0" fontId="5" fillId="0" borderId="18" xfId="0" applyFont="1" applyBorder="1" applyAlignment="1">
      <alignment horizontal="left" vertical="center" wrapText="1"/>
    </xf>
    <xf numFmtId="165" fontId="5" fillId="4" borderId="12" xfId="0" applyNumberFormat="1" applyFont="1" applyFill="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46" fillId="4" borderId="5" xfId="0" applyFont="1" applyFill="1" applyBorder="1" applyAlignment="1">
      <alignment horizontal="center" vertical="center"/>
    </xf>
    <xf numFmtId="0" fontId="0" fillId="3" borderId="8" xfId="0" applyFill="1" applyBorder="1" applyAlignment="1">
      <alignment horizontal="center" vertical="center"/>
    </xf>
    <xf numFmtId="0" fontId="0" fillId="3" borderId="6" xfId="0" applyFill="1" applyBorder="1" applyAlignment="1">
      <alignment horizontal="center" vertical="center"/>
    </xf>
    <xf numFmtId="0" fontId="66" fillId="3" borderId="5" xfId="0" applyFont="1" applyFill="1" applyBorder="1" applyAlignment="1">
      <alignment horizontal="center" vertical="center"/>
    </xf>
    <xf numFmtId="0" fontId="65" fillId="3" borderId="5" xfId="0" applyFont="1" applyFill="1" applyBorder="1" applyAlignment="1">
      <alignment horizontal="center" vertical="center"/>
    </xf>
    <xf numFmtId="0" fontId="65" fillId="3" borderId="5" xfId="0" applyFont="1" applyFill="1" applyBorder="1" applyAlignment="1">
      <alignment horizontal="center" vertical="center" wrapText="1"/>
    </xf>
    <xf numFmtId="0" fontId="67" fillId="3" borderId="26" xfId="0" applyFont="1" applyFill="1" applyBorder="1"/>
    <xf numFmtId="0" fontId="67" fillId="3" borderId="26" xfId="0" applyFont="1" applyFill="1" applyBorder="1" applyAlignment="1">
      <alignment horizontal="center" vertical="center"/>
    </xf>
    <xf numFmtId="0" fontId="67" fillId="3" borderId="27" xfId="0" applyFont="1" applyFill="1" applyBorder="1" applyAlignment="1">
      <alignment horizontal="center" vertical="center"/>
    </xf>
    <xf numFmtId="0" fontId="67" fillId="3" borderId="28" xfId="0" applyFont="1" applyFill="1" applyBorder="1"/>
    <xf numFmtId="0" fontId="68" fillId="0" borderId="28" xfId="0" applyFont="1" applyBorder="1" applyAlignment="1">
      <alignment horizontal="center" vertical="center"/>
    </xf>
    <xf numFmtId="0" fontId="68" fillId="0" borderId="29" xfId="0" applyFont="1" applyBorder="1" applyAlignment="1">
      <alignment horizontal="center" vertical="center"/>
    </xf>
    <xf numFmtId="0" fontId="3" fillId="0" borderId="0" xfId="1" applyFill="1" applyBorder="1" applyAlignment="1">
      <alignment vertical="center"/>
    </xf>
    <xf numFmtId="0" fontId="44" fillId="0" borderId="0" xfId="0" applyFont="1" applyAlignment="1">
      <alignment horizontal="center" vertical="center" wrapText="1"/>
    </xf>
    <xf numFmtId="0" fontId="43" fillId="0" borderId="0" xfId="0" applyFont="1"/>
    <xf numFmtId="167" fontId="44" fillId="0" borderId="0" xfId="0" applyNumberFormat="1" applyFont="1"/>
    <xf numFmtId="0" fontId="0" fillId="3" borderId="5" xfId="0" applyFill="1" applyBorder="1" applyAlignment="1">
      <alignment horizontal="center" vertical="top"/>
    </xf>
    <xf numFmtId="0" fontId="0" fillId="3" borderId="5" xfId="0" applyFill="1" applyBorder="1" applyAlignment="1">
      <alignment vertical="top" wrapText="1"/>
    </xf>
    <xf numFmtId="0" fontId="69" fillId="0" borderId="0" xfId="1" applyFont="1" applyFill="1" applyBorder="1" applyAlignment="1">
      <alignment vertical="center"/>
    </xf>
    <xf numFmtId="0" fontId="70" fillId="0" borderId="0" xfId="1" applyFont="1" applyFill="1" applyBorder="1" applyAlignment="1">
      <alignment vertical="center"/>
    </xf>
    <xf numFmtId="166" fontId="5" fillId="5" borderId="7" xfId="0" applyNumberFormat="1" applyFont="1" applyFill="1" applyBorder="1" applyAlignment="1">
      <alignment horizontal="center" vertical="center" wrapText="1"/>
    </xf>
    <xf numFmtId="166" fontId="5" fillId="5" borderId="9" xfId="0" applyNumberFormat="1" applyFont="1" applyFill="1" applyBorder="1" applyAlignment="1">
      <alignment horizontal="center" vertical="center" wrapText="1"/>
    </xf>
    <xf numFmtId="0" fontId="17" fillId="4" borderId="7" xfId="0" applyFont="1" applyFill="1" applyBorder="1" applyAlignment="1">
      <alignment vertical="center"/>
    </xf>
    <xf numFmtId="0" fontId="0" fillId="4" borderId="7" xfId="0" applyFill="1" applyBorder="1"/>
    <xf numFmtId="0" fontId="5" fillId="5" borderId="7" xfId="0" applyFont="1" applyFill="1" applyBorder="1" applyAlignment="1">
      <alignment horizontal="center" vertical="center" wrapText="1"/>
    </xf>
    <xf numFmtId="164" fontId="5" fillId="5" borderId="9" xfId="0" applyNumberFormat="1" applyFont="1" applyFill="1" applyBorder="1" applyAlignment="1">
      <alignment horizontal="center" vertical="top" wrapText="1"/>
    </xf>
    <xf numFmtId="0" fontId="17" fillId="4" borderId="5" xfId="0" applyFont="1" applyFill="1" applyBorder="1" applyAlignment="1">
      <alignment vertical="top" wrapText="1"/>
    </xf>
    <xf numFmtId="165" fontId="17" fillId="4" borderId="5" xfId="0" applyNumberFormat="1" applyFont="1" applyFill="1" applyBorder="1" applyAlignment="1">
      <alignment horizontal="center" vertical="center" wrapText="1"/>
    </xf>
    <xf numFmtId="0" fontId="17" fillId="12" borderId="5"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11" fillId="13" borderId="5" xfId="0" applyFont="1" applyFill="1" applyBorder="1" applyAlignment="1">
      <alignment horizontal="center" vertical="center"/>
    </xf>
    <xf numFmtId="168" fontId="11" fillId="13" borderId="5" xfId="3" applyNumberFormat="1" applyFont="1" applyFill="1" applyBorder="1" applyAlignment="1">
      <alignment horizontal="center" vertical="center"/>
    </xf>
    <xf numFmtId="0" fontId="11" fillId="13" borderId="5" xfId="0" applyFont="1" applyFill="1" applyBorder="1" applyAlignment="1">
      <alignment horizontal="left" vertical="center" wrapText="1"/>
    </xf>
    <xf numFmtId="0" fontId="11" fillId="13" borderId="5" xfId="0" applyFont="1" applyFill="1" applyBorder="1" applyAlignment="1">
      <alignment vertical="center"/>
    </xf>
    <xf numFmtId="0" fontId="16" fillId="13" borderId="5" xfId="0" applyFont="1" applyFill="1" applyBorder="1" applyAlignment="1">
      <alignment vertical="center"/>
    </xf>
    <xf numFmtId="0" fontId="16" fillId="13" borderId="5" xfId="0" applyFont="1" applyFill="1" applyBorder="1" applyAlignment="1">
      <alignment horizontal="center" vertical="center"/>
    </xf>
    <xf numFmtId="0" fontId="3" fillId="13" borderId="5" xfId="1" applyFill="1" applyBorder="1" applyAlignment="1">
      <alignment vertical="center"/>
    </xf>
    <xf numFmtId="0" fontId="15" fillId="13" borderId="5" xfId="0" applyFont="1" applyFill="1" applyBorder="1" applyAlignment="1">
      <alignment vertical="center"/>
    </xf>
    <xf numFmtId="0" fontId="11" fillId="13" borderId="5" xfId="0" applyFont="1" applyFill="1" applyBorder="1" applyAlignment="1">
      <alignment horizontal="center" vertical="center" wrapText="1"/>
    </xf>
    <xf numFmtId="0" fontId="15" fillId="14" borderId="5" xfId="0" applyFont="1" applyFill="1" applyBorder="1" applyAlignment="1">
      <alignment horizontal="center" vertical="center" wrapText="1"/>
    </xf>
    <xf numFmtId="0" fontId="11" fillId="14" borderId="5" xfId="0" applyFont="1" applyFill="1" applyBorder="1" applyAlignment="1">
      <alignment horizontal="center" vertical="center"/>
    </xf>
    <xf numFmtId="168" fontId="11" fillId="14" borderId="5" xfId="0" applyNumberFormat="1" applyFont="1" applyFill="1" applyBorder="1" applyAlignment="1">
      <alignment horizontal="center" vertical="center"/>
    </xf>
    <xf numFmtId="0" fontId="11" fillId="14" borderId="5" xfId="0" applyFont="1" applyFill="1" applyBorder="1" applyAlignment="1">
      <alignment horizontal="left" vertical="center" wrapText="1"/>
    </xf>
    <xf numFmtId="0" fontId="11" fillId="14" borderId="5" xfId="0" applyFont="1" applyFill="1" applyBorder="1" applyAlignment="1">
      <alignment vertical="center"/>
    </xf>
    <xf numFmtId="0" fontId="16" fillId="14" borderId="5" xfId="0" applyFont="1" applyFill="1" applyBorder="1" applyAlignment="1">
      <alignment vertical="center"/>
    </xf>
    <xf numFmtId="0" fontId="16" fillId="14" borderId="5" xfId="0" applyFont="1" applyFill="1" applyBorder="1" applyAlignment="1">
      <alignment horizontal="center" vertical="center"/>
    </xf>
    <xf numFmtId="0" fontId="3" fillId="14" borderId="5" xfId="1" applyFill="1" applyBorder="1" applyAlignment="1">
      <alignment vertical="center"/>
    </xf>
    <xf numFmtId="0" fontId="11" fillId="14" borderId="5" xfId="0" applyFont="1" applyFill="1" applyBorder="1" applyAlignment="1">
      <alignment horizontal="left" vertical="center"/>
    </xf>
    <xf numFmtId="0" fontId="12" fillId="14" borderId="5" xfId="0" applyFont="1" applyFill="1" applyBorder="1" applyAlignment="1">
      <alignment vertical="center"/>
    </xf>
    <xf numFmtId="0" fontId="58" fillId="13" borderId="5" xfId="0" applyFont="1" applyFill="1" applyBorder="1" applyAlignment="1">
      <alignment horizontal="center" vertical="center"/>
    </xf>
    <xf numFmtId="0" fontId="15" fillId="13" borderId="5" xfId="0" applyFont="1" applyFill="1" applyBorder="1" applyAlignment="1">
      <alignment horizontal="center" vertical="center"/>
    </xf>
    <xf numFmtId="0" fontId="15" fillId="13" borderId="5" xfId="0" applyFont="1" applyFill="1" applyBorder="1" applyAlignment="1">
      <alignment vertical="center" wrapText="1"/>
    </xf>
    <xf numFmtId="0" fontId="3" fillId="13" borderId="5" xfId="1" applyFill="1" applyBorder="1" applyAlignment="1">
      <alignment horizontal="left" vertical="center"/>
    </xf>
    <xf numFmtId="0" fontId="15" fillId="15" borderId="5" xfId="0" applyFont="1" applyFill="1" applyBorder="1" applyAlignment="1">
      <alignment horizontal="center" vertical="center" wrapText="1"/>
    </xf>
    <xf numFmtId="0" fontId="16" fillId="15" borderId="5" xfId="0" applyFont="1" applyFill="1" applyBorder="1" applyAlignment="1">
      <alignment vertical="justify"/>
    </xf>
    <xf numFmtId="168" fontId="16" fillId="15" borderId="5" xfId="0" applyNumberFormat="1" applyFont="1" applyFill="1" applyBorder="1" applyAlignment="1">
      <alignment vertical="justify"/>
    </xf>
    <xf numFmtId="0" fontId="16" fillId="15" borderId="5" xfId="0" applyFont="1" applyFill="1" applyBorder="1"/>
    <xf numFmtId="0" fontId="16" fillId="15" borderId="5" xfId="0" applyFont="1" applyFill="1" applyBorder="1" applyAlignment="1">
      <alignment vertical="top"/>
    </xf>
    <xf numFmtId="0" fontId="16" fillId="15" borderId="5" xfId="0" applyFont="1" applyFill="1" applyBorder="1" applyAlignment="1">
      <alignment horizontal="center" vertical="top" wrapText="1"/>
    </xf>
    <xf numFmtId="0" fontId="20" fillId="15" borderId="5" xfId="0" applyFont="1" applyFill="1" applyBorder="1" applyAlignment="1">
      <alignment horizontal="center"/>
    </xf>
    <xf numFmtId="0" fontId="3" fillId="15" borderId="5" xfId="1" applyFill="1" applyBorder="1" applyAlignment="1">
      <alignment vertical="center"/>
    </xf>
    <xf numFmtId="0" fontId="15" fillId="15" borderId="5" xfId="0" applyFont="1" applyFill="1" applyBorder="1" applyAlignment="1">
      <alignment vertical="center"/>
    </xf>
    <xf numFmtId="168" fontId="15" fillId="15" borderId="5" xfId="0" applyNumberFormat="1" applyFont="1" applyFill="1" applyBorder="1" applyAlignment="1">
      <alignment vertical="center"/>
    </xf>
    <xf numFmtId="0" fontId="15" fillId="15" borderId="5" xfId="0" applyFont="1" applyFill="1" applyBorder="1" applyAlignment="1">
      <alignment horizontal="center" vertical="center"/>
    </xf>
    <xf numFmtId="0" fontId="58" fillId="15" borderId="5" xfId="0" applyFont="1" applyFill="1" applyBorder="1" applyAlignment="1">
      <alignment horizontal="center" vertical="center"/>
    </xf>
    <xf numFmtId="168" fontId="60" fillId="3" borderId="5" xfId="0" applyNumberFormat="1" applyFont="1" applyFill="1" applyBorder="1" applyAlignment="1">
      <alignment horizontal="center" vertical="center"/>
    </xf>
    <xf numFmtId="168" fontId="15" fillId="13" borderId="5" xfId="0" applyNumberFormat="1" applyFont="1" applyFill="1" applyBorder="1" applyAlignment="1">
      <alignment vertical="center"/>
    </xf>
    <xf numFmtId="0" fontId="0" fillId="3" borderId="0" xfId="0" applyFill="1" applyAlignment="1">
      <alignment horizontal="center" vertical="center"/>
    </xf>
    <xf numFmtId="0" fontId="5" fillId="4" borderId="7" xfId="0" applyFont="1" applyFill="1" applyBorder="1" applyAlignment="1">
      <alignment horizontal="left" vertical="top" wrapText="1"/>
    </xf>
    <xf numFmtId="0" fontId="17" fillId="4" borderId="7" xfId="0" applyFont="1" applyFill="1" applyBorder="1" applyAlignment="1">
      <alignment horizontal="center" vertical="center"/>
    </xf>
    <xf numFmtId="0" fontId="5" fillId="4" borderId="7" xfId="0" applyFont="1" applyFill="1" applyBorder="1" applyAlignment="1">
      <alignment horizontal="left" wrapText="1"/>
    </xf>
    <xf numFmtId="0" fontId="17" fillId="4" borderId="7" xfId="0" applyFont="1" applyFill="1" applyBorder="1" applyAlignment="1">
      <alignment horizontal="center"/>
    </xf>
    <xf numFmtId="0" fontId="55" fillId="2" borderId="5" xfId="0" applyFont="1" applyFill="1" applyBorder="1" applyAlignment="1">
      <alignment horizontal="center" vertical="center"/>
    </xf>
    <xf numFmtId="168" fontId="0" fillId="3" borderId="5" xfId="0" applyNumberFormat="1" applyFill="1" applyBorder="1" applyAlignment="1">
      <alignment horizontal="center" vertical="center"/>
    </xf>
    <xf numFmtId="0" fontId="0" fillId="3" borderId="5" xfId="0" applyFill="1" applyBorder="1" applyAlignment="1">
      <alignment horizontal="center" vertical="center"/>
    </xf>
    <xf numFmtId="0" fontId="4"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48" fillId="3" borderId="1" xfId="0" applyFont="1" applyFill="1" applyBorder="1" applyAlignment="1">
      <alignment horizontal="center" vertical="center"/>
    </xf>
    <xf numFmtId="0" fontId="48" fillId="3" borderId="6" xfId="0" applyFont="1" applyFill="1" applyBorder="1" applyAlignment="1">
      <alignment horizontal="center" vertical="center"/>
    </xf>
    <xf numFmtId="0" fontId="48" fillId="3" borderId="1" xfId="0" applyFont="1" applyFill="1" applyBorder="1" applyAlignment="1">
      <alignment horizontal="left" vertical="center"/>
    </xf>
    <xf numFmtId="0" fontId="48" fillId="3" borderId="6" xfId="0" applyFont="1" applyFill="1" applyBorder="1" applyAlignment="1">
      <alignment horizontal="left" vertical="center"/>
    </xf>
    <xf numFmtId="0" fontId="48" fillId="3" borderId="1" xfId="0" applyFont="1" applyFill="1" applyBorder="1" applyAlignment="1">
      <alignment horizontal="left" vertical="center" wrapText="1"/>
    </xf>
    <xf numFmtId="0" fontId="48" fillId="3" borderId="6" xfId="0" applyFont="1" applyFill="1" applyBorder="1" applyAlignment="1">
      <alignment horizontal="left" vertical="center" wrapText="1"/>
    </xf>
    <xf numFmtId="0" fontId="3" fillId="3" borderId="1" xfId="1" applyFill="1" applyBorder="1" applyAlignment="1">
      <alignment horizontal="left" vertical="center"/>
    </xf>
    <xf numFmtId="0" fontId="0" fillId="3" borderId="1" xfId="0" applyFill="1" applyBorder="1" applyAlignment="1">
      <alignment horizontal="center" vertical="center"/>
    </xf>
    <xf numFmtId="0" fontId="0" fillId="3" borderId="8" xfId="0" applyFill="1" applyBorder="1" applyAlignment="1">
      <alignment horizontal="center" vertical="center"/>
    </xf>
    <xf numFmtId="0" fontId="0" fillId="3" borderId="6" xfId="0" applyFill="1" applyBorder="1" applyAlignment="1">
      <alignment horizontal="center" vertical="center"/>
    </xf>
    <xf numFmtId="0" fontId="48" fillId="3" borderId="1" xfId="0" applyFont="1" applyFill="1" applyBorder="1" applyAlignment="1">
      <alignment horizontal="center" vertical="center" wrapText="1"/>
    </xf>
    <xf numFmtId="0" fontId="48" fillId="3" borderId="8" xfId="0" applyFont="1" applyFill="1" applyBorder="1" applyAlignment="1">
      <alignment horizontal="center" vertical="center" wrapText="1"/>
    </xf>
    <xf numFmtId="0" fontId="48" fillId="3" borderId="6" xfId="0" applyFont="1" applyFill="1" applyBorder="1" applyAlignment="1">
      <alignment horizontal="center" vertical="center" wrapText="1"/>
    </xf>
    <xf numFmtId="0" fontId="3" fillId="3" borderId="1" xfId="1" applyFill="1" applyBorder="1" applyAlignment="1">
      <alignment horizontal="center" vertical="center"/>
    </xf>
    <xf numFmtId="0" fontId="3" fillId="3" borderId="13" xfId="1" applyFill="1" applyBorder="1" applyAlignment="1">
      <alignment horizontal="center" vertical="center"/>
    </xf>
    <xf numFmtId="0" fontId="3" fillId="3" borderId="25" xfId="1" applyFill="1" applyBorder="1" applyAlignment="1">
      <alignment horizontal="center" vertical="center"/>
    </xf>
    <xf numFmtId="0" fontId="2" fillId="2" borderId="5" xfId="0" applyFont="1" applyFill="1" applyBorder="1" applyAlignment="1">
      <alignment horizontal="center" vertical="center" wrapText="1"/>
    </xf>
    <xf numFmtId="0" fontId="2" fillId="2" borderId="5"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xf>
    <xf numFmtId="0" fontId="3" fillId="3" borderId="5" xfId="1" applyFill="1" applyBorder="1" applyAlignment="1">
      <alignment horizontal="center" vertical="center"/>
    </xf>
    <xf numFmtId="0" fontId="37" fillId="3" borderId="0" xfId="4" applyFill="1" applyAlignment="1">
      <alignment horizontal="center"/>
    </xf>
    <xf numFmtId="0" fontId="37" fillId="3" borderId="5" xfId="4" applyFill="1" applyBorder="1" applyAlignment="1">
      <alignment horizontal="center" vertical="center"/>
    </xf>
    <xf numFmtId="0" fontId="6" fillId="0" borderId="5" xfId="0" applyFont="1" applyBorder="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6" xfId="0" applyFont="1" applyFill="1" applyBorder="1" applyAlignment="1">
      <alignment horizontal="center" vertical="center"/>
    </xf>
    <xf numFmtId="0" fontId="3" fillId="3" borderId="30" xfId="1" applyFill="1" applyBorder="1" applyAlignment="1">
      <alignment horizontal="center" vertical="center"/>
    </xf>
    <xf numFmtId="0" fontId="3" fillId="3" borderId="21" xfId="1" applyFill="1" applyBorder="1" applyAlignment="1">
      <alignment horizontal="center" vertical="center"/>
    </xf>
    <xf numFmtId="0" fontId="3" fillId="3" borderId="31" xfId="1" applyFill="1" applyBorder="1" applyAlignment="1">
      <alignment horizontal="center" vertical="center"/>
    </xf>
    <xf numFmtId="0" fontId="3" fillId="3" borderId="0" xfId="1" applyFill="1" applyBorder="1" applyAlignment="1">
      <alignment horizontal="center" vertical="center"/>
    </xf>
    <xf numFmtId="0" fontId="39" fillId="8" borderId="18" xfId="0" applyFont="1" applyFill="1" applyBorder="1" applyAlignment="1">
      <alignment horizontal="center" vertical="center" wrapText="1"/>
    </xf>
    <xf numFmtId="0" fontId="43" fillId="2" borderId="19" xfId="0" applyFont="1" applyFill="1" applyBorder="1"/>
    <xf numFmtId="0" fontId="39" fillId="8" borderId="9" xfId="0" applyFont="1" applyFill="1" applyBorder="1" applyAlignment="1">
      <alignment horizontal="center" vertical="center" wrapText="1"/>
    </xf>
    <xf numFmtId="0" fontId="43" fillId="2" borderId="10" xfId="0" applyFont="1" applyFill="1" applyBorder="1"/>
    <xf numFmtId="0" fontId="43" fillId="2" borderId="19" xfId="0" applyFont="1" applyFill="1" applyBorder="1" applyAlignment="1">
      <alignment wrapText="1"/>
    </xf>
    <xf numFmtId="0" fontId="2" fillId="2" borderId="21" xfId="0" applyFont="1" applyFill="1" applyBorder="1" applyAlignment="1">
      <alignment horizontal="center" vertical="center"/>
    </xf>
    <xf numFmtId="0" fontId="8" fillId="2" borderId="19" xfId="0" applyFont="1" applyFill="1" applyBorder="1"/>
    <xf numFmtId="0" fontId="8" fillId="2" borderId="10" xfId="0" applyFont="1" applyFill="1" applyBorder="1"/>
    <xf numFmtId="0" fontId="39" fillId="8" borderId="12" xfId="0" applyFont="1" applyFill="1" applyBorder="1" applyAlignment="1">
      <alignment horizontal="center" vertical="center" wrapText="1"/>
    </xf>
    <xf numFmtId="0" fontId="8" fillId="2" borderId="22" xfId="0" applyFont="1" applyFill="1" applyBorder="1"/>
    <xf numFmtId="0" fontId="3" fillId="3" borderId="32" xfId="1" applyFill="1" applyBorder="1" applyAlignment="1">
      <alignment horizontal="center" vertical="center"/>
    </xf>
    <xf numFmtId="0" fontId="3" fillId="3" borderId="33" xfId="1" applyFill="1" applyBorder="1" applyAlignment="1">
      <alignment horizontal="center" vertical="center"/>
    </xf>
    <xf numFmtId="0" fontId="3" fillId="3" borderId="34" xfId="1" applyFill="1" applyBorder="1" applyAlignment="1">
      <alignment horizontal="center" vertical="center"/>
    </xf>
    <xf numFmtId="0" fontId="36" fillId="2" borderId="5" xfId="0" applyFont="1" applyFill="1" applyBorder="1" applyAlignment="1">
      <alignment horizontal="center" vertical="center"/>
    </xf>
    <xf numFmtId="0" fontId="38" fillId="3" borderId="1" xfId="1" applyFont="1" applyFill="1" applyBorder="1" applyAlignment="1">
      <alignment horizontal="center" vertical="center"/>
    </xf>
    <xf numFmtId="0" fontId="2" fillId="3" borderId="6" xfId="0" applyFont="1" applyFill="1" applyBorder="1" applyAlignment="1">
      <alignment horizontal="center" vertical="center"/>
    </xf>
    <xf numFmtId="0" fontId="2" fillId="3" borderId="8" xfId="0" applyFont="1" applyFill="1" applyBorder="1" applyAlignment="1">
      <alignment horizontal="center" vertical="center"/>
    </xf>
    <xf numFmtId="0" fontId="38" fillId="3" borderId="6" xfId="1" applyFont="1" applyFill="1" applyBorder="1" applyAlignment="1">
      <alignment horizontal="center" vertical="center"/>
    </xf>
    <xf numFmtId="0" fontId="38" fillId="3" borderId="5" xfId="1" applyFont="1" applyFill="1" applyBorder="1" applyAlignment="1">
      <alignment horizontal="center" vertical="center"/>
    </xf>
    <xf numFmtId="0" fontId="2" fillId="3" borderId="5" xfId="0" applyFont="1"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44" fillId="0" borderId="12" xfId="0" applyFont="1" applyBorder="1" applyAlignment="1">
      <alignment horizontal="center" vertical="center" wrapText="1"/>
    </xf>
    <xf numFmtId="0" fontId="43" fillId="0" borderId="11" xfId="0" applyFont="1" applyBorder="1"/>
    <xf numFmtId="0" fontId="44" fillId="0" borderId="9" xfId="0" applyFont="1" applyBorder="1" applyAlignment="1">
      <alignment horizontal="center" vertical="center" wrapText="1"/>
    </xf>
    <xf numFmtId="0" fontId="43" fillId="0" borderId="10" xfId="0" applyFont="1" applyBorder="1"/>
    <xf numFmtId="0" fontId="43" fillId="2" borderId="14" xfId="0" applyFont="1" applyFill="1" applyBorder="1"/>
    <xf numFmtId="0" fontId="3" fillId="3" borderId="6" xfId="1" applyFill="1" applyBorder="1" applyAlignment="1">
      <alignment horizontal="center" vertical="center"/>
    </xf>
    <xf numFmtId="0" fontId="3" fillId="3" borderId="8" xfId="1" applyFill="1" applyBorder="1" applyAlignment="1">
      <alignment horizontal="center" vertical="center"/>
    </xf>
    <xf numFmtId="0" fontId="0" fillId="3" borderId="1" xfId="0" applyFill="1" applyBorder="1" applyAlignment="1">
      <alignment horizontal="center"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0" fontId="3" fillId="3" borderId="5" xfId="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0" fillId="3" borderId="1" xfId="0" applyFill="1" applyBorder="1" applyAlignment="1">
      <alignment horizontal="left" vertical="center"/>
    </xf>
    <xf numFmtId="0" fontId="0" fillId="3" borderId="8" xfId="0" applyFill="1" applyBorder="1" applyAlignment="1">
      <alignment horizontal="left" vertical="center"/>
    </xf>
    <xf numFmtId="0" fontId="0" fillId="3" borderId="6" xfId="0" applyFill="1" applyBorder="1" applyAlignment="1">
      <alignment horizontal="left" vertical="center"/>
    </xf>
    <xf numFmtId="0" fontId="54" fillId="3" borderId="5" xfId="0" applyFont="1" applyFill="1" applyBorder="1" applyAlignment="1">
      <alignment horizontal="center" vertical="center"/>
    </xf>
    <xf numFmtId="0" fontId="17"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7" fillId="4" borderId="18" xfId="0" applyFont="1" applyFill="1" applyBorder="1" applyAlignment="1">
      <alignment horizontal="left" vertical="center" wrapText="1"/>
    </xf>
    <xf numFmtId="0" fontId="17" fillId="4" borderId="19" xfId="0" applyFont="1" applyFill="1" applyBorder="1" applyAlignment="1">
      <alignment horizontal="left" vertical="center" wrapText="1"/>
    </xf>
    <xf numFmtId="0" fontId="17" fillId="4" borderId="18"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44" fillId="8" borderId="18" xfId="0" applyFont="1" applyFill="1" applyBorder="1" applyAlignment="1">
      <alignment horizontal="center" vertical="center" wrapText="1"/>
    </xf>
    <xf numFmtId="0" fontId="44" fillId="8" borderId="18" xfId="0" applyFont="1" applyFill="1" applyBorder="1" applyAlignment="1">
      <alignment horizontal="left" vertical="center" wrapText="1"/>
    </xf>
    <xf numFmtId="0" fontId="43" fillId="2" borderId="19" xfId="0" applyFont="1" applyFill="1" applyBorder="1" applyAlignment="1">
      <alignment horizontal="left" vertical="center"/>
    </xf>
    <xf numFmtId="0" fontId="44" fillId="8" borderId="9" xfId="0" applyFont="1" applyFill="1" applyBorder="1" applyAlignment="1">
      <alignment horizontal="center" vertical="center" wrapText="1"/>
    </xf>
    <xf numFmtId="0" fontId="17" fillId="4" borderId="12"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0" borderId="20" xfId="0" applyFont="1" applyBorder="1" applyAlignment="1">
      <alignment horizontal="center" vertical="center" wrapText="1"/>
    </xf>
    <xf numFmtId="0" fontId="17" fillId="4" borderId="20" xfId="0" applyFont="1" applyFill="1" applyBorder="1" applyAlignment="1">
      <alignment horizontal="left" vertical="center" wrapText="1"/>
    </xf>
    <xf numFmtId="0" fontId="17" fillId="4" borderId="20"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45" fillId="4" borderId="18" xfId="0" applyFont="1" applyFill="1" applyBorder="1" applyAlignment="1">
      <alignment horizontal="left" vertical="center"/>
    </xf>
    <xf numFmtId="0" fontId="45" fillId="4" borderId="19" xfId="0" applyFont="1" applyFill="1" applyBorder="1" applyAlignment="1">
      <alignment horizontal="left" vertical="center"/>
    </xf>
    <xf numFmtId="0" fontId="17" fillId="4" borderId="18" xfId="0" applyFont="1" applyFill="1" applyBorder="1" applyAlignment="1">
      <alignment horizontal="left" wrapText="1"/>
    </xf>
    <xf numFmtId="0" fontId="17" fillId="4" borderId="19" xfId="0" applyFont="1" applyFill="1" applyBorder="1" applyAlignment="1">
      <alignment horizontal="left" wrapText="1"/>
    </xf>
    <xf numFmtId="0" fontId="17" fillId="4" borderId="20" xfId="0" applyFont="1" applyFill="1" applyBorder="1" applyAlignment="1">
      <alignment horizontal="left" wrapText="1"/>
    </xf>
    <xf numFmtId="0" fontId="39" fillId="0" borderId="9" xfId="0" applyFont="1" applyBorder="1" applyAlignment="1">
      <alignment horizontal="center" vertical="center"/>
    </xf>
    <xf numFmtId="0" fontId="43" fillId="2" borderId="14" xfId="0" applyFont="1" applyFill="1" applyBorder="1" applyAlignment="1">
      <alignment horizontal="center" vertical="center" wrapText="1"/>
    </xf>
    <xf numFmtId="0" fontId="43" fillId="2" borderId="10" xfId="0" applyFont="1" applyFill="1" applyBorder="1" applyAlignment="1">
      <alignment horizontal="center" vertical="center" wrapText="1"/>
    </xf>
    <xf numFmtId="0" fontId="43" fillId="2" borderId="22" xfId="0" applyFont="1" applyFill="1" applyBorder="1"/>
    <xf numFmtId="0" fontId="39" fillId="8" borderId="15" xfId="0" applyFont="1" applyFill="1" applyBorder="1" applyAlignment="1">
      <alignment horizontal="center" vertical="center" wrapText="1"/>
    </xf>
    <xf numFmtId="0" fontId="43" fillId="2" borderId="15" xfId="0" applyFont="1" applyFill="1" applyBorder="1"/>
    <xf numFmtId="0" fontId="43" fillId="2" borderId="23" xfId="0" applyFont="1" applyFill="1" applyBorder="1"/>
    <xf numFmtId="0" fontId="5" fillId="4" borderId="9" xfId="0" applyFont="1" applyFill="1" applyBorder="1" applyAlignment="1">
      <alignment horizontal="center" vertical="center" wrapText="1"/>
    </xf>
    <xf numFmtId="0" fontId="43" fillId="0" borderId="14" xfId="0" applyFont="1" applyBorder="1"/>
    <xf numFmtId="0" fontId="5" fillId="9" borderId="9" xfId="0" applyFont="1" applyFill="1" applyBorder="1" applyAlignment="1">
      <alignment horizontal="center" vertical="center" wrapText="1"/>
    </xf>
    <xf numFmtId="0" fontId="43" fillId="2" borderId="19" xfId="0" applyFont="1" applyFill="1" applyBorder="1" applyAlignment="1">
      <alignment horizontal="center" vertical="center" wrapText="1"/>
    </xf>
    <xf numFmtId="0" fontId="47" fillId="0" borderId="9" xfId="0" applyFont="1" applyBorder="1" applyAlignment="1">
      <alignment horizontal="center" vertical="center" wrapText="1"/>
    </xf>
    <xf numFmtId="0" fontId="47" fillId="0" borderId="23" xfId="0" applyFont="1" applyBorder="1" applyAlignment="1">
      <alignment horizontal="center" vertical="center" wrapText="1"/>
    </xf>
    <xf numFmtId="0" fontId="50" fillId="0" borderId="24" xfId="0" applyFont="1" applyBorder="1"/>
    <xf numFmtId="0" fontId="3" fillId="3" borderId="8" xfId="1" applyFill="1" applyBorder="1" applyAlignment="1">
      <alignment horizontal="center" vertical="top"/>
    </xf>
    <xf numFmtId="0" fontId="3" fillId="3" borderId="6" xfId="1" applyFill="1" applyBorder="1" applyAlignment="1">
      <alignment horizontal="center" vertical="top"/>
    </xf>
    <xf numFmtId="0" fontId="0" fillId="3" borderId="8" xfId="0" applyFill="1" applyBorder="1" applyAlignment="1">
      <alignment horizontal="center" vertical="top"/>
    </xf>
    <xf numFmtId="0" fontId="0" fillId="3" borderId="6" xfId="0" applyFill="1" applyBorder="1" applyAlignment="1">
      <alignment horizontal="center" vertical="top"/>
    </xf>
  </cellXfs>
  <cellStyles count="5">
    <cellStyle name="Comma" xfId="3" builtinId="3"/>
    <cellStyle name="Currency 2" xfId="2" xr:uid="{E9143596-7E13-493E-BF5E-125576AEE9CE}"/>
    <cellStyle name="Hyperlink" xfId="1" builtinId="8"/>
    <cellStyle name="Normal" xfId="0" builtinId="0"/>
    <cellStyle name="Normal 2" xfId="4" xr:uid="{471428FC-CE93-4799-A123-8AF210922642}"/>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www.elsevier.com/" TargetMode="External"/></Relationships>
</file>

<file path=xl/drawings/drawing1.xml><?xml version="1.0" encoding="utf-8"?>
<xdr:wsDr xmlns:xdr="http://schemas.openxmlformats.org/drawingml/2006/spreadsheetDrawing" xmlns:a="http://schemas.openxmlformats.org/drawingml/2006/main">
  <xdr:twoCellAnchor editAs="oneCell">
    <xdr:from>
      <xdr:col>6</xdr:col>
      <xdr:colOff>4639236</xdr:colOff>
      <xdr:row>31</xdr:row>
      <xdr:rowOff>97118</xdr:rowOff>
    </xdr:from>
    <xdr:to>
      <xdr:col>6</xdr:col>
      <xdr:colOff>6380435</xdr:colOff>
      <xdr:row>35</xdr:row>
      <xdr:rowOff>161683</xdr:rowOff>
    </xdr:to>
    <xdr:pic>
      <xdr:nvPicPr>
        <xdr:cNvPr id="2" name="Picture 1">
          <a:extLst>
            <a:ext uri="{FF2B5EF4-FFF2-40B4-BE49-F238E27FC236}">
              <a16:creationId xmlns:a16="http://schemas.microsoft.com/office/drawing/2014/main" id="{C5624501-232E-0ADD-DAAE-515F94A623BE}"/>
            </a:ext>
          </a:extLst>
        </xdr:cNvPr>
        <xdr:cNvPicPr>
          <a:picLocks noChangeAspect="1"/>
        </xdr:cNvPicPr>
      </xdr:nvPicPr>
      <xdr:blipFill>
        <a:blip xmlns:r="http://schemas.openxmlformats.org/officeDocument/2006/relationships" r:embed="rId1"/>
        <a:stretch>
          <a:fillRect/>
        </a:stretch>
      </xdr:blipFill>
      <xdr:spPr>
        <a:xfrm>
          <a:off x="9061824" y="7074647"/>
          <a:ext cx="1741199" cy="9236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0</xdr:row>
      <xdr:rowOff>0</xdr:rowOff>
    </xdr:from>
    <xdr:ext cx="304800" cy="304800"/>
    <xdr:sp macro="" textlink="">
      <xdr:nvSpPr>
        <xdr:cNvPr id="2" name="AutoShape 2" descr="Elsevier Wordmark">
          <a:hlinkClick xmlns:r="http://schemas.openxmlformats.org/officeDocument/2006/relationships" r:id="rId1"/>
          <a:extLst>
            <a:ext uri="{FF2B5EF4-FFF2-40B4-BE49-F238E27FC236}">
              <a16:creationId xmlns:a16="http://schemas.microsoft.com/office/drawing/2014/main" id="{B3FA3A77-DAB4-4AA2-B71D-B4E695BF410C}"/>
            </a:ext>
          </a:extLst>
        </xdr:cNvPr>
        <xdr:cNvSpPr>
          <a:spLocks noChangeAspect="1" noChangeArrowheads="1"/>
        </xdr:cNvSpPr>
      </xdr:nvSpPr>
      <xdr:spPr bwMode="auto">
        <a:xfrm>
          <a:off x="197739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xdr:row>
      <xdr:rowOff>0</xdr:rowOff>
    </xdr:from>
    <xdr:ext cx="304800" cy="304800"/>
    <xdr:sp macro="" textlink="">
      <xdr:nvSpPr>
        <xdr:cNvPr id="3" name="AutoShape 2" descr="Elsevier Wordmark">
          <a:hlinkClick xmlns:r="http://schemas.openxmlformats.org/officeDocument/2006/relationships" r:id="rId1"/>
          <a:extLst>
            <a:ext uri="{FF2B5EF4-FFF2-40B4-BE49-F238E27FC236}">
              <a16:creationId xmlns:a16="http://schemas.microsoft.com/office/drawing/2014/main" id="{23533C19-60AA-41B2-8971-7EB9BEF4E46F}"/>
            </a:ext>
          </a:extLst>
        </xdr:cNvPr>
        <xdr:cNvSpPr>
          <a:spLocks noChangeAspect="1" noChangeArrowheads="1"/>
        </xdr:cNvSpPr>
      </xdr:nvSpPr>
      <xdr:spPr bwMode="auto">
        <a:xfrm>
          <a:off x="197739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30</xdr:row>
      <xdr:rowOff>0</xdr:rowOff>
    </xdr:from>
    <xdr:ext cx="304800" cy="304800"/>
    <xdr:sp macro="" textlink="">
      <xdr:nvSpPr>
        <xdr:cNvPr id="4" name="AutoShape 2" descr="Elsevier Wordmark">
          <a:hlinkClick xmlns:r="http://schemas.openxmlformats.org/officeDocument/2006/relationships" r:id="rId1"/>
          <a:extLst>
            <a:ext uri="{FF2B5EF4-FFF2-40B4-BE49-F238E27FC236}">
              <a16:creationId xmlns:a16="http://schemas.microsoft.com/office/drawing/2014/main" id="{1421A07B-F258-412E-8819-4910851BBE8B}"/>
            </a:ext>
          </a:extLst>
        </xdr:cNvPr>
        <xdr:cNvSpPr>
          <a:spLocks noChangeAspect="1" noChangeArrowheads="1"/>
        </xdr:cNvSpPr>
      </xdr:nvSpPr>
      <xdr:spPr bwMode="auto">
        <a:xfrm>
          <a:off x="19773900" y="439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30</xdr:row>
      <xdr:rowOff>0</xdr:rowOff>
    </xdr:from>
    <xdr:ext cx="304800" cy="304800"/>
    <xdr:sp macro="" textlink="">
      <xdr:nvSpPr>
        <xdr:cNvPr id="5" name="AutoShape 2" descr="Elsevier Wordmark">
          <a:hlinkClick xmlns:r="http://schemas.openxmlformats.org/officeDocument/2006/relationships" r:id="rId1"/>
          <a:extLst>
            <a:ext uri="{FF2B5EF4-FFF2-40B4-BE49-F238E27FC236}">
              <a16:creationId xmlns:a16="http://schemas.microsoft.com/office/drawing/2014/main" id="{A041715B-5E29-4D1B-B736-3F37A732BDC7}"/>
            </a:ext>
          </a:extLst>
        </xdr:cNvPr>
        <xdr:cNvSpPr>
          <a:spLocks noChangeAspect="1" noChangeArrowheads="1"/>
        </xdr:cNvSpPr>
      </xdr:nvSpPr>
      <xdr:spPr bwMode="auto">
        <a:xfrm>
          <a:off x="19773900" y="439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32</xdr:row>
      <xdr:rowOff>0</xdr:rowOff>
    </xdr:from>
    <xdr:ext cx="304800" cy="304800"/>
    <xdr:sp macro="" textlink="">
      <xdr:nvSpPr>
        <xdr:cNvPr id="6" name="AutoShape 2" descr="Elsevier Wordmark">
          <a:hlinkClick xmlns:r="http://schemas.openxmlformats.org/officeDocument/2006/relationships" r:id="rId1"/>
          <a:extLst>
            <a:ext uri="{FF2B5EF4-FFF2-40B4-BE49-F238E27FC236}">
              <a16:creationId xmlns:a16="http://schemas.microsoft.com/office/drawing/2014/main" id="{9D6AD6BC-5978-48A9-9370-D2961A28B2A0}"/>
            </a:ext>
          </a:extLst>
        </xdr:cNvPr>
        <xdr:cNvSpPr>
          <a:spLocks noChangeAspect="1" noChangeArrowheads="1"/>
        </xdr:cNvSpPr>
      </xdr:nvSpPr>
      <xdr:spPr bwMode="auto">
        <a:xfrm>
          <a:off x="19773900" y="474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33</xdr:row>
      <xdr:rowOff>0</xdr:rowOff>
    </xdr:from>
    <xdr:ext cx="304800" cy="304800"/>
    <xdr:sp macro="" textlink="">
      <xdr:nvSpPr>
        <xdr:cNvPr id="7" name="AutoShape 2" descr="Elsevier Wordmark">
          <a:hlinkClick xmlns:r="http://schemas.openxmlformats.org/officeDocument/2006/relationships" r:id="rId1"/>
          <a:extLst>
            <a:ext uri="{FF2B5EF4-FFF2-40B4-BE49-F238E27FC236}">
              <a16:creationId xmlns:a16="http://schemas.microsoft.com/office/drawing/2014/main" id="{865F3B8F-48C8-43A2-9EDF-6D7002C1A520}"/>
            </a:ext>
          </a:extLst>
        </xdr:cNvPr>
        <xdr:cNvSpPr>
          <a:spLocks noChangeAspect="1" noChangeArrowheads="1"/>
        </xdr:cNvSpPr>
      </xdr:nvSpPr>
      <xdr:spPr bwMode="auto">
        <a:xfrm>
          <a:off x="19773900" y="492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34</xdr:row>
      <xdr:rowOff>0</xdr:rowOff>
    </xdr:from>
    <xdr:ext cx="304800" cy="304800"/>
    <xdr:sp macro="" textlink="">
      <xdr:nvSpPr>
        <xdr:cNvPr id="8" name="AutoShape 2" descr="Elsevier Wordmark">
          <a:hlinkClick xmlns:r="http://schemas.openxmlformats.org/officeDocument/2006/relationships" r:id="rId1"/>
          <a:extLst>
            <a:ext uri="{FF2B5EF4-FFF2-40B4-BE49-F238E27FC236}">
              <a16:creationId xmlns:a16="http://schemas.microsoft.com/office/drawing/2014/main" id="{0086E07C-3722-4972-BE11-0E6BDF23061A}"/>
            </a:ext>
          </a:extLst>
        </xdr:cNvPr>
        <xdr:cNvSpPr>
          <a:spLocks noChangeAspect="1" noChangeArrowheads="1"/>
        </xdr:cNvSpPr>
      </xdr:nvSpPr>
      <xdr:spPr bwMode="auto">
        <a:xfrm>
          <a:off x="19773900" y="510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36</xdr:row>
      <xdr:rowOff>0</xdr:rowOff>
    </xdr:from>
    <xdr:ext cx="304800" cy="304800"/>
    <xdr:sp macro="" textlink="">
      <xdr:nvSpPr>
        <xdr:cNvPr id="9" name="AutoShape 2" descr="Elsevier Wordmark">
          <a:hlinkClick xmlns:r="http://schemas.openxmlformats.org/officeDocument/2006/relationships" r:id="rId1"/>
          <a:extLst>
            <a:ext uri="{FF2B5EF4-FFF2-40B4-BE49-F238E27FC236}">
              <a16:creationId xmlns:a16="http://schemas.microsoft.com/office/drawing/2014/main" id="{65E33E5F-8AB5-4325-BF43-4C4CEAD57950}"/>
            </a:ext>
          </a:extLst>
        </xdr:cNvPr>
        <xdr:cNvSpPr>
          <a:spLocks noChangeAspect="1" noChangeArrowheads="1"/>
        </xdr:cNvSpPr>
      </xdr:nvSpPr>
      <xdr:spPr bwMode="auto">
        <a:xfrm>
          <a:off x="19773900" y="54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37</xdr:row>
      <xdr:rowOff>0</xdr:rowOff>
    </xdr:from>
    <xdr:ext cx="304800" cy="304800"/>
    <xdr:sp macro="" textlink="">
      <xdr:nvSpPr>
        <xdr:cNvPr id="10" name="AutoShape 2" descr="Elsevier Wordmark">
          <a:hlinkClick xmlns:r="http://schemas.openxmlformats.org/officeDocument/2006/relationships" r:id="rId1"/>
          <a:extLst>
            <a:ext uri="{FF2B5EF4-FFF2-40B4-BE49-F238E27FC236}">
              <a16:creationId xmlns:a16="http://schemas.microsoft.com/office/drawing/2014/main" id="{8982D86A-81F1-4A32-9A5E-5E1524FF8DBC}"/>
            </a:ext>
          </a:extLst>
        </xdr:cNvPr>
        <xdr:cNvSpPr>
          <a:spLocks noChangeAspect="1" noChangeArrowheads="1"/>
        </xdr:cNvSpPr>
      </xdr:nvSpPr>
      <xdr:spPr bwMode="auto">
        <a:xfrm>
          <a:off x="19773900" y="563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38</xdr:row>
      <xdr:rowOff>0</xdr:rowOff>
    </xdr:from>
    <xdr:ext cx="304800" cy="304800"/>
    <xdr:sp macro="" textlink="">
      <xdr:nvSpPr>
        <xdr:cNvPr id="11" name="AutoShape 2" descr="Elsevier Wordmark">
          <a:hlinkClick xmlns:r="http://schemas.openxmlformats.org/officeDocument/2006/relationships" r:id="rId1"/>
          <a:extLst>
            <a:ext uri="{FF2B5EF4-FFF2-40B4-BE49-F238E27FC236}">
              <a16:creationId xmlns:a16="http://schemas.microsoft.com/office/drawing/2014/main" id="{ADBB35E7-5C82-4361-B43D-D2D457C4E19A}"/>
            </a:ext>
          </a:extLst>
        </xdr:cNvPr>
        <xdr:cNvSpPr>
          <a:spLocks noChangeAspect="1" noChangeArrowheads="1"/>
        </xdr:cNvSpPr>
      </xdr:nvSpPr>
      <xdr:spPr bwMode="auto">
        <a:xfrm>
          <a:off x="19773900" y="581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39</xdr:row>
      <xdr:rowOff>0</xdr:rowOff>
    </xdr:from>
    <xdr:ext cx="304800" cy="304800"/>
    <xdr:sp macro="" textlink="">
      <xdr:nvSpPr>
        <xdr:cNvPr id="12" name="AutoShape 2" descr="Elsevier Wordmark">
          <a:hlinkClick xmlns:r="http://schemas.openxmlformats.org/officeDocument/2006/relationships" r:id="rId1"/>
          <a:extLst>
            <a:ext uri="{FF2B5EF4-FFF2-40B4-BE49-F238E27FC236}">
              <a16:creationId xmlns:a16="http://schemas.microsoft.com/office/drawing/2014/main" id="{8DBCC071-0597-4EC0-A255-E7F30C696CD9}"/>
            </a:ext>
          </a:extLst>
        </xdr:cNvPr>
        <xdr:cNvSpPr>
          <a:spLocks noChangeAspect="1" noChangeArrowheads="1"/>
        </xdr:cNvSpPr>
      </xdr:nvSpPr>
      <xdr:spPr bwMode="auto">
        <a:xfrm>
          <a:off x="19773900" y="59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39</xdr:row>
      <xdr:rowOff>0</xdr:rowOff>
    </xdr:from>
    <xdr:ext cx="304800" cy="304800"/>
    <xdr:sp macro="" textlink="">
      <xdr:nvSpPr>
        <xdr:cNvPr id="13" name="AutoShape 2" descr="Elsevier Wordmark">
          <a:hlinkClick xmlns:r="http://schemas.openxmlformats.org/officeDocument/2006/relationships" r:id="rId1"/>
          <a:extLst>
            <a:ext uri="{FF2B5EF4-FFF2-40B4-BE49-F238E27FC236}">
              <a16:creationId xmlns:a16="http://schemas.microsoft.com/office/drawing/2014/main" id="{CAF63666-0D76-4115-BEC6-8B4185276E2D}"/>
            </a:ext>
          </a:extLst>
        </xdr:cNvPr>
        <xdr:cNvSpPr>
          <a:spLocks noChangeAspect="1" noChangeArrowheads="1"/>
        </xdr:cNvSpPr>
      </xdr:nvSpPr>
      <xdr:spPr bwMode="auto">
        <a:xfrm>
          <a:off x="19773900" y="59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40</xdr:row>
      <xdr:rowOff>0</xdr:rowOff>
    </xdr:from>
    <xdr:ext cx="304800" cy="304800"/>
    <xdr:sp macro="" textlink="">
      <xdr:nvSpPr>
        <xdr:cNvPr id="14" name="AutoShape 2" descr="Elsevier Wordmark">
          <a:hlinkClick xmlns:r="http://schemas.openxmlformats.org/officeDocument/2006/relationships" r:id="rId1"/>
          <a:extLst>
            <a:ext uri="{FF2B5EF4-FFF2-40B4-BE49-F238E27FC236}">
              <a16:creationId xmlns:a16="http://schemas.microsoft.com/office/drawing/2014/main" id="{BDE93FCA-DF33-4191-A3D7-2046667FF37B}"/>
            </a:ext>
          </a:extLst>
        </xdr:cNvPr>
        <xdr:cNvSpPr>
          <a:spLocks noChangeAspect="1" noChangeArrowheads="1"/>
        </xdr:cNvSpPr>
      </xdr:nvSpPr>
      <xdr:spPr bwMode="auto">
        <a:xfrm>
          <a:off x="19773900" y="617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40</xdr:row>
      <xdr:rowOff>0</xdr:rowOff>
    </xdr:from>
    <xdr:ext cx="304800" cy="304800"/>
    <xdr:sp macro="" textlink="">
      <xdr:nvSpPr>
        <xdr:cNvPr id="15" name="AutoShape 2" descr="Elsevier Wordmark">
          <a:hlinkClick xmlns:r="http://schemas.openxmlformats.org/officeDocument/2006/relationships" r:id="rId1"/>
          <a:extLst>
            <a:ext uri="{FF2B5EF4-FFF2-40B4-BE49-F238E27FC236}">
              <a16:creationId xmlns:a16="http://schemas.microsoft.com/office/drawing/2014/main" id="{F252D256-6B08-475A-8927-488FEA272EC6}"/>
            </a:ext>
          </a:extLst>
        </xdr:cNvPr>
        <xdr:cNvSpPr>
          <a:spLocks noChangeAspect="1" noChangeArrowheads="1"/>
        </xdr:cNvSpPr>
      </xdr:nvSpPr>
      <xdr:spPr bwMode="auto">
        <a:xfrm>
          <a:off x="19773900" y="617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304800"/>
    <xdr:sp macro="" textlink="">
      <xdr:nvSpPr>
        <xdr:cNvPr id="16" name="AutoShape 2" descr="Elsevier Wordmark">
          <a:hlinkClick xmlns:r="http://schemas.openxmlformats.org/officeDocument/2006/relationships" r:id="rId1"/>
          <a:extLst>
            <a:ext uri="{FF2B5EF4-FFF2-40B4-BE49-F238E27FC236}">
              <a16:creationId xmlns:a16="http://schemas.microsoft.com/office/drawing/2014/main" id="{BC31E5BD-D934-4D40-AD74-3B600D24758C}"/>
            </a:ext>
          </a:extLst>
        </xdr:cNvPr>
        <xdr:cNvSpPr>
          <a:spLocks noChangeAspect="1" noChangeArrowheads="1"/>
        </xdr:cNvSpPr>
      </xdr:nvSpPr>
      <xdr:spPr bwMode="auto">
        <a:xfrm>
          <a:off x="19773900" y="63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41</xdr:row>
      <xdr:rowOff>0</xdr:rowOff>
    </xdr:from>
    <xdr:ext cx="304800" cy="304800"/>
    <xdr:sp macro="" textlink="">
      <xdr:nvSpPr>
        <xdr:cNvPr id="17" name="AutoShape 2" descr="Elsevier Wordmark">
          <a:hlinkClick xmlns:r="http://schemas.openxmlformats.org/officeDocument/2006/relationships" r:id="rId1"/>
          <a:extLst>
            <a:ext uri="{FF2B5EF4-FFF2-40B4-BE49-F238E27FC236}">
              <a16:creationId xmlns:a16="http://schemas.microsoft.com/office/drawing/2014/main" id="{A8784D95-4BA2-44F9-AAA1-CF9FDBF15651}"/>
            </a:ext>
          </a:extLst>
        </xdr:cNvPr>
        <xdr:cNvSpPr>
          <a:spLocks noChangeAspect="1" noChangeArrowheads="1"/>
        </xdr:cNvSpPr>
      </xdr:nvSpPr>
      <xdr:spPr bwMode="auto">
        <a:xfrm>
          <a:off x="19773900" y="63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42</xdr:row>
      <xdr:rowOff>0</xdr:rowOff>
    </xdr:from>
    <xdr:ext cx="304800" cy="304800"/>
    <xdr:sp macro="" textlink="">
      <xdr:nvSpPr>
        <xdr:cNvPr id="18" name="AutoShape 2" descr="Elsevier Wordmark">
          <a:hlinkClick xmlns:r="http://schemas.openxmlformats.org/officeDocument/2006/relationships" r:id="rId1"/>
          <a:extLst>
            <a:ext uri="{FF2B5EF4-FFF2-40B4-BE49-F238E27FC236}">
              <a16:creationId xmlns:a16="http://schemas.microsoft.com/office/drawing/2014/main" id="{12A5CC1E-B52D-4545-BE31-BFAC0C95A765}"/>
            </a:ext>
          </a:extLst>
        </xdr:cNvPr>
        <xdr:cNvSpPr>
          <a:spLocks noChangeAspect="1" noChangeArrowheads="1"/>
        </xdr:cNvSpPr>
      </xdr:nvSpPr>
      <xdr:spPr bwMode="auto">
        <a:xfrm>
          <a:off x="19773900" y="652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42</xdr:row>
      <xdr:rowOff>0</xdr:rowOff>
    </xdr:from>
    <xdr:ext cx="304800" cy="304800"/>
    <xdr:sp macro="" textlink="">
      <xdr:nvSpPr>
        <xdr:cNvPr id="19" name="AutoShape 2" descr="Elsevier Wordmark">
          <a:hlinkClick xmlns:r="http://schemas.openxmlformats.org/officeDocument/2006/relationships" r:id="rId1"/>
          <a:extLst>
            <a:ext uri="{FF2B5EF4-FFF2-40B4-BE49-F238E27FC236}">
              <a16:creationId xmlns:a16="http://schemas.microsoft.com/office/drawing/2014/main" id="{4B51B194-5558-48B5-BF24-510AAFAA2941}"/>
            </a:ext>
          </a:extLst>
        </xdr:cNvPr>
        <xdr:cNvSpPr>
          <a:spLocks noChangeAspect="1" noChangeArrowheads="1"/>
        </xdr:cNvSpPr>
      </xdr:nvSpPr>
      <xdr:spPr bwMode="auto">
        <a:xfrm>
          <a:off x="19773900" y="652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43</xdr:row>
      <xdr:rowOff>0</xdr:rowOff>
    </xdr:from>
    <xdr:ext cx="304800" cy="304800"/>
    <xdr:sp macro="" textlink="">
      <xdr:nvSpPr>
        <xdr:cNvPr id="20" name="AutoShape 2" descr="Elsevier Wordmark">
          <a:hlinkClick xmlns:r="http://schemas.openxmlformats.org/officeDocument/2006/relationships" r:id="rId1"/>
          <a:extLst>
            <a:ext uri="{FF2B5EF4-FFF2-40B4-BE49-F238E27FC236}">
              <a16:creationId xmlns:a16="http://schemas.microsoft.com/office/drawing/2014/main" id="{8F2BBCEA-40B0-43A2-AE9E-B91742C0BA8C}"/>
            </a:ext>
          </a:extLst>
        </xdr:cNvPr>
        <xdr:cNvSpPr>
          <a:spLocks noChangeAspect="1" noChangeArrowheads="1"/>
        </xdr:cNvSpPr>
      </xdr:nvSpPr>
      <xdr:spPr bwMode="auto">
        <a:xfrm>
          <a:off x="19773900" y="670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43</xdr:row>
      <xdr:rowOff>0</xdr:rowOff>
    </xdr:from>
    <xdr:ext cx="304800" cy="304800"/>
    <xdr:sp macro="" textlink="">
      <xdr:nvSpPr>
        <xdr:cNvPr id="21" name="AutoShape 2" descr="Elsevier Wordmark">
          <a:hlinkClick xmlns:r="http://schemas.openxmlformats.org/officeDocument/2006/relationships" r:id="rId1"/>
          <a:extLst>
            <a:ext uri="{FF2B5EF4-FFF2-40B4-BE49-F238E27FC236}">
              <a16:creationId xmlns:a16="http://schemas.microsoft.com/office/drawing/2014/main" id="{9241370A-7793-418E-A700-C762B9490D9E}"/>
            </a:ext>
          </a:extLst>
        </xdr:cNvPr>
        <xdr:cNvSpPr>
          <a:spLocks noChangeAspect="1" noChangeArrowheads="1"/>
        </xdr:cNvSpPr>
      </xdr:nvSpPr>
      <xdr:spPr bwMode="auto">
        <a:xfrm>
          <a:off x="19773900" y="670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304800"/>
    <xdr:sp macro="" textlink="">
      <xdr:nvSpPr>
        <xdr:cNvPr id="22" name="AutoShape 2" descr="Elsevier Wordmark">
          <a:hlinkClick xmlns:r="http://schemas.openxmlformats.org/officeDocument/2006/relationships" r:id="rId1"/>
          <a:extLst>
            <a:ext uri="{FF2B5EF4-FFF2-40B4-BE49-F238E27FC236}">
              <a16:creationId xmlns:a16="http://schemas.microsoft.com/office/drawing/2014/main" id="{1A58CD49-F8EE-4A48-9BA0-2868478AC7E4}"/>
            </a:ext>
          </a:extLst>
        </xdr:cNvPr>
        <xdr:cNvSpPr>
          <a:spLocks noChangeAspect="1" noChangeArrowheads="1"/>
        </xdr:cNvSpPr>
      </xdr:nvSpPr>
      <xdr:spPr bwMode="auto">
        <a:xfrm>
          <a:off x="19773900" y="68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4800"/>
    <xdr:sp macro="" textlink="">
      <xdr:nvSpPr>
        <xdr:cNvPr id="23" name="AutoShape 2" descr="Elsevier Wordmark">
          <a:hlinkClick xmlns:r="http://schemas.openxmlformats.org/officeDocument/2006/relationships" r:id="rId1"/>
          <a:extLst>
            <a:ext uri="{FF2B5EF4-FFF2-40B4-BE49-F238E27FC236}">
              <a16:creationId xmlns:a16="http://schemas.microsoft.com/office/drawing/2014/main" id="{A2D39D3A-B8DA-4539-92F3-8B53364DE810}"/>
            </a:ext>
          </a:extLst>
        </xdr:cNvPr>
        <xdr:cNvSpPr>
          <a:spLocks noChangeAspect="1" noChangeArrowheads="1"/>
        </xdr:cNvSpPr>
      </xdr:nvSpPr>
      <xdr:spPr bwMode="auto">
        <a:xfrm>
          <a:off x="19773900" y="1150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42</xdr:row>
      <xdr:rowOff>0</xdr:rowOff>
    </xdr:from>
    <xdr:ext cx="304800" cy="304800"/>
    <xdr:sp macro="" textlink="">
      <xdr:nvSpPr>
        <xdr:cNvPr id="24" name="AutoShape 2" descr="Elsevier Wordmark">
          <a:hlinkClick xmlns:r="http://schemas.openxmlformats.org/officeDocument/2006/relationships" r:id="rId1"/>
          <a:extLst>
            <a:ext uri="{FF2B5EF4-FFF2-40B4-BE49-F238E27FC236}">
              <a16:creationId xmlns:a16="http://schemas.microsoft.com/office/drawing/2014/main" id="{E691104F-534E-41AA-BBB2-B42210DA0E86}"/>
            </a:ext>
          </a:extLst>
        </xdr:cNvPr>
        <xdr:cNvSpPr>
          <a:spLocks noChangeAspect="1" noChangeArrowheads="1"/>
        </xdr:cNvSpPr>
      </xdr:nvSpPr>
      <xdr:spPr bwMode="auto">
        <a:xfrm>
          <a:off x="19773900" y="652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71</xdr:row>
      <xdr:rowOff>0</xdr:rowOff>
    </xdr:from>
    <xdr:ext cx="304800" cy="304800"/>
    <xdr:sp macro="" textlink="">
      <xdr:nvSpPr>
        <xdr:cNvPr id="25" name="AutoShape 2" descr="Elsevier Wordmark">
          <a:hlinkClick xmlns:r="http://schemas.openxmlformats.org/officeDocument/2006/relationships" r:id="rId1"/>
          <a:extLst>
            <a:ext uri="{FF2B5EF4-FFF2-40B4-BE49-F238E27FC236}">
              <a16:creationId xmlns:a16="http://schemas.microsoft.com/office/drawing/2014/main" id="{E5DB10D3-6EBC-4FD7-92D2-132A74784228}"/>
            </a:ext>
          </a:extLst>
        </xdr:cNvPr>
        <xdr:cNvSpPr>
          <a:spLocks noChangeAspect="1" noChangeArrowheads="1"/>
        </xdr:cNvSpPr>
      </xdr:nvSpPr>
      <xdr:spPr bwMode="auto">
        <a:xfrm>
          <a:off x="19773900" y="1168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76</xdr:row>
      <xdr:rowOff>0</xdr:rowOff>
    </xdr:from>
    <xdr:ext cx="304800" cy="304800"/>
    <xdr:sp macro="" textlink="">
      <xdr:nvSpPr>
        <xdr:cNvPr id="26" name="AutoShape 2" descr="Elsevier Wordmark">
          <a:hlinkClick xmlns:r="http://schemas.openxmlformats.org/officeDocument/2006/relationships" r:id="rId1"/>
          <a:extLst>
            <a:ext uri="{FF2B5EF4-FFF2-40B4-BE49-F238E27FC236}">
              <a16:creationId xmlns:a16="http://schemas.microsoft.com/office/drawing/2014/main" id="{3647C8C8-7E15-4F64-A06B-B4BC2B4690D7}"/>
            </a:ext>
          </a:extLst>
        </xdr:cNvPr>
        <xdr:cNvSpPr>
          <a:spLocks noChangeAspect="1" noChangeArrowheads="1"/>
        </xdr:cNvSpPr>
      </xdr:nvSpPr>
      <xdr:spPr bwMode="auto">
        <a:xfrm>
          <a:off x="19773900" y="1257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4800"/>
    <xdr:sp macro="" textlink="">
      <xdr:nvSpPr>
        <xdr:cNvPr id="27" name="AutoShape 2" descr="Elsevier Wordmark">
          <a:hlinkClick xmlns:r="http://schemas.openxmlformats.org/officeDocument/2006/relationships" r:id="rId1"/>
          <a:extLst>
            <a:ext uri="{FF2B5EF4-FFF2-40B4-BE49-F238E27FC236}">
              <a16:creationId xmlns:a16="http://schemas.microsoft.com/office/drawing/2014/main" id="{17D71327-B943-4BF0-AD44-A70E534D3465}"/>
            </a:ext>
          </a:extLst>
        </xdr:cNvPr>
        <xdr:cNvSpPr>
          <a:spLocks noChangeAspect="1" noChangeArrowheads="1"/>
        </xdr:cNvSpPr>
      </xdr:nvSpPr>
      <xdr:spPr bwMode="auto">
        <a:xfrm>
          <a:off x="19773900" y="1115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59</xdr:row>
      <xdr:rowOff>0</xdr:rowOff>
    </xdr:from>
    <xdr:ext cx="304800" cy="304800"/>
    <xdr:sp macro="" textlink="">
      <xdr:nvSpPr>
        <xdr:cNvPr id="28" name="AutoShape 2" descr="Elsevier Wordmark">
          <a:hlinkClick xmlns:r="http://schemas.openxmlformats.org/officeDocument/2006/relationships" r:id="rId1"/>
          <a:extLst>
            <a:ext uri="{FF2B5EF4-FFF2-40B4-BE49-F238E27FC236}">
              <a16:creationId xmlns:a16="http://schemas.microsoft.com/office/drawing/2014/main" id="{773165A6-DD80-426B-854C-B5C128A41469}"/>
            </a:ext>
          </a:extLst>
        </xdr:cNvPr>
        <xdr:cNvSpPr>
          <a:spLocks noChangeAspect="1" noChangeArrowheads="1"/>
        </xdr:cNvSpPr>
      </xdr:nvSpPr>
      <xdr:spPr bwMode="auto">
        <a:xfrm>
          <a:off x="19773900" y="95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304800" cy="304800"/>
    <xdr:sp macro="" textlink="">
      <xdr:nvSpPr>
        <xdr:cNvPr id="29" name="AutoShape 2" descr="Elsevier Wordmark">
          <a:hlinkClick xmlns:r="http://schemas.openxmlformats.org/officeDocument/2006/relationships" r:id="rId1"/>
          <a:extLst>
            <a:ext uri="{FF2B5EF4-FFF2-40B4-BE49-F238E27FC236}">
              <a16:creationId xmlns:a16="http://schemas.microsoft.com/office/drawing/2014/main" id="{953FF433-56E8-4550-9665-E78DE9F29053}"/>
            </a:ext>
          </a:extLst>
        </xdr:cNvPr>
        <xdr:cNvSpPr>
          <a:spLocks noChangeAspect="1" noChangeArrowheads="1"/>
        </xdr:cNvSpPr>
      </xdr:nvSpPr>
      <xdr:spPr bwMode="auto">
        <a:xfrm>
          <a:off x="19773900" y="1186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73</xdr:row>
      <xdr:rowOff>0</xdr:rowOff>
    </xdr:from>
    <xdr:ext cx="304800" cy="304800"/>
    <xdr:sp macro="" textlink="">
      <xdr:nvSpPr>
        <xdr:cNvPr id="30" name="AutoShape 2" descr="Elsevier Wordmark">
          <a:hlinkClick xmlns:r="http://schemas.openxmlformats.org/officeDocument/2006/relationships" r:id="rId1"/>
          <a:extLst>
            <a:ext uri="{FF2B5EF4-FFF2-40B4-BE49-F238E27FC236}">
              <a16:creationId xmlns:a16="http://schemas.microsoft.com/office/drawing/2014/main" id="{BE5EC80B-CFA2-4965-BC89-3769F701EF88}"/>
            </a:ext>
          </a:extLst>
        </xdr:cNvPr>
        <xdr:cNvSpPr>
          <a:spLocks noChangeAspect="1" noChangeArrowheads="1"/>
        </xdr:cNvSpPr>
      </xdr:nvSpPr>
      <xdr:spPr bwMode="auto">
        <a:xfrm>
          <a:off x="19773900" y="1203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177</xdr:row>
      <xdr:rowOff>0</xdr:rowOff>
    </xdr:from>
    <xdr:ext cx="304800" cy="304800"/>
    <xdr:sp macro="" textlink="">
      <xdr:nvSpPr>
        <xdr:cNvPr id="31" name="AutoShape 2" descr="Elsevier Wordmark">
          <a:hlinkClick xmlns:r="http://schemas.openxmlformats.org/officeDocument/2006/relationships" r:id="rId1"/>
          <a:extLst>
            <a:ext uri="{FF2B5EF4-FFF2-40B4-BE49-F238E27FC236}">
              <a16:creationId xmlns:a16="http://schemas.microsoft.com/office/drawing/2014/main" id="{C7F0CA72-8665-4C79-B2BE-A62EC34F80CB}"/>
            </a:ext>
          </a:extLst>
        </xdr:cNvPr>
        <xdr:cNvSpPr>
          <a:spLocks noChangeAspect="1" noChangeArrowheads="1"/>
        </xdr:cNvSpPr>
      </xdr:nvSpPr>
      <xdr:spPr bwMode="auto">
        <a:xfrm>
          <a:off x="19775714" y="7012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lh517l-R2LRRnRQF3ndmyMLqzV4X8C-3/view" TargetMode="External"/><Relationship Id="rId3" Type="http://schemas.openxmlformats.org/officeDocument/2006/relationships/hyperlink" Target="https://drive.google.com/file/d/1CCA_74b-RHUptJt68YsCdl59XhyulUUc/view" TargetMode="External"/><Relationship Id="rId7" Type="http://schemas.openxmlformats.org/officeDocument/2006/relationships/hyperlink" Target="https://drive.google.com/file/d/1XGYm7HAB8MF9wLfw35l45iUbnHYkQxCA/view" TargetMode="External"/><Relationship Id="rId12" Type="http://schemas.openxmlformats.org/officeDocument/2006/relationships/hyperlink" Target="https://drive.google.com/file/d/1XLgnSIRHo0tvfBRQ6vvs8JXR46ZqNFgL/view" TargetMode="External"/><Relationship Id="rId2" Type="http://schemas.openxmlformats.org/officeDocument/2006/relationships/hyperlink" Target="https://drive.google.com/file/d/1y1sFGRdEViwy8trex4E0dPrgFoTPYqv3/view" TargetMode="External"/><Relationship Id="rId1" Type="http://schemas.openxmlformats.org/officeDocument/2006/relationships/hyperlink" Target="http://lp3m.upnyk.ac.id/asset/upload/Sertifikat_S1_Teknik_Geologi_2018.pdf" TargetMode="External"/><Relationship Id="rId6" Type="http://schemas.openxmlformats.org/officeDocument/2006/relationships/hyperlink" Target="https://drive.google.com/file/d/1RdA6BmUfjbv4_gSE5wKFpu6TDfQ0OxQ7/view" TargetMode="External"/><Relationship Id="rId11" Type="http://schemas.openxmlformats.org/officeDocument/2006/relationships/hyperlink" Target="http://lp3m.upnyk.ac.id/asset/upload/Sertifikat_S2_Manajemen_Bencana_2019.pdf" TargetMode="External"/><Relationship Id="rId5" Type="http://schemas.openxmlformats.org/officeDocument/2006/relationships/hyperlink" Target="https://drive.google.com/file/d/12dmq9_qGbeIvo6h47Nyy4FcEY416yRQP/view" TargetMode="External"/><Relationship Id="rId10" Type="http://schemas.openxmlformats.org/officeDocument/2006/relationships/hyperlink" Target="https://drive.google.com/file/d/1XHVto2AkhPbis0_ulICsvkt4Z3B9b0NA/view" TargetMode="External"/><Relationship Id="rId4" Type="http://schemas.openxmlformats.org/officeDocument/2006/relationships/hyperlink" Target="http://lp3m.upnyk.ac.id/asset/upload/SSertifikat-TL-Baik_Sekali.pdf" TargetMode="External"/><Relationship Id="rId9" Type="http://schemas.openxmlformats.org/officeDocument/2006/relationships/hyperlink" Target="http://lp3m.upnyk.ac.id/asset/upload/Sertifikat_S2_Teknik_Pertambangan_2018.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WyVk2vcMkP8_mLTMfvdDuNvwXbw0fUdp/view?usp=sharing" TargetMode="External"/><Relationship Id="rId18" Type="http://schemas.openxmlformats.org/officeDocument/2006/relationships/hyperlink" Target="https://drive.google.com/file/d/1bEirVL6iI0WXo8VS1d3bZ_8GzJAImyXa/view?usp=sharing" TargetMode="External"/><Relationship Id="rId26" Type="http://schemas.openxmlformats.org/officeDocument/2006/relationships/hyperlink" Target="https://drive.google.com/file/d/1vlaLm7nzhCPkFz4f-a1vgYSe2xEVnfA3/view?usp=sharing" TargetMode="External"/><Relationship Id="rId39" Type="http://schemas.openxmlformats.org/officeDocument/2006/relationships/hyperlink" Target="https://drive.google.com/file/d/1SEMSDySq-UKsuCFTMDcImllwV35L3xWx/view?usp=sharing" TargetMode="External"/><Relationship Id="rId21" Type="http://schemas.openxmlformats.org/officeDocument/2006/relationships/hyperlink" Target="https://drive.google.com/file/d/1oEV5F-im_ePV9FtTpUHk6u2yi8QGtxmb/view?usp=sharing" TargetMode="External"/><Relationship Id="rId34" Type="http://schemas.openxmlformats.org/officeDocument/2006/relationships/hyperlink" Target="https://drive.google.com/file/d/1-y87NC3_rjpn0Ke2x0p0ozJ1aMhX9mud/view?usp=sharing" TargetMode="External"/><Relationship Id="rId7" Type="http://schemas.openxmlformats.org/officeDocument/2006/relationships/hyperlink" Target="https://drive.google.com/file/d/1Nv82Ivksl3EHM2moBH6VXlzehefjnhdW/view?usp=sharing" TargetMode="External"/><Relationship Id="rId2" Type="http://schemas.openxmlformats.org/officeDocument/2006/relationships/hyperlink" Target="https://drive.google.com/file/d/1xeSjZ9U6j9cy7OpeyBTQAKj88epdswBt/view?usp=sharing" TargetMode="External"/><Relationship Id="rId16" Type="http://schemas.openxmlformats.org/officeDocument/2006/relationships/hyperlink" Target="https://drive.google.com/file/d/1mOXSKWpnVqf1Ja_qFIA8Ig7FHU-EIKen/view?usp=sharing" TargetMode="External"/><Relationship Id="rId20" Type="http://schemas.openxmlformats.org/officeDocument/2006/relationships/hyperlink" Target="https://drive.google.com/file/d/1qRVp8pcrPIBd5tNl7P4rCK9GYhaNG72B/view?usp=sharing" TargetMode="External"/><Relationship Id="rId29" Type="http://schemas.openxmlformats.org/officeDocument/2006/relationships/hyperlink" Target="https://drive.google.com/file/d/1iQbv9YH1Tgga6cH22KZkvfwdDWJLFHa7/view?usp=sharing" TargetMode="External"/><Relationship Id="rId41" Type="http://schemas.openxmlformats.org/officeDocument/2006/relationships/printerSettings" Target="../printerSettings/printerSettings1.bin"/><Relationship Id="rId1" Type="http://schemas.openxmlformats.org/officeDocument/2006/relationships/hyperlink" Target="https://drive.google.com/file/d/1tuyY3EyJIRgxQbYyfqdu4QAVLJNQrrUr/view?usp=sharing" TargetMode="External"/><Relationship Id="rId6" Type="http://schemas.openxmlformats.org/officeDocument/2006/relationships/hyperlink" Target="https://drive.google.com/file/d/134YYhsfOL1d41ezZxw9YEvsAHjmFcPds/view?usp=sharing" TargetMode="External"/><Relationship Id="rId11" Type="http://schemas.openxmlformats.org/officeDocument/2006/relationships/hyperlink" Target="https://drive.google.com/file/d/1MyBStab5Kp9nOeijPkUkUPZxMWszmaMl/view?usp=sharing" TargetMode="External"/><Relationship Id="rId24" Type="http://schemas.openxmlformats.org/officeDocument/2006/relationships/hyperlink" Target="https://drive.google.com/file/d/1-egXvJ6bBKtIq_vBHrG1E60cYzxIawbz/view?usp=sharing" TargetMode="External"/><Relationship Id="rId32" Type="http://schemas.openxmlformats.org/officeDocument/2006/relationships/hyperlink" Target="https://drive.google.com/file/d/1bci-8N_O2k1wDqEd0ay1fpe62F3XTRbz/view?usp=sharing" TargetMode="External"/><Relationship Id="rId37" Type="http://schemas.openxmlformats.org/officeDocument/2006/relationships/hyperlink" Target="https://drive.google.com/file/d/13w6cNB86GPDH38QP6W-MkV3Vb5dRA3uw/view?usp=sharing" TargetMode="External"/><Relationship Id="rId40" Type="http://schemas.openxmlformats.org/officeDocument/2006/relationships/hyperlink" Target="https://drive.google.com/file/d/1ZripwQ0Wx12JD-pRK7U-TEqrRmLQYGrH/view?usp=sharing" TargetMode="External"/><Relationship Id="rId5" Type="http://schemas.openxmlformats.org/officeDocument/2006/relationships/hyperlink" Target="https://drive.google.com/file/d/1UUEcY6T8WJdgBQMc0ghXtL2fZschAvvo/view?usp=sharing" TargetMode="External"/><Relationship Id="rId15" Type="http://schemas.openxmlformats.org/officeDocument/2006/relationships/hyperlink" Target="https://drive.google.com/file/d/1kbPpXaz-X0W_rOjBC19wmmZPSdJZL5sJ/view?usp=sharing" TargetMode="External"/><Relationship Id="rId23" Type="http://schemas.openxmlformats.org/officeDocument/2006/relationships/hyperlink" Target="https://drive.google.com/file/d/13T-YkvAoErQJlX1ZTE5gyyF6BqdHJOSN/view?usp=sharing" TargetMode="External"/><Relationship Id="rId28" Type="http://schemas.openxmlformats.org/officeDocument/2006/relationships/hyperlink" Target="https://drive.google.com/file/d/1SreIweB-EBXW5-d_3uGx8woy4-XhL5Jn/view?usp=sharing" TargetMode="External"/><Relationship Id="rId36" Type="http://schemas.openxmlformats.org/officeDocument/2006/relationships/hyperlink" Target="https://drive.google.com/file/d/1u_QZzrlsjFZVGZsnz1cZxWKrlCa9cQHk/view?usp=sharing" TargetMode="External"/><Relationship Id="rId10" Type="http://schemas.openxmlformats.org/officeDocument/2006/relationships/hyperlink" Target="https://drive.google.com/file/d/1nGFpdY_ZhIkadFKJi26XAb-VIqZV6u18/view?usp=sharing" TargetMode="External"/><Relationship Id="rId19" Type="http://schemas.openxmlformats.org/officeDocument/2006/relationships/hyperlink" Target="https://drive.google.com/file/d/1OWaFEKmUkFxT9dFqP4I3pMF1YMR4H_Vh/view?usp=sharing" TargetMode="External"/><Relationship Id="rId31" Type="http://schemas.openxmlformats.org/officeDocument/2006/relationships/hyperlink" Target="https://drive.google.com/file/d/1gFRvU-M0dqfQFKGSPzFKzQTGMw9uqU4T/view?usp=sharing" TargetMode="External"/><Relationship Id="rId4" Type="http://schemas.openxmlformats.org/officeDocument/2006/relationships/hyperlink" Target="https://drive.google.com/file/d/1llwe3U2uw00ym1cH_eMlYpr0Pz5vmb9l/view?usp=sharing" TargetMode="External"/><Relationship Id="rId9" Type="http://schemas.openxmlformats.org/officeDocument/2006/relationships/hyperlink" Target="https://drive.google.com/file/d/1enmrO1NdX5IJgUpxl3YFhOAB-sbRc_LQ/view?usp=sharing" TargetMode="External"/><Relationship Id="rId14" Type="http://schemas.openxmlformats.org/officeDocument/2006/relationships/hyperlink" Target="https://drive.google.com/file/d/1s_gvLILEIIWw-S0DHKqJ80CkLmVCATla/view?usp=sharing" TargetMode="External"/><Relationship Id="rId22" Type="http://schemas.openxmlformats.org/officeDocument/2006/relationships/hyperlink" Target="https://drive.google.com/file/d/1J5kL4W8VIP8vzL2vcX_33lKrtDfZlRt8/view?usp=sharing" TargetMode="External"/><Relationship Id="rId27" Type="http://schemas.openxmlformats.org/officeDocument/2006/relationships/hyperlink" Target="https://drive.google.com/file/d/1HLDyDJCzFhbkTaY-HfhzjV8HxFXpMk8n/view?usp=sharing" TargetMode="External"/><Relationship Id="rId30" Type="http://schemas.openxmlformats.org/officeDocument/2006/relationships/hyperlink" Target="https://drive.google.com/file/d/131et-FzYCA3BnlMOuxP5JQlekca-vaHu/view?usp=sharing" TargetMode="External"/><Relationship Id="rId35" Type="http://schemas.openxmlformats.org/officeDocument/2006/relationships/hyperlink" Target="https://drive.google.com/file/d/1tYu09jCCS2RVS3PHK6w_JGnQhljlpayX/view?usp=sharing" TargetMode="External"/><Relationship Id="rId8" Type="http://schemas.openxmlformats.org/officeDocument/2006/relationships/hyperlink" Target="https://drive.google.com/file/d/1Cv8qi1Qhx5opDKltf3jMakMCqeN3VhXX/view?usp=sharing" TargetMode="External"/><Relationship Id="rId3" Type="http://schemas.openxmlformats.org/officeDocument/2006/relationships/hyperlink" Target="https://drive.google.com/file/d/1Y1Pw105Pag4DTIHCyUHCss4z8vIANoeg/view?usp=sharing" TargetMode="External"/><Relationship Id="rId12" Type="http://schemas.openxmlformats.org/officeDocument/2006/relationships/hyperlink" Target="https://drive.google.com/file/d/1bxWU37OtJZ2tRQMybB5r6UzuAf6LaBm_/view?usp=sharing" TargetMode="External"/><Relationship Id="rId17" Type="http://schemas.openxmlformats.org/officeDocument/2006/relationships/hyperlink" Target="https://drive.google.com/file/d/18jkro616AvC0SoHwBgQ_-k7F9sppVLjJ/view?usp=sharing" TargetMode="External"/><Relationship Id="rId25" Type="http://schemas.openxmlformats.org/officeDocument/2006/relationships/hyperlink" Target="https://drive.google.com/file/d/1c9znjVo94H3J_-v7UI_-EgqMvK0F00bo/view?usp=sharing" TargetMode="External"/><Relationship Id="rId33" Type="http://schemas.openxmlformats.org/officeDocument/2006/relationships/hyperlink" Target="https://drive.google.com/file/d/1Ba7pZJYBU5h61WxzMz1FpSccwwZ-pH-p/view?usp=sharing" TargetMode="External"/><Relationship Id="rId38" Type="http://schemas.openxmlformats.org/officeDocument/2006/relationships/hyperlink" Target="https://drive.google.com/file/d/1bh_DKp9dPqBsn4RFP62UI4lBHadxVa3m/view?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rive.google.com/drive/folders/1BXwaOjqV45SSU2XpjIaFCiCRuVsypETx?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njOpm70veEvf4m7j1GNzGUP6qQyEQeIN?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9woARmkvSncHf3A_HjRuq1Jh9wS2VDuk?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nfHuAJ3m-6XyFWEI4D3DhgYhDy39POFc?usp=sharing"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drive.google.com/file/d/1r5LK-_9yBPdXiKJQHZISH0ffOmUqUYRr/view?usp=drive_link" TargetMode="External"/><Relationship Id="rId18" Type="http://schemas.openxmlformats.org/officeDocument/2006/relationships/hyperlink" Target="https://drive.google.com/file/d/1r6ub3ZqQR2m0rdxIx_wFjs74oVjQREaX/view?usp=drive_link" TargetMode="External"/><Relationship Id="rId26" Type="http://schemas.openxmlformats.org/officeDocument/2006/relationships/hyperlink" Target="https://drive.google.com/file/d/1CuUCMi3tOuj8xqkLdQEhVZFwJO_X3nvR/view?usp=drive_link" TargetMode="External"/><Relationship Id="rId3" Type="http://schemas.openxmlformats.org/officeDocument/2006/relationships/hyperlink" Target="https://drive.google.com/file/d/1A7b7alt5PgCX5MT2g4n7WlhmQG-xwPvA/view?usp=drive_link" TargetMode="External"/><Relationship Id="rId21" Type="http://schemas.openxmlformats.org/officeDocument/2006/relationships/hyperlink" Target="https://drive.google.com/file/d/1JnzWqgEpy4OeVLdNXC8KAMgfUNWTgVsQ/view?usp=sharing" TargetMode="External"/><Relationship Id="rId7" Type="http://schemas.openxmlformats.org/officeDocument/2006/relationships/hyperlink" Target="https://drive.google.com/file/d/1d8g1Ai6WtU3Da-6jm7xso2Pa3MrGy590/view?usp=drive_link" TargetMode="External"/><Relationship Id="rId12" Type="http://schemas.openxmlformats.org/officeDocument/2006/relationships/hyperlink" Target="https://drive.google.com/file/d/1zwFNlpjUgK7zG6WHR6AC6lTYHoCAFpOQ/view?usp=drive_link" TargetMode="External"/><Relationship Id="rId17" Type="http://schemas.openxmlformats.org/officeDocument/2006/relationships/hyperlink" Target="https://drive.google.com/file/d/1KvNPGHh2VeSEJskMlwz5X_i0zHIJCSVJ/view?usp=sharing" TargetMode="External"/><Relationship Id="rId25" Type="http://schemas.openxmlformats.org/officeDocument/2006/relationships/hyperlink" Target="https://drive.google.com/file/d/14wuxipOuURyyJ1u5Lj_piG4TETthx0c2/view?usp=drive_link" TargetMode="External"/><Relationship Id="rId33" Type="http://schemas.openxmlformats.org/officeDocument/2006/relationships/printerSettings" Target="../printerSettings/printerSettings3.bin"/><Relationship Id="rId2" Type="http://schemas.openxmlformats.org/officeDocument/2006/relationships/hyperlink" Target="https://drive.google.com/file/d/12dKknvk-Ajgkwc929a4AuwF2cR9m2JPj/view?usp=drive_link" TargetMode="External"/><Relationship Id="rId16" Type="http://schemas.openxmlformats.org/officeDocument/2006/relationships/hyperlink" Target="https://drive.google.com/file/d/1WlV0YTzkgLkMPobpiDZ07mFPlU95GnU_/view?usp=sharing" TargetMode="External"/><Relationship Id="rId20" Type="http://schemas.openxmlformats.org/officeDocument/2006/relationships/hyperlink" Target="https://drive.google.com/file/d/1-6e0slVHFNFriSN3Ji_LJnUKYQ1iumse/view?usp=drive_link" TargetMode="External"/><Relationship Id="rId29" Type="http://schemas.openxmlformats.org/officeDocument/2006/relationships/hyperlink" Target="https://drive.google.com/file/d/1eU7e4JT5fXfHy9T1mUzvw2WwDg4hU_v7/view?usp=sharing" TargetMode="External"/><Relationship Id="rId1" Type="http://schemas.openxmlformats.org/officeDocument/2006/relationships/hyperlink" Target="https://drive.google.com/file/d/12dKknvk-Ajgkwc929a4AuwF2cR9m2JPj/view?usp=drive_link" TargetMode="External"/><Relationship Id="rId6" Type="http://schemas.openxmlformats.org/officeDocument/2006/relationships/hyperlink" Target="https://drive.google.com/file/d/1e7P_9kdm76f5TynoAI2GPayYVNXGXuqo/view?usp=drive_link" TargetMode="External"/><Relationship Id="rId11" Type="http://schemas.openxmlformats.org/officeDocument/2006/relationships/hyperlink" Target="https://drive.google.com/file/d/1YkMT066k35Y7z_POXU7qSrHZ5yw6yl_i/view?usp=sharing" TargetMode="External"/><Relationship Id="rId24" Type="http://schemas.openxmlformats.org/officeDocument/2006/relationships/hyperlink" Target="https://drive.google.com/file/d/16GXJBGKdqrMzbnQY7vprPWEr7ZYTpiRB/view?usp=drive_link" TargetMode="External"/><Relationship Id="rId32" Type="http://schemas.openxmlformats.org/officeDocument/2006/relationships/hyperlink" Target="https://drive.google.com/file/d/1zy_4pUNEpt2sTF-xkCdD_h7cvnVSNqwe/view?usp=sharing" TargetMode="External"/><Relationship Id="rId5" Type="http://schemas.openxmlformats.org/officeDocument/2006/relationships/hyperlink" Target="https://drive.google.com/file/d/1ps-vF5xr-kfKEHxl-ipgPvAzE3TX1jVQ/view?usp=drive_link" TargetMode="External"/><Relationship Id="rId15" Type="http://schemas.openxmlformats.org/officeDocument/2006/relationships/hyperlink" Target="https://drive.google.com/file/d/1me5fGYXYTS-wZfOI1uVpMv8hTBX2zt4O/view?usp=drive_link" TargetMode="External"/><Relationship Id="rId23" Type="http://schemas.openxmlformats.org/officeDocument/2006/relationships/hyperlink" Target="https://drive.google.com/file/d/1me4G9y1E4rayYP2T2GhyOYS2RbodsfBk/view?usp=drive_link" TargetMode="External"/><Relationship Id="rId28" Type="http://schemas.openxmlformats.org/officeDocument/2006/relationships/hyperlink" Target="https://drive.google.com/file/d/1HIDtYYZkvs2D-zJk8T1W3vy66oDbo1Gg/view?usp=drive_link" TargetMode="External"/><Relationship Id="rId10" Type="http://schemas.openxmlformats.org/officeDocument/2006/relationships/hyperlink" Target="https://drive.google.com/file/d/1mLGhwUG4xK07HBwV7JX1d9jMLAYdIQ74/view?usp=sharing" TargetMode="External"/><Relationship Id="rId19" Type="http://schemas.openxmlformats.org/officeDocument/2006/relationships/hyperlink" Target="https://drive.google.com/file/d/1-6e0slVHFNFriSN3Ji_LJnUKYQ1iumse/view?usp=drive_link" TargetMode="External"/><Relationship Id="rId31" Type="http://schemas.openxmlformats.org/officeDocument/2006/relationships/hyperlink" Target="https://drive.google.com/file/d/1M5gXj3ijZtU6_ty56JJhv6eiRWniiWyV/view?usp=sharing" TargetMode="External"/><Relationship Id="rId4" Type="http://schemas.openxmlformats.org/officeDocument/2006/relationships/hyperlink" Target="https://drive.google.com/file/d/1MVxRthYPAJQ-Uf6qnTLB6YWcRFWM3bkn/view?usp=drive_link" TargetMode="External"/><Relationship Id="rId9" Type="http://schemas.openxmlformats.org/officeDocument/2006/relationships/hyperlink" Target="https://drive.google.com/file/d/1LIbXcntm6zwME8GCMXLywtAih-XW8sTX/view?usp=sharing" TargetMode="External"/><Relationship Id="rId14" Type="http://schemas.openxmlformats.org/officeDocument/2006/relationships/hyperlink" Target="https://drive.google.com/file/d/1F8CCkqUJItFhE8QlRKQLjgD6k2QE9y0q/view?usp=drive_link" TargetMode="External"/><Relationship Id="rId22" Type="http://schemas.openxmlformats.org/officeDocument/2006/relationships/hyperlink" Target="https://drive.google.com/file/d/1JnzWqgEpy4OeVLdNXC8KAMgfUNWTgVsQ/view?usp=sharing" TargetMode="External"/><Relationship Id="rId27" Type="http://schemas.openxmlformats.org/officeDocument/2006/relationships/hyperlink" Target="https://drive.google.com/file/d/1YTTuuuny8OUQovBh7rpQBd3MiX6G4X8N/view?usp=sharing" TargetMode="External"/><Relationship Id="rId30" Type="http://schemas.openxmlformats.org/officeDocument/2006/relationships/hyperlink" Target="https://drive.google.com/file/d/16st0NR6Blao2CMdlw7A2eTPkdnvCQDLo/view?usp=sharing" TargetMode="External"/><Relationship Id="rId8" Type="http://schemas.openxmlformats.org/officeDocument/2006/relationships/hyperlink" Target="https://drive.google.com/file/d/1d8g1Ai6WtU3Da-6jm7xso2Pa3MrGy590/view?usp=drive_link"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file/d/1M82JqZhw2-FbfnunGKErUVC9_3jMvY4K/view?usp=drive_link" TargetMode="External"/><Relationship Id="rId13" Type="http://schemas.openxmlformats.org/officeDocument/2006/relationships/hyperlink" Target="https://drive.google.com/file/d/1414cN2LCjB79DYLarXRuvGBSlIFx3Rvd/view?usp=drive_link" TargetMode="External"/><Relationship Id="rId18" Type="http://schemas.openxmlformats.org/officeDocument/2006/relationships/hyperlink" Target="https://drive.google.com/file/d/1ItgulshaerRDL1hd0d9WruUk_9k4ceiG/view?usp=sharing" TargetMode="External"/><Relationship Id="rId26" Type="http://schemas.openxmlformats.org/officeDocument/2006/relationships/hyperlink" Target="https://drive.google.com/file/d/1PbgW69r9XXmB5JHPHU6CFzG2N4T6agfl/view?usp=drive_link" TargetMode="External"/><Relationship Id="rId3" Type="http://schemas.openxmlformats.org/officeDocument/2006/relationships/hyperlink" Target="https://drive.google.com/file/d/1zmXs4QxmiXeyS5GNsKb2O530AKJx5uwh/view?usp=drive_link" TargetMode="External"/><Relationship Id="rId21" Type="http://schemas.openxmlformats.org/officeDocument/2006/relationships/hyperlink" Target="https://drive.google.com/file/d/14vjR02ObzfLtevzp9S2gqMSVD_bbXX9h/view?usp=drive_link" TargetMode="External"/><Relationship Id="rId7" Type="http://schemas.openxmlformats.org/officeDocument/2006/relationships/hyperlink" Target="https://drive.google.com/file/d/1LyddIWlYJlvUcLSQbio0gycFVDAND9tm/view?usp=drive_link" TargetMode="External"/><Relationship Id="rId12" Type="http://schemas.openxmlformats.org/officeDocument/2006/relationships/hyperlink" Target="https://drive.google.com/file/d/1_tN4kY9rWbnZ7PhaqIXvCJg5E6nW2nyP/view?usp=drive_link" TargetMode="External"/><Relationship Id="rId17" Type="http://schemas.openxmlformats.org/officeDocument/2006/relationships/hyperlink" Target="https://drive.google.com/file/d/1tz_eTwhan1IPVilz8CBdHqgTvoxUtLSB/view?usp=sharing" TargetMode="External"/><Relationship Id="rId25" Type="http://schemas.openxmlformats.org/officeDocument/2006/relationships/hyperlink" Target="https://drive.google.com/file/d/1_tN4kY9rWbnZ7PhaqIXvCJg5E6nW2nyP/view?usp=drive_link" TargetMode="External"/><Relationship Id="rId2" Type="http://schemas.openxmlformats.org/officeDocument/2006/relationships/hyperlink" Target="https://drive.google.com/file/d/1ezm2t8wvbA4yH5OuZvEujFkz1je70xUm/view?usp=drive_link" TargetMode="External"/><Relationship Id="rId16" Type="http://schemas.openxmlformats.org/officeDocument/2006/relationships/hyperlink" Target="https://drive.google.com/file/d/1VA7o_Eky6Q99lYgE0qvax6O-gT656Tjd/view?usp=sharing" TargetMode="External"/><Relationship Id="rId20" Type="http://schemas.openxmlformats.org/officeDocument/2006/relationships/hyperlink" Target="https://drive.google.com/file/d/1DB4m_bjteJCASCFDHKdCsVnnB769V3kG/view?usp=sharing" TargetMode="External"/><Relationship Id="rId29" Type="http://schemas.openxmlformats.org/officeDocument/2006/relationships/hyperlink" Target="https://drive.google.com/file/d/1sFEP1yrN5gmXwOz5ZnZucWF2ZPlLNmYu/view?usp=sharing" TargetMode="External"/><Relationship Id="rId1" Type="http://schemas.openxmlformats.org/officeDocument/2006/relationships/hyperlink" Target="https://drive.google.com/file/d/1J0JtxnhxkPjLMh-gmBQ_1k2qsBQQFxjl/view?usp=drive_link" TargetMode="External"/><Relationship Id="rId6" Type="http://schemas.openxmlformats.org/officeDocument/2006/relationships/hyperlink" Target="https://drive.google.com/file/d/1q5K8dKlOvoJ-Mhl8Ubpw3iWL1NgLm5Fb/view?usp=drive_link" TargetMode="External"/><Relationship Id="rId11" Type="http://schemas.openxmlformats.org/officeDocument/2006/relationships/hyperlink" Target="https://drive.google.com/file/d/1oV2Lcaz0L9sRoIEej-VJp0CsszeqMREr/view?usp=drive_link" TargetMode="External"/><Relationship Id="rId24" Type="http://schemas.openxmlformats.org/officeDocument/2006/relationships/hyperlink" Target="https://drive.google.com/file/d/1v_2n5oKiyJi5pY_SZPqM3D7S7LMsAqmv/view?usp=drive_link" TargetMode="External"/><Relationship Id="rId5" Type="http://schemas.openxmlformats.org/officeDocument/2006/relationships/hyperlink" Target="https://drive.google.com/file/d/1tO2lS6KYWrDcpzJ2LSPOh--dkG5DX5KY/view?usp=sharing" TargetMode="External"/><Relationship Id="rId15" Type="http://schemas.openxmlformats.org/officeDocument/2006/relationships/hyperlink" Target="https://drive.google.com/file/d/1v5vOeBmnf5cV6yrOLqAGyW2-RBFmwBai/view?usp=sharing" TargetMode="External"/><Relationship Id="rId23" Type="http://schemas.openxmlformats.org/officeDocument/2006/relationships/hyperlink" Target="https://drive.google.com/file/d/1tO2lS6KYWrDcpzJ2LSPOh--dkG5DX5KY/view?usp=sharing" TargetMode="External"/><Relationship Id="rId28" Type="http://schemas.openxmlformats.org/officeDocument/2006/relationships/hyperlink" Target="https://drive.google.com/file/d/1DUviKof9DMpHRpX6n6C7kggAPTCg3qV3/view?usp=sharing" TargetMode="External"/><Relationship Id="rId10" Type="http://schemas.openxmlformats.org/officeDocument/2006/relationships/hyperlink" Target="https://drive.google.com/file/d/1jm7oYy8e5bJQnJJbAHCDsmk6Tmg_I7ni/view?usp=sharing" TargetMode="External"/><Relationship Id="rId19" Type="http://schemas.openxmlformats.org/officeDocument/2006/relationships/hyperlink" Target="https://drive.google.com/file/d/1XZ0KSR4Pjuu5oRaS0ZDWoh2VBeIkfxcW/view?usp=sharing" TargetMode="External"/><Relationship Id="rId4" Type="http://schemas.openxmlformats.org/officeDocument/2006/relationships/hyperlink" Target="https://drive.google.com/file/d/12KG6zSLE4gESUxfbb94vQ9CIdFjPqhhZ/view?usp=drive_link" TargetMode="External"/><Relationship Id="rId9" Type="http://schemas.openxmlformats.org/officeDocument/2006/relationships/hyperlink" Target="https://drive.google.com/file/d/1IdA9UJ_i8U1V9b4tqCe9OAjS9346bJto/view?usp=drive_link" TargetMode="External"/><Relationship Id="rId14" Type="http://schemas.openxmlformats.org/officeDocument/2006/relationships/hyperlink" Target="https://drive.google.com/file/d/1RZJiIaoR5guUPnENrLSUEpqQ6EaBsr-6/view?usp=sharing" TargetMode="External"/><Relationship Id="rId22" Type="http://schemas.openxmlformats.org/officeDocument/2006/relationships/hyperlink" Target="https://drive.google.com/file/d/1J0JtxnhxkPjLMh-gmBQ_1k2qsBQQFxjl/view?usp=drive_link" TargetMode="External"/><Relationship Id="rId27" Type="http://schemas.openxmlformats.org/officeDocument/2006/relationships/hyperlink" Target="https://drive.google.com/file/d/1o_cIWxONzVuHjQ0976k0aPhMDgUjDAnI/view?usp=drive_link" TargetMode="External"/><Relationship Id="rId30"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file/d/1djAdaC4FjyrfjzgJxawvqlGv2G95aUKN/view?usp=sharing" TargetMode="External"/><Relationship Id="rId13" Type="http://schemas.openxmlformats.org/officeDocument/2006/relationships/hyperlink" Target="https://drive.google.com/file/d/1-4F81ZxCH_XMC4upqiQpEKJUUTP92tvn/view?usp=sharing" TargetMode="External"/><Relationship Id="rId18" Type="http://schemas.openxmlformats.org/officeDocument/2006/relationships/hyperlink" Target="https://drive.google.com/file/d/12o_inEbDiXf3qvku_HGx3kfOU0OyGomp/view?usp=sharing" TargetMode="External"/><Relationship Id="rId3" Type="http://schemas.openxmlformats.org/officeDocument/2006/relationships/hyperlink" Target="https://drive.google.com/file/d/1JqJhIpPVkzmP5-uenmqMjTHiQYFBTbS0/view?usp=drive_link" TargetMode="External"/><Relationship Id="rId7" Type="http://schemas.openxmlformats.org/officeDocument/2006/relationships/hyperlink" Target="https://drive.google.com/file/d/1tgMJLgGZFrYq9kMkKE1zcoT9mEIwHVvs/view?usp=sharing" TargetMode="External"/><Relationship Id="rId12" Type="http://schemas.openxmlformats.org/officeDocument/2006/relationships/hyperlink" Target="https://drive.google.com/file/d/1shhhsftZgMs7jNmjh4algj2ikGEsTADo/view?usp=sharing" TargetMode="External"/><Relationship Id="rId17" Type="http://schemas.openxmlformats.org/officeDocument/2006/relationships/hyperlink" Target="https://drive.google.com/file/d/1BcFPwnAnDs8yuASQsFR8hWmtZBVv0I_7/view?usp=sharing" TargetMode="External"/><Relationship Id="rId2" Type="http://schemas.openxmlformats.org/officeDocument/2006/relationships/hyperlink" Target="https://drive.google.com/file/d/10CjFXRlbtxl44eho79MiWYRrcJFWBrA4/view?usp=sharing" TargetMode="External"/><Relationship Id="rId16" Type="http://schemas.openxmlformats.org/officeDocument/2006/relationships/hyperlink" Target="https://drive.google.com/file/d/1krT0LVnMb6lWtmgR6-svpOyr-wIqROoI/view?usp=sharing" TargetMode="External"/><Relationship Id="rId1" Type="http://schemas.openxmlformats.org/officeDocument/2006/relationships/hyperlink" Target="https://drive.google.com/file/d/1KBt1pxT4SjqiQcu9lJmwyq0agmKlO3ZM/view?usp=drive_link" TargetMode="External"/><Relationship Id="rId6" Type="http://schemas.openxmlformats.org/officeDocument/2006/relationships/hyperlink" Target="https://drive.google.com/file/d/1m58fyJ9UtLBus8VWVVBpuqEdt1Kq7NEW/view?usp=sharing" TargetMode="External"/><Relationship Id="rId11" Type="http://schemas.openxmlformats.org/officeDocument/2006/relationships/hyperlink" Target="https://drive.google.com/file/d/1UisrcP8DfcEy9k_PKbV3crMQD1JNs6WP/view?usp=sharing" TargetMode="External"/><Relationship Id="rId5" Type="http://schemas.openxmlformats.org/officeDocument/2006/relationships/hyperlink" Target="https://drive.google.com/file/d/1QoOqjwNBKacQ5V2XXhZsXtBXP-awsPKQ/view?usp=drive_link" TargetMode="External"/><Relationship Id="rId15" Type="http://schemas.openxmlformats.org/officeDocument/2006/relationships/hyperlink" Target="https://drive.google.com/file/d/14QHZC4KEYk5gWkpOyNw_Z8Ugvlu2ouCG/view?usp=sharing" TargetMode="External"/><Relationship Id="rId10" Type="http://schemas.openxmlformats.org/officeDocument/2006/relationships/hyperlink" Target="https://drive.google.com/file/d/1j6hoKtnKqg_GiXQNNPcbXlvyUDO8fkLK/view?usp=sharing" TargetMode="External"/><Relationship Id="rId19" Type="http://schemas.openxmlformats.org/officeDocument/2006/relationships/printerSettings" Target="../printerSettings/printerSettings5.bin"/><Relationship Id="rId4" Type="http://schemas.openxmlformats.org/officeDocument/2006/relationships/hyperlink" Target="https://drive.google.com/file/d/1M3aJKbU7Ntlsmc6EycXU67qhKoiflwGV/view?usp=drive_link" TargetMode="External"/><Relationship Id="rId9" Type="http://schemas.openxmlformats.org/officeDocument/2006/relationships/hyperlink" Target="https://drive.google.com/file/d/1Tt6vTEyP1TKE-3QArro0NwLc-sw7tGyU/view?usp=sharing" TargetMode="External"/><Relationship Id="rId14" Type="http://schemas.openxmlformats.org/officeDocument/2006/relationships/hyperlink" Target="https://drive.google.com/file/d/1FmohYB_ncJ0wVTzrV1q88bDKwon3rQpK/view?usp=sharing"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rive.google.com/drive/folders/1FQFKBWmaPKTJGZUxX6p5CHxeDHNfipmz?usp=sharing"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drive.google.com/drive/folders/1V3YaSbcT-h_nPp2yJ1fd721kPz85zqRX?usp=sharing" TargetMode="External"/><Relationship Id="rId1" Type="http://schemas.openxmlformats.org/officeDocument/2006/relationships/hyperlink" Target="https://drive.google.com/drive/folders/1519RSNjXLLKs3a3bvGhfJNV27UV3cY8g?usp=sharing"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drive.google.com/drive/folders/1HgAz8K2YakD5Z_-Jbf1iGFUA_y7oG6I3?usp=sharing"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rive.google.com/drive/folders/18iesjANRtABpBhQtRijG8DkAA9ryl9qe?usp=sharing" TargetMode="External"/><Relationship Id="rId3" Type="http://schemas.openxmlformats.org/officeDocument/2006/relationships/hyperlink" Target="https://drive.google.com/file/d/1Oi6ZR_4XqQAMF41_4aH5BanqA2K7jm4O/view?usp=sharing" TargetMode="External"/><Relationship Id="rId7" Type="http://schemas.openxmlformats.org/officeDocument/2006/relationships/hyperlink" Target="https://labterpadu.upnyk.ac.id/" TargetMode="External"/><Relationship Id="rId2" Type="http://schemas.openxmlformats.org/officeDocument/2006/relationships/hyperlink" Target="https://drive.google.com/file/d/1J052fT2rsuxLn6UnRoIESaQFskoS3JpV/view?usp=sharing" TargetMode="External"/><Relationship Id="rId1" Type="http://schemas.openxmlformats.org/officeDocument/2006/relationships/hyperlink" Target="https://drive.google.com/file/d/1SN8Uhu221JxvXBTmBgpdvlxkudrFOyBo/view?usp=sharing" TargetMode="External"/><Relationship Id="rId6" Type="http://schemas.openxmlformats.org/officeDocument/2006/relationships/hyperlink" Target="https://drive.google.com/drive/folders/1J_aNpIwqtDCDBfvWAdeXGrZAn0fImTFa?usp=sharing" TargetMode="External"/><Relationship Id="rId5" Type="http://schemas.openxmlformats.org/officeDocument/2006/relationships/hyperlink" Target="https://drive.google.com/drive/folders/1uowGiLvK_8mfmKLcBmynAQC9yafUbAut?usp=sharing" TargetMode="External"/><Relationship Id="rId4" Type="http://schemas.openxmlformats.org/officeDocument/2006/relationships/hyperlink" Target="https://drive.google.com/file/d/1OzdLCbjUE9WSuSeNUaGCXTrz4Yo8EPeG/view?usp=sharing"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drive.google.com/drive/folders/1N8NQu1hgJqksIJxuJzgMSv5R18vXK0YP?usp=sharing" TargetMode="External"/><Relationship Id="rId13" Type="http://schemas.openxmlformats.org/officeDocument/2006/relationships/hyperlink" Target="https://drive.google.com/drive/folders/1tClbKIgv3M0yR2efBK5rzPAOV-hUQ56c?usp=sharing" TargetMode="External"/><Relationship Id="rId18" Type="http://schemas.openxmlformats.org/officeDocument/2006/relationships/hyperlink" Target="https://drive.google.com/drive/folders/1Ej6aZN4LhHhUBYldCsvsx_Bl5d4D7JkD?usp=sharing" TargetMode="External"/><Relationship Id="rId26" Type="http://schemas.openxmlformats.org/officeDocument/2006/relationships/drawing" Target="../drawings/drawing1.xml"/><Relationship Id="rId3" Type="http://schemas.openxmlformats.org/officeDocument/2006/relationships/hyperlink" Target="https://drive.google.com/drive/folders/1fwxAoKu4IYmffOV2gCZTHcO-uMFvBHyX?usp=sharing" TargetMode="External"/><Relationship Id="rId21" Type="http://schemas.openxmlformats.org/officeDocument/2006/relationships/hyperlink" Target="https://drive.google.com/drive/folders/1y5lq4uPDvnXCQOM3Y1QySh60gBtF7Ld7?usp=sharing" TargetMode="External"/><Relationship Id="rId7" Type="http://schemas.openxmlformats.org/officeDocument/2006/relationships/hyperlink" Target="https://drive.google.com/drive/folders/1oiaSVlD2fp_KgeLcdEP8naIi005tIdFp?usp=sharing" TargetMode="External"/><Relationship Id="rId12" Type="http://schemas.openxmlformats.org/officeDocument/2006/relationships/hyperlink" Target="https://drive.google.com/drive/folders/1THrOjmCzmXgr3SBA9eGZqYs1qvFMh3eN?usp=sharing" TargetMode="External"/><Relationship Id="rId17" Type="http://schemas.openxmlformats.org/officeDocument/2006/relationships/hyperlink" Target="https://drive.google.com/drive/folders/1WbYJKNBVN9BTQUHokHJuXXzGuz4mLwL8?usp=sharing" TargetMode="External"/><Relationship Id="rId25" Type="http://schemas.openxmlformats.org/officeDocument/2006/relationships/printerSettings" Target="../printerSettings/printerSettings8.bin"/><Relationship Id="rId2" Type="http://schemas.openxmlformats.org/officeDocument/2006/relationships/hyperlink" Target="https://drive.google.com/drive/folders/1akFLAwEJfuGgbietto6buRZHThou63yo?usp=sharing" TargetMode="External"/><Relationship Id="rId16" Type="http://schemas.openxmlformats.org/officeDocument/2006/relationships/hyperlink" Target="https://drive.google.com/drive/folders/1jJkJbFZ_BoAIiR-V4D7mP3qZIK2g1gCd?usp=sharing" TargetMode="External"/><Relationship Id="rId20" Type="http://schemas.openxmlformats.org/officeDocument/2006/relationships/hyperlink" Target="https://drive.google.com/drive/folders/1w1XSrOnxqGLPmBpRRg93N4lYbCwvOAqt?usp=sharing" TargetMode="External"/><Relationship Id="rId1" Type="http://schemas.openxmlformats.org/officeDocument/2006/relationships/hyperlink" Target="https://drive.google.com/drive/folders/1RSKIxzFsuyInpY-ZQXQEZ97aBtOJkId9?usp=sharing" TargetMode="External"/><Relationship Id="rId6" Type="http://schemas.openxmlformats.org/officeDocument/2006/relationships/hyperlink" Target="https://drive.google.com/drive/folders/1VMnPF7NJy4iljj4Z8JOME6-hVuOr9AHR?usp=sharing" TargetMode="External"/><Relationship Id="rId11" Type="http://schemas.openxmlformats.org/officeDocument/2006/relationships/hyperlink" Target="https://drive.google.com/drive/folders/1dS74wDqpN5L7hg_v45n3OeJwZ-o-sZyh?usp=sharing" TargetMode="External"/><Relationship Id="rId24" Type="http://schemas.openxmlformats.org/officeDocument/2006/relationships/hyperlink" Target="https://drive.google.com/drive/folders/11G-nE35znLHk3EaOCQXin_BQ5U8-wJOW?usp=sharing" TargetMode="External"/><Relationship Id="rId5" Type="http://schemas.openxmlformats.org/officeDocument/2006/relationships/hyperlink" Target="https://drive.google.com/drive/folders/1GE4TnCvLL0s5RcZsdRKFEy82zI2sB-C5?usp=sharing" TargetMode="External"/><Relationship Id="rId15" Type="http://schemas.openxmlformats.org/officeDocument/2006/relationships/hyperlink" Target="https://drive.google.com/drive/folders/1vZkF8MjMBxYy334EYxCPp8xW4vJD0eZ0?usp=sharing" TargetMode="External"/><Relationship Id="rId23" Type="http://schemas.openxmlformats.org/officeDocument/2006/relationships/hyperlink" Target="https://drive.google.com/drive/folders/1Nk4021sS5WUlEOViYK8R06nJggrAFCtj?usp=sharing" TargetMode="External"/><Relationship Id="rId10" Type="http://schemas.openxmlformats.org/officeDocument/2006/relationships/hyperlink" Target="https://drive.google.com/drive/folders/1dd28eSf81vZcQD-bqq6ZaWGpSYdFNfgH?usp=sharing" TargetMode="External"/><Relationship Id="rId19" Type="http://schemas.openxmlformats.org/officeDocument/2006/relationships/hyperlink" Target="https://drive.google.com/drive/folders/1TwwdCfGM6H1LOxJSZ06pynTP_CcoOrPv?usp=sharing" TargetMode="External"/><Relationship Id="rId4" Type="http://schemas.openxmlformats.org/officeDocument/2006/relationships/hyperlink" Target="https://drive.google.com/drive/folders/1VLku7T78WZuGn0mNkbaZmtc1_knL33rS?usp=sharing" TargetMode="External"/><Relationship Id="rId9" Type="http://schemas.openxmlformats.org/officeDocument/2006/relationships/hyperlink" Target="https://drive.google.com/drive/folders/1beOGpU3akymCkbg0Ogv90WCGYL1Py2Q3?usp=sharing" TargetMode="External"/><Relationship Id="rId14" Type="http://schemas.openxmlformats.org/officeDocument/2006/relationships/hyperlink" Target="https://drive.google.com/drive/folders/13rZgKm2EpmkuvLAaYkRSCmqEXQPMxo6Y?usp=sharing" TargetMode="External"/><Relationship Id="rId22" Type="http://schemas.openxmlformats.org/officeDocument/2006/relationships/hyperlink" Target="https://drive.google.com/drive/folders/13W0OuQP_QKZ9aq00eBub9qIrbM3rCaI2?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drive/folders/1qzGkmyKcxaUeHvKl486Rt-bkdxrQdWQ2?usp=sharing"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drive/folders/1AusLC2G7Z0WO3EmI4WQFgClOl-mQjGCm?usp=sharing"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rive.google.com/drive/folders/1wMw20y1Iw6rxtybe34qqMkODWUZqZQ_9?usp=sharing"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rive.google.com/drive/folders/1vDKynD2ClKcG-M7Dt3rKyrmVA-ZP5BZ0?usp=sharing" TargetMode="External"/></Relationships>
</file>

<file path=xl/worksheets/_rels/sheet22.xml.rels><?xml version="1.0" encoding="UTF-8" standalone="yes"?>
<Relationships xmlns="http://schemas.openxmlformats.org/package/2006/relationships"><Relationship Id="rId26" Type="http://schemas.openxmlformats.org/officeDocument/2006/relationships/hyperlink" Target="https://drive.google.com/file/d/1pxxNXS2D0Dz964g5qN7VQ93dk5Epxxsi/view?usp=sharing" TargetMode="External"/><Relationship Id="rId21" Type="http://schemas.openxmlformats.org/officeDocument/2006/relationships/hyperlink" Target="https://drive.google.com/file/d/1ID5WgYol3ATAlGoI1q3Dutn6u07AzD9-/view?usp=sharing" TargetMode="External"/><Relationship Id="rId42" Type="http://schemas.openxmlformats.org/officeDocument/2006/relationships/hyperlink" Target="https://drive.google.com/file/d/1EG0BJE5_QhFGDGnk2bvEo_QGcrSWL28P/view?usp=sharing" TargetMode="External"/><Relationship Id="rId47" Type="http://schemas.openxmlformats.org/officeDocument/2006/relationships/hyperlink" Target="https://drive.google.com/file/d/1LkUB7K1IPCBTMxe1ClV3Wp-84kHNLAtQ/view?usp=sharing" TargetMode="External"/><Relationship Id="rId63" Type="http://schemas.openxmlformats.org/officeDocument/2006/relationships/hyperlink" Target="https://drive.google.com/file/d/1ZYpKa0eGSTXsP_rpta2KOGTEZBDnHa_C/view?usp=sharing" TargetMode="External"/><Relationship Id="rId68" Type="http://schemas.openxmlformats.org/officeDocument/2006/relationships/hyperlink" Target="https://drive.google.com/file/d/1qdyNcx-I-uUzOkioMTQOHLrDmhdryj8R/view?usp=sharing" TargetMode="External"/><Relationship Id="rId16" Type="http://schemas.openxmlformats.org/officeDocument/2006/relationships/hyperlink" Target="https://drive.google.com/file/d/1tqMeXktgpl-sdOFens28kU8QfM4L-KpJ/view?usp=sharing" TargetMode="External"/><Relationship Id="rId11" Type="http://schemas.openxmlformats.org/officeDocument/2006/relationships/hyperlink" Target="https://drive.google.com/file/d/1gIIdCn5y2nKP7U_wPhdL01Er1E1qCQ-S/view?usp=sharing" TargetMode="External"/><Relationship Id="rId32" Type="http://schemas.openxmlformats.org/officeDocument/2006/relationships/hyperlink" Target="https://drive.google.com/file/d/1gFb0GeJxZG4TtVhnLxP2RDAh1FCDzd8D/view?usp=sharing" TargetMode="External"/><Relationship Id="rId37" Type="http://schemas.openxmlformats.org/officeDocument/2006/relationships/hyperlink" Target="https://drive.google.com/file/d/1ta0QFflbOEHBLk_w-j3eqZJ1O7BZLRN_/view?usp=sharing" TargetMode="External"/><Relationship Id="rId53" Type="http://schemas.openxmlformats.org/officeDocument/2006/relationships/hyperlink" Target="https://drive.google.com/file/d/1soxicgrFRzJOCFxbhSFOXRSeBfqwtSBi/view?usp=sharing" TargetMode="External"/><Relationship Id="rId58" Type="http://schemas.openxmlformats.org/officeDocument/2006/relationships/hyperlink" Target="https://drive.google.com/file/d/1evx9a-cmGsu-akVJEd8sBXCVF3gnejvD/view?usp=sharing" TargetMode="External"/><Relationship Id="rId74" Type="http://schemas.openxmlformats.org/officeDocument/2006/relationships/hyperlink" Target="https://drive.google.com/file/d/1HooyBxxZcmJ02AHG4whBHyghyQ-QPcun/view?usp=sharing" TargetMode="External"/><Relationship Id="rId79" Type="http://schemas.openxmlformats.org/officeDocument/2006/relationships/hyperlink" Target="https://drive.google.com/file/d/1snxhGsBvWN8yieFLg5juMloVWTfVZ2-i/view?usp=sharing" TargetMode="External"/><Relationship Id="rId5" Type="http://schemas.openxmlformats.org/officeDocument/2006/relationships/hyperlink" Target="https://drive.google.com/file/d/1q0DwKcChaeYudsONo999AXYOdP1gseSh/view?usp=sharing" TargetMode="External"/><Relationship Id="rId61" Type="http://schemas.openxmlformats.org/officeDocument/2006/relationships/hyperlink" Target="https://drive.google.com/file/d/1a87EApBTEyIDR8dfPnd7XOM04pE6L2EL/view?usp=sharing" TargetMode="External"/><Relationship Id="rId82" Type="http://schemas.openxmlformats.org/officeDocument/2006/relationships/comments" Target="../comments3.xml"/><Relationship Id="rId19" Type="http://schemas.openxmlformats.org/officeDocument/2006/relationships/hyperlink" Target="https://drive.google.com/file/d/1vmGQDeooV7daoOxtk6mQskSyRjAKMMdS/view?usp=sharing" TargetMode="External"/><Relationship Id="rId14" Type="http://schemas.openxmlformats.org/officeDocument/2006/relationships/hyperlink" Target="https://drive.google.com/file/d/1WLOXoP9TK1bMYnEc8XybwQy6M3FWH4YF/view?usp=sharing" TargetMode="External"/><Relationship Id="rId22" Type="http://schemas.openxmlformats.org/officeDocument/2006/relationships/hyperlink" Target="https://drive.google.com/file/d/15ALQA9tKcBhIH_0luzoUdw5CrWDb_TDq/view?usp=sharing" TargetMode="External"/><Relationship Id="rId27" Type="http://schemas.openxmlformats.org/officeDocument/2006/relationships/hyperlink" Target="https://drive.google.com/file/d/16ZdChqpjS_qsrdkMkAobXckLVFjMEly2/view?usp=sharing" TargetMode="External"/><Relationship Id="rId30" Type="http://schemas.openxmlformats.org/officeDocument/2006/relationships/hyperlink" Target="https://drive.google.com/file/d/10O449aRLTAtdPa4N8iVZfaevbzukNZcF/view?usp=sharing" TargetMode="External"/><Relationship Id="rId35" Type="http://schemas.openxmlformats.org/officeDocument/2006/relationships/hyperlink" Target="https://drive.google.com/file/d/1GRT-6uz7crGYgbE4WpCS2KuV1RZbJ7pw/view?usp=sharing" TargetMode="External"/><Relationship Id="rId43" Type="http://schemas.openxmlformats.org/officeDocument/2006/relationships/hyperlink" Target="https://drive.google.com/file/d/1HiIxsRZYfAJNntNVSZh5ig8kcP0h2Hqx/view?usp=sharing" TargetMode="External"/><Relationship Id="rId48" Type="http://schemas.openxmlformats.org/officeDocument/2006/relationships/hyperlink" Target="https://drive.google.com/file/d/1oZmuC1bXN9onIs7sAFkud15eUNml5wpF/view?usp=sharing" TargetMode="External"/><Relationship Id="rId56" Type="http://schemas.openxmlformats.org/officeDocument/2006/relationships/hyperlink" Target="https://drive.google.com/file/d/18ZnaEPaBMYXCCz5R2B0uJJCSSdfRs9y2/view?usp=sharing" TargetMode="External"/><Relationship Id="rId64" Type="http://schemas.openxmlformats.org/officeDocument/2006/relationships/hyperlink" Target="https://drive.google.com/file/d/1Q73QW50BU0rKXLEla76healoNfymrkZT/view?usp=sharing" TargetMode="External"/><Relationship Id="rId69" Type="http://schemas.openxmlformats.org/officeDocument/2006/relationships/hyperlink" Target="https://drive.google.com/file/d/1k6XK6Rxath4IeueKx_TAuiStIl4EnCqT/view?usp=sharing" TargetMode="External"/><Relationship Id="rId77" Type="http://schemas.openxmlformats.org/officeDocument/2006/relationships/hyperlink" Target="https://drive.google.com/file/d/1n9_Yt2gois0C38_IdRkzwoGfOlKfOIXW/view?usp=sharing" TargetMode="External"/><Relationship Id="rId8" Type="http://schemas.openxmlformats.org/officeDocument/2006/relationships/hyperlink" Target="https://drive.google.com/file/d/1S26auuet0siRi6qiaN-snoruPOSvUMP-/view?usp=sharing" TargetMode="External"/><Relationship Id="rId51" Type="http://schemas.openxmlformats.org/officeDocument/2006/relationships/hyperlink" Target="https://drive.google.com/file/d/1n9vMBSUHGIR67ZXBTS0MCTL5YTns6g9V/view?usp=sharing" TargetMode="External"/><Relationship Id="rId72" Type="http://schemas.openxmlformats.org/officeDocument/2006/relationships/hyperlink" Target="https://drive.google.com/file/d/1bVYa9u5qIntmfigylHUdMwA75ptvSWUj/view?usp=drive_link" TargetMode="External"/><Relationship Id="rId80" Type="http://schemas.openxmlformats.org/officeDocument/2006/relationships/printerSettings" Target="../printerSettings/printerSettings10.bin"/><Relationship Id="rId3" Type="http://schemas.openxmlformats.org/officeDocument/2006/relationships/hyperlink" Target="https://drive.google.com/file/d/1jTFZj4wvZMEghlzVy6jTdmr2JBzEC2IU/view?usp=sharing" TargetMode="External"/><Relationship Id="rId12" Type="http://schemas.openxmlformats.org/officeDocument/2006/relationships/hyperlink" Target="https://drive.google.com/file/d/1NiC-wlWxbP5NEFdjrZOJCV9FOn-xhHTO/view?usp=sharing" TargetMode="External"/><Relationship Id="rId17" Type="http://schemas.openxmlformats.org/officeDocument/2006/relationships/hyperlink" Target="https://drive.google.com/file/d/1igvnb98ucPW3H-QoDjl6K4d2wg1js8jh/view?usp=sharing" TargetMode="External"/><Relationship Id="rId25" Type="http://schemas.openxmlformats.org/officeDocument/2006/relationships/hyperlink" Target="https://drive.google.com/file/d/1bpXQrJZMDTz1N4nSCkWwxP643USrGSY4/view?usp=sharing" TargetMode="External"/><Relationship Id="rId33" Type="http://schemas.openxmlformats.org/officeDocument/2006/relationships/hyperlink" Target="https://drive.google.com/file/d/1xp2hLp_JGOT-xADvkSod9FmqL1MRd1bJ/view?usp=sharing" TargetMode="External"/><Relationship Id="rId38" Type="http://schemas.openxmlformats.org/officeDocument/2006/relationships/hyperlink" Target="https://drive.google.com/file/d/1YBZuUGqXQnUMvDwLrhjxU8NSDdqKxGEi/view?usp=sharing" TargetMode="External"/><Relationship Id="rId46" Type="http://schemas.openxmlformats.org/officeDocument/2006/relationships/hyperlink" Target="https://drive.google.com/file/d/1EG0BJE5_QhFGDGnk2bvEo_QGcrSWL28P/view?usp=sharing" TargetMode="External"/><Relationship Id="rId59" Type="http://schemas.openxmlformats.org/officeDocument/2006/relationships/hyperlink" Target="https://drive.google.com/file/d/1Lrak8Ri6zT6x0U07VFt70XFORCccqTYC/view?usp=sharing" TargetMode="External"/><Relationship Id="rId67" Type="http://schemas.openxmlformats.org/officeDocument/2006/relationships/hyperlink" Target="https://drive.google.com/file/d/163p1ce2zSggPCFq7NyjvKqGPEQ1bM_Ak/view?usp=sharing" TargetMode="External"/><Relationship Id="rId20" Type="http://schemas.openxmlformats.org/officeDocument/2006/relationships/hyperlink" Target="https://drive.google.com/file/d/1ui54Zzp92oFBz6ZYTyZv-OqN_jNiGCtg/view?usp=sharing" TargetMode="External"/><Relationship Id="rId41" Type="http://schemas.openxmlformats.org/officeDocument/2006/relationships/hyperlink" Target="https://sinta.kemdikbud.go.id/authors/profile/6827877/?view=researches" TargetMode="External"/><Relationship Id="rId54" Type="http://schemas.openxmlformats.org/officeDocument/2006/relationships/hyperlink" Target="https://drive.google.com/file/d/13QIW9HhU4g3ygd6sYwJFaQQpdGKFLwnP/view?usp=sharing" TargetMode="External"/><Relationship Id="rId62" Type="http://schemas.openxmlformats.org/officeDocument/2006/relationships/hyperlink" Target="https://drive.google.com/file/d/1xCjsuodGxPorE8vv1zJnCrE_jKwlbil8/view?usp=sharing" TargetMode="External"/><Relationship Id="rId70" Type="http://schemas.openxmlformats.org/officeDocument/2006/relationships/hyperlink" Target="https://drive.google.com/file/d/1jsiffvupsgMJAapnLT7IQmjSs1YmzNEI/view?usp=sharing" TargetMode="External"/><Relationship Id="rId75" Type="http://schemas.openxmlformats.org/officeDocument/2006/relationships/hyperlink" Target="https://drive.google.com/file/d/1SRjuUhUjVZnW6KHABCjfwcVgprHrQ_TT/view?usp=sharing" TargetMode="External"/><Relationship Id="rId1" Type="http://schemas.openxmlformats.org/officeDocument/2006/relationships/hyperlink" Target="https://drive.google.com/file/d/1RX03CI-HZacDgxhFjoGJM0_PDSYIJN5y/view?usp=sharing" TargetMode="External"/><Relationship Id="rId6" Type="http://schemas.openxmlformats.org/officeDocument/2006/relationships/hyperlink" Target="https://drive.google.com/file/d/1QuipnWHb2uaVMQ6fYarg3c6FqaNM2oGL/view?usp=sharing" TargetMode="External"/><Relationship Id="rId15" Type="http://schemas.openxmlformats.org/officeDocument/2006/relationships/hyperlink" Target="https://drive.google.com/file/d/1Vw3OffZ1n2itRb2jUKR9sbwAVo4V0rVU/view?usp=sharing" TargetMode="External"/><Relationship Id="rId23" Type="http://schemas.openxmlformats.org/officeDocument/2006/relationships/hyperlink" Target="https://drive.google.com/file/d/169WMqSKzLQEpbckvtxizYNnjYPviTsWd/view?usp=sharing" TargetMode="External"/><Relationship Id="rId28" Type="http://schemas.openxmlformats.org/officeDocument/2006/relationships/hyperlink" Target="https://drive.google.com/file/d/1LQQJYOAtmtdN_avs4e8yjr2vNRdfYYOy/view?usp=sharing" TargetMode="External"/><Relationship Id="rId36" Type="http://schemas.openxmlformats.org/officeDocument/2006/relationships/hyperlink" Target="https://drive.google.com/file/d/11b0YG5sMA8YIc7X6CCmU-Hm64Lh8M9D9/view?usp=sharing" TargetMode="External"/><Relationship Id="rId49" Type="http://schemas.openxmlformats.org/officeDocument/2006/relationships/hyperlink" Target="https://drive.google.com/file/d/1lf68r9i5jlaRkT9AVzcZC4eLNQEzqDwo/view?usp=sharing" TargetMode="External"/><Relationship Id="rId57" Type="http://schemas.openxmlformats.org/officeDocument/2006/relationships/hyperlink" Target="https://drive.google.com/file/d/11ySIUB8HzMVqDCD_RImip6ZOkign3lsi/view?usp=sharing" TargetMode="External"/><Relationship Id="rId10" Type="http://schemas.openxmlformats.org/officeDocument/2006/relationships/hyperlink" Target="https://drive.google.com/file/d/1lX1cJCf4VIpMO1K5731p3tNL1DsUPcbU/view?usp=sharing" TargetMode="External"/><Relationship Id="rId31" Type="http://schemas.openxmlformats.org/officeDocument/2006/relationships/hyperlink" Target="https://drive.google.com/file/d/1zpv0Lc0Z79Rw_qxzkLW7LCmIfjH00zWW/view?usp=sharing" TargetMode="External"/><Relationship Id="rId44" Type="http://schemas.openxmlformats.org/officeDocument/2006/relationships/hyperlink" Target="https://drive.google.com/file/d/1kyb35psCN4jnYVL4HPQ7ZtNT4wR70Au6/view?usp=sharing" TargetMode="External"/><Relationship Id="rId52" Type="http://schemas.openxmlformats.org/officeDocument/2006/relationships/hyperlink" Target="https://drive.google.com/file/d/11yp07duzxDnqu94h1cUEuc14mRPsIbDq/view?usp=sharing" TargetMode="External"/><Relationship Id="rId60" Type="http://schemas.openxmlformats.org/officeDocument/2006/relationships/hyperlink" Target="https://drive.google.com/file/d/101i_t4k1nyzXhWk3g9a2Np8POGjG3yu-/view?usp=sharing" TargetMode="External"/><Relationship Id="rId65" Type="http://schemas.openxmlformats.org/officeDocument/2006/relationships/hyperlink" Target="https://drive.google.com/file/d/1rhFphdhRo_k8zGpsqEQSRq0Jfsd9n6j4/view?usp=sharing" TargetMode="External"/><Relationship Id="rId73" Type="http://schemas.openxmlformats.org/officeDocument/2006/relationships/hyperlink" Target="https://drive.google.com/file/d/1Oy3b5CHSJUm400doSb1yAMt_mSVGVcIp/view?usp=sharing" TargetMode="External"/><Relationship Id="rId78" Type="http://schemas.openxmlformats.org/officeDocument/2006/relationships/hyperlink" Target="https://drive.google.com/file/d/16LCDUFRENQYII7aNZgEI0-4zD6gEOhKL/view?usp=sharing" TargetMode="External"/><Relationship Id="rId81" Type="http://schemas.openxmlformats.org/officeDocument/2006/relationships/vmlDrawing" Target="../drawings/vmlDrawing3.vml"/><Relationship Id="rId4" Type="http://schemas.openxmlformats.org/officeDocument/2006/relationships/hyperlink" Target="https://drive.google.com/file/d/1VxsL-SUNiYyY5busqJlvt59armFSp8v1/view?usp=sharing" TargetMode="External"/><Relationship Id="rId9" Type="http://schemas.openxmlformats.org/officeDocument/2006/relationships/hyperlink" Target="https://drive.google.com/file/d/1VD14jv9YilND-6ojurmoUe7hhztUHP1H/view?usp=sharing" TargetMode="External"/><Relationship Id="rId13" Type="http://schemas.openxmlformats.org/officeDocument/2006/relationships/hyperlink" Target="https://drive.google.com/file/d/1bKwaHRXZjAvtd1gOf0VB5jfBJonicmGG/view?usp=sharing" TargetMode="External"/><Relationship Id="rId18" Type="http://schemas.openxmlformats.org/officeDocument/2006/relationships/hyperlink" Target="https://drive.google.com/file/d/1WBuhZyznJiscMaaP62xQFdHFxd94EK00/view?usp=sharing" TargetMode="External"/><Relationship Id="rId39" Type="http://schemas.openxmlformats.org/officeDocument/2006/relationships/hyperlink" Target="https://sinta.kemdikbud.go.id/authors/profile/6006380/?view=researches" TargetMode="External"/><Relationship Id="rId34" Type="http://schemas.openxmlformats.org/officeDocument/2006/relationships/hyperlink" Target="https://drive.google.com/file/d/1mb-fc6OkcvEnXhFnpALTngKwvTawbc72/view?usp=sharing" TargetMode="External"/><Relationship Id="rId50" Type="http://schemas.openxmlformats.org/officeDocument/2006/relationships/hyperlink" Target="https://drive.google.com/file/d/1Z_bzo_vDI1ZaCdk-H9EaICwWB7K89H4B/view?usp=sharing" TargetMode="External"/><Relationship Id="rId55" Type="http://schemas.openxmlformats.org/officeDocument/2006/relationships/hyperlink" Target="https://drive.google.com/file/d/1otE5VDI7i8iW4DYVma_OH3IOmlhhC9Gn/view?usp=sharing" TargetMode="External"/><Relationship Id="rId76" Type="http://schemas.openxmlformats.org/officeDocument/2006/relationships/hyperlink" Target="https://drive.google.com/file/d/1Z8GUIXYr9QZXVnNu8E8GYBDeVWRJzvV1/view?usp=sharing" TargetMode="External"/><Relationship Id="rId7" Type="http://schemas.openxmlformats.org/officeDocument/2006/relationships/hyperlink" Target="https://drive.google.com/file/d/13DT9YpY0NWqgtOtHZ441o78tjMyHAmzp/view?usp=sharing" TargetMode="External"/><Relationship Id="rId71" Type="http://schemas.openxmlformats.org/officeDocument/2006/relationships/hyperlink" Target="https://drive.google.com/file/d/16dBZ2R2maOzznuwirtYNuawzu5ri9nG9/view?usp=sharing" TargetMode="External"/><Relationship Id="rId2" Type="http://schemas.openxmlformats.org/officeDocument/2006/relationships/hyperlink" Target="https://drive.google.com/file/d/1iGXDtO7-rd8XjTvDR7rLhwK3rpeA6K_W/view?usp=sharing" TargetMode="External"/><Relationship Id="rId29" Type="http://schemas.openxmlformats.org/officeDocument/2006/relationships/hyperlink" Target="https://drive.google.com/file/d/11dHyZFcIbh8mEeSDlYctL5JFtxwHn7Do/view?usp=sharing" TargetMode="External"/><Relationship Id="rId24" Type="http://schemas.openxmlformats.org/officeDocument/2006/relationships/hyperlink" Target="https://drive.google.com/file/d/12vZcbbFNoRXSjTFOBQ3a3cTZ5smljz6I/view?usp=sharing" TargetMode="External"/><Relationship Id="rId40" Type="http://schemas.openxmlformats.org/officeDocument/2006/relationships/hyperlink" Target="https://sinta.kemdikbud.go.id/authors/profile/6006380/?view=researches" TargetMode="External"/><Relationship Id="rId45" Type="http://schemas.openxmlformats.org/officeDocument/2006/relationships/hyperlink" Target="https://drive.google.com/file/d/1gg-zXtDJt7DdPECODzPSGVSpkySUslf8/view?usp=sharing" TargetMode="External"/><Relationship Id="rId66" Type="http://schemas.openxmlformats.org/officeDocument/2006/relationships/hyperlink" Target="https://drive.google.com/file/d/1hn5JwtAZxnNyxY40T-VcgUO6erX6H5to/view?usp=sharing"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drive.google.com/file/d/1gSRAJ7nJe9W1e4aheI_jTIEh918NYhvS/view?usp=sharing" TargetMode="External"/><Relationship Id="rId21" Type="http://schemas.openxmlformats.org/officeDocument/2006/relationships/hyperlink" Target="https://drive.google.com/file/d/1PV2spWhZ7MZA1gCZdorPm5RtDcMTydpI/view?usp=sharing" TargetMode="External"/><Relationship Id="rId42" Type="http://schemas.openxmlformats.org/officeDocument/2006/relationships/hyperlink" Target="https://drive.google.com/file/d/1YTNXx6NMQ0Fh2lJfc39cXRQqdHDL9vBs/view?usp=sharing" TargetMode="External"/><Relationship Id="rId47" Type="http://schemas.openxmlformats.org/officeDocument/2006/relationships/hyperlink" Target="https://drive.google.com/file/d/1cH8cV1ETrvmF4Pq52EwNlg_nfCKxyBui/view?usp=sharing" TargetMode="External"/><Relationship Id="rId63" Type="http://schemas.openxmlformats.org/officeDocument/2006/relationships/hyperlink" Target="https://drive.google.com/file/d/16_mbXnbIR2M5ewbQnX7g-bt8qCLaS_pb/view?usp=sharing" TargetMode="External"/><Relationship Id="rId68" Type="http://schemas.openxmlformats.org/officeDocument/2006/relationships/hyperlink" Target="https://drive.google.com/file/d/1CGvYgXiyEYNoShbmKb8jay4w11w_lW0q/view?usp=sharing" TargetMode="External"/><Relationship Id="rId16" Type="http://schemas.openxmlformats.org/officeDocument/2006/relationships/hyperlink" Target="https://drive.google.com/file/d/11hEOliRLUxZNnw-Xg17y69Im4d3y2IK2/view?usp=sharing" TargetMode="External"/><Relationship Id="rId11" Type="http://schemas.openxmlformats.org/officeDocument/2006/relationships/hyperlink" Target="https://drive.google.com/file/d/1hDu9Pr3e28fk77MKAnz4FwaEfiD64rtr/view?usp=sharing" TargetMode="External"/><Relationship Id="rId32" Type="http://schemas.openxmlformats.org/officeDocument/2006/relationships/hyperlink" Target="https://drive.google.com/file/d/10cqCrd3WHRKCIHNdJM8XD13E_d2D8QYL/view?usp=sharing" TargetMode="External"/><Relationship Id="rId37" Type="http://schemas.openxmlformats.org/officeDocument/2006/relationships/hyperlink" Target="https://drive.google.com/file/d/1RzfsfHtu5ef2DIo9Ib6-AC2NvUAQM1xi/view?usp=sharing" TargetMode="External"/><Relationship Id="rId53" Type="http://schemas.openxmlformats.org/officeDocument/2006/relationships/hyperlink" Target="https://drive.google.com/file/d/1Bu2mvk3fgL_dso_nisYOV0ntohFVDlHa/view?usp=sharing" TargetMode="External"/><Relationship Id="rId58" Type="http://schemas.openxmlformats.org/officeDocument/2006/relationships/hyperlink" Target="https://drive.google.com/file/d/13j6pQhbVNlGoINjKUVQj6TzkVs8V6Ukr/view?usp=sharing" TargetMode="External"/><Relationship Id="rId74" Type="http://schemas.openxmlformats.org/officeDocument/2006/relationships/hyperlink" Target="https://drive.google.com/file/d/1Hz9v4eah9xDFt95IeU6707koRXKO5ZMF/view?usp=sharing" TargetMode="External"/><Relationship Id="rId79" Type="http://schemas.openxmlformats.org/officeDocument/2006/relationships/printerSettings" Target="../printerSettings/printerSettings11.bin"/><Relationship Id="rId5" Type="http://schemas.openxmlformats.org/officeDocument/2006/relationships/hyperlink" Target="https://drive.google.com/file/d/157g6FgM-LZO59H7KZvgEYO3Ebq0fo4Br/view?usp=sharing" TargetMode="External"/><Relationship Id="rId61" Type="http://schemas.openxmlformats.org/officeDocument/2006/relationships/hyperlink" Target="https://drive.google.com/file/d/1ygDI6FchhGvL_IXxVBOMLm1h9YVkGUoW/view?usp=sharing" TargetMode="External"/><Relationship Id="rId19" Type="http://schemas.openxmlformats.org/officeDocument/2006/relationships/hyperlink" Target="https://drive.google.com/file/d/1AGTsnZFZEgeqQmcq-fJEwei4pX7ghHOE/view?usp=sharing" TargetMode="External"/><Relationship Id="rId14" Type="http://schemas.openxmlformats.org/officeDocument/2006/relationships/hyperlink" Target="https://drive.google.com/file/d/1NYke5nQKOU0wxHWtbFeKDpMY7ZUMN5ki/view?usp=sharing" TargetMode="External"/><Relationship Id="rId22" Type="http://schemas.openxmlformats.org/officeDocument/2006/relationships/hyperlink" Target="https://drive.google.com/file/d/1V63DrbbW-gVuX_p40oiJz0AtMGk5dtIz/view?usp=sharing" TargetMode="External"/><Relationship Id="rId27" Type="http://schemas.openxmlformats.org/officeDocument/2006/relationships/hyperlink" Target="https://drive.google.com/file/d/1kBJeK0jf9b2IgI5Mqme8qzGHX48OMuv5/view?usp=sharing" TargetMode="External"/><Relationship Id="rId30" Type="http://schemas.openxmlformats.org/officeDocument/2006/relationships/hyperlink" Target="https://drive.google.com/file/d/1sTBgFWwq_LHxbhxse474ThT_ekcrBfwh/view?usp=sharing" TargetMode="External"/><Relationship Id="rId35" Type="http://schemas.openxmlformats.org/officeDocument/2006/relationships/hyperlink" Target="https://drive.google.com/file/d/1ub-gvAtWu99J1MNZcECZKjL9t4rB-gvH/view?usp=sharing" TargetMode="External"/><Relationship Id="rId43" Type="http://schemas.openxmlformats.org/officeDocument/2006/relationships/hyperlink" Target="https://drive.google.com/file/d/1gxKx-arSviphlKY7xWDvYifYe-1Pmmn_/view?usp=sharing" TargetMode="External"/><Relationship Id="rId48" Type="http://schemas.openxmlformats.org/officeDocument/2006/relationships/hyperlink" Target="https://drive.google.com/file/d/1EbYR8xXysWx5Qa4G-l0PUcYXwLmJjVaZ/view?usp=sharing" TargetMode="External"/><Relationship Id="rId56" Type="http://schemas.openxmlformats.org/officeDocument/2006/relationships/hyperlink" Target="https://drive.google.com/file/d/1IxsVqq23ygyyZ_eKKMBnR2_pme_LSziO/view?usp=sharing" TargetMode="External"/><Relationship Id="rId64" Type="http://schemas.openxmlformats.org/officeDocument/2006/relationships/hyperlink" Target="https://drive.google.com/file/d/1-bCSVAEHUwdgmQb7yc-IBnsNLlRNBCHb/view?usp=sharing" TargetMode="External"/><Relationship Id="rId69" Type="http://schemas.openxmlformats.org/officeDocument/2006/relationships/hyperlink" Target="https://drive.google.com/file/d/1VKYNgJtPvN-XLMIGXsingbTGb_EbhAvx/view?usp=sharing" TargetMode="External"/><Relationship Id="rId77" Type="http://schemas.openxmlformats.org/officeDocument/2006/relationships/hyperlink" Target="https://drive.google.com/file/d/1IgsyTjN6BtTWVgVCm_ApguqmKjR7t2X9/view?usp=sharing" TargetMode="External"/><Relationship Id="rId8" Type="http://schemas.openxmlformats.org/officeDocument/2006/relationships/hyperlink" Target="https://drive.google.com/file/d/1NGfIZ-SL7BoORvioT_pylq7hItGpZ7K7/view?usp=sharing" TargetMode="External"/><Relationship Id="rId51" Type="http://schemas.openxmlformats.org/officeDocument/2006/relationships/hyperlink" Target="https://drive.google.com/file/d/1aydjUMMr8zWyMJuyEf8xkvqSs6biaCOZ/view?usp=sharing" TargetMode="External"/><Relationship Id="rId72" Type="http://schemas.openxmlformats.org/officeDocument/2006/relationships/hyperlink" Target="https://drive.google.com/file/d/12TPUOZXCEdI0IiHAQFIz4ym94VMiiF_c/view?usp=sharing" TargetMode="External"/><Relationship Id="rId80" Type="http://schemas.openxmlformats.org/officeDocument/2006/relationships/vmlDrawing" Target="../drawings/vmlDrawing4.vml"/><Relationship Id="rId3" Type="http://schemas.openxmlformats.org/officeDocument/2006/relationships/hyperlink" Target="https://drive.google.com/file/d/1HsBBikLZJ-kskEmo2xKPyNFueUFz-8Ww/view?usp=sharing" TargetMode="External"/><Relationship Id="rId12" Type="http://schemas.openxmlformats.org/officeDocument/2006/relationships/hyperlink" Target="https://drive.google.com/file/d/1dIhZANZ-HYDvSkurl27MWh11NtvjpM6L/view?usp=sharing" TargetMode="External"/><Relationship Id="rId17" Type="http://schemas.openxmlformats.org/officeDocument/2006/relationships/hyperlink" Target="https://drive.google.com/file/d/1sGsg-7lswrlfftDGX-7_XBUPaBXKWmlj/view?usp=sharing" TargetMode="External"/><Relationship Id="rId25" Type="http://schemas.openxmlformats.org/officeDocument/2006/relationships/hyperlink" Target="https://drive.google.com/file/d/1blrkP-fHmK4Dx9oYIGyJEKnxBEMG_mkA/view?usp=sharing" TargetMode="External"/><Relationship Id="rId33" Type="http://schemas.openxmlformats.org/officeDocument/2006/relationships/hyperlink" Target="https://drive.google.com/file/d/1Jm4VgXm_f_XErL9DgkiL-Flpr5wgy768/view?usp=sharing" TargetMode="External"/><Relationship Id="rId38" Type="http://schemas.openxmlformats.org/officeDocument/2006/relationships/hyperlink" Target="https://drive.google.com/file/d/13ojHJ0i-Kb4n9EcuNjXnM880xZ93Bcz_/view?usp=sharing" TargetMode="External"/><Relationship Id="rId46" Type="http://schemas.openxmlformats.org/officeDocument/2006/relationships/hyperlink" Target="https://drive.google.com/file/d/1Txigefknj8lLLtW4LTA0PiGD5ejVKQZd/view?usp=sharing" TargetMode="External"/><Relationship Id="rId59" Type="http://schemas.openxmlformats.org/officeDocument/2006/relationships/hyperlink" Target="https://drive.google.com/file/d/1LvaCxsG4yfpfgIy5LHznV4MN4WES2zqb/view?usp=sharing" TargetMode="External"/><Relationship Id="rId67" Type="http://schemas.openxmlformats.org/officeDocument/2006/relationships/hyperlink" Target="https://drive.google.com/file/d/16KYG6Ory8wyXtKtA9cnWbKO-LN8CrC7m/view?usp=sharing" TargetMode="External"/><Relationship Id="rId20" Type="http://schemas.openxmlformats.org/officeDocument/2006/relationships/hyperlink" Target="https://drive.google.com/file/d/1ZlXv5b7so8qCHlLbD2uq3pM8aeu2sO0z/view?usp=sharing" TargetMode="External"/><Relationship Id="rId41" Type="http://schemas.openxmlformats.org/officeDocument/2006/relationships/hyperlink" Target="https://drive.google.com/file/d/1GCl2QgYlUfAgOZF-8Ogmcf-ZoYuJ_pKJ/view?usp=sharing" TargetMode="External"/><Relationship Id="rId54" Type="http://schemas.openxmlformats.org/officeDocument/2006/relationships/hyperlink" Target="https://drive.google.com/file/d/1qoXO1YVOPBfpWAQsp-bnAqYgsGFHjSWp/view?usp=sharing" TargetMode="External"/><Relationship Id="rId62" Type="http://schemas.openxmlformats.org/officeDocument/2006/relationships/hyperlink" Target="https://drive.google.com/file/d/1yYtoDgQUL2R9-HgJ-Oohvvz0xTYNoNGi/view?usp=sharing" TargetMode="External"/><Relationship Id="rId70" Type="http://schemas.openxmlformats.org/officeDocument/2006/relationships/hyperlink" Target="https://drive.google.com/file/d/1xufoPrJ5lX48f-VRF5duFnuxJvh2-m_z/view?usp=sharing" TargetMode="External"/><Relationship Id="rId75" Type="http://schemas.openxmlformats.org/officeDocument/2006/relationships/hyperlink" Target="https://drive.google.com/file/d/1tkP1JKvWTRI9WJ27Nvtok-8LoFlQsq41/view?usp=sharing" TargetMode="External"/><Relationship Id="rId1" Type="http://schemas.openxmlformats.org/officeDocument/2006/relationships/hyperlink" Target="https://drive.google.com/file/d/1uYUsVBIMeqtYiyTPP-RFW25tq-FljZ4S/view?usp=sharing" TargetMode="External"/><Relationship Id="rId6" Type="http://schemas.openxmlformats.org/officeDocument/2006/relationships/hyperlink" Target="https://drive.google.com/file/d/1pvx1VxQZJId_le0TFYAHXb44TaFWAaVz/view?usp=sharing" TargetMode="External"/><Relationship Id="rId15" Type="http://schemas.openxmlformats.org/officeDocument/2006/relationships/hyperlink" Target="https://drive.google.com/file/d/1IlDpRU7IlSL9h_sy-VFXD6jKMF3QNkB1/view?usp=sharing" TargetMode="External"/><Relationship Id="rId23" Type="http://schemas.openxmlformats.org/officeDocument/2006/relationships/hyperlink" Target="https://drive.google.com/file/d/1QI2jJxxNstxXxUhsRy6u4SySEVkZPTN_/view?usp=sharing" TargetMode="External"/><Relationship Id="rId28" Type="http://schemas.openxmlformats.org/officeDocument/2006/relationships/hyperlink" Target="https://drive.google.com/file/d/1dWZn8V4QN9EiM4gjR3I7cQUGMxtFTMlr/view?usp=sharing" TargetMode="External"/><Relationship Id="rId36" Type="http://schemas.openxmlformats.org/officeDocument/2006/relationships/hyperlink" Target="https://drive.google.com/file/d/1VSurW9MX5S2fEZMEjMyF-shZSKSE0XGl/view?usp=sharing" TargetMode="External"/><Relationship Id="rId49" Type="http://schemas.openxmlformats.org/officeDocument/2006/relationships/hyperlink" Target="https://drive.google.com/file/d/15_vdhR2BHi9VvzRz8APx4FCFwqRWBsr_/view?usp=sharing" TargetMode="External"/><Relationship Id="rId57" Type="http://schemas.openxmlformats.org/officeDocument/2006/relationships/hyperlink" Target="https://drive.google.com/file/d/1ELvDO9ZORrgAbITnLJIcKV9dLGbih82V/view?usp=sharing" TargetMode="External"/><Relationship Id="rId10" Type="http://schemas.openxmlformats.org/officeDocument/2006/relationships/hyperlink" Target="https://drive.google.com/file/d/1MvGXtDCnSWwSVk11LzahjodvAsnzsRQx/view?usp=sharing" TargetMode="External"/><Relationship Id="rId31" Type="http://schemas.openxmlformats.org/officeDocument/2006/relationships/hyperlink" Target="https://drive.google.com/file/d/1G2SpSAHhoruJTDFk-6NLAEIZ87pSnO0Z/view?usp=sharing" TargetMode="External"/><Relationship Id="rId44" Type="http://schemas.openxmlformats.org/officeDocument/2006/relationships/hyperlink" Target="https://drive.google.com/file/d/163p1ce2zSggPCFq7NyjvKqGPEQ1bM_Ak/view?usp=sharing" TargetMode="External"/><Relationship Id="rId52" Type="http://schemas.openxmlformats.org/officeDocument/2006/relationships/hyperlink" Target="https://drive.google.com/file/d/1fUiLX7uCk6dCHAhhTeZiAhNnxu0LA9ns/view?usp=sharing" TargetMode="External"/><Relationship Id="rId60" Type="http://schemas.openxmlformats.org/officeDocument/2006/relationships/hyperlink" Target="https://drive.google.com/file/d/1ZWdUVRFL8ijUzq6wwPKWF_Dr7xbekUri/view?usp=sharing" TargetMode="External"/><Relationship Id="rId65" Type="http://schemas.openxmlformats.org/officeDocument/2006/relationships/hyperlink" Target="https://drive.google.com/file/d/1nZEWjMz82DXHqAO9V3kIT4s_vp2--Opf/view?usp=sharing" TargetMode="External"/><Relationship Id="rId73" Type="http://schemas.openxmlformats.org/officeDocument/2006/relationships/hyperlink" Target="https://drive.google.com/file/d/10mNMTrwPX-jp3ZLJMBg3wy6kYxthiAfp/view?usp=sharing" TargetMode="External"/><Relationship Id="rId78" Type="http://schemas.openxmlformats.org/officeDocument/2006/relationships/hyperlink" Target="https://drive.google.com/file/d/1qLn02iXGi95nlAAzwZ8bUERYqSA3ZbPW/view?usp=sharing" TargetMode="External"/><Relationship Id="rId81" Type="http://schemas.openxmlformats.org/officeDocument/2006/relationships/comments" Target="../comments4.xml"/><Relationship Id="rId4" Type="http://schemas.openxmlformats.org/officeDocument/2006/relationships/hyperlink" Target="https://drive.google.com/file/d/16xHgxW4WpjB09QCeYXTzWkgyrBdkRMQ0/view?usp=sharing" TargetMode="External"/><Relationship Id="rId9" Type="http://schemas.openxmlformats.org/officeDocument/2006/relationships/hyperlink" Target="https://drive.google.com/file/d/1M6WEXqLZFfs6xb6Ln55zITYinWEeLMax/view?usp=sharing" TargetMode="External"/><Relationship Id="rId13" Type="http://schemas.openxmlformats.org/officeDocument/2006/relationships/hyperlink" Target="https://drive.google.com/file/d/1h0RSYIRcUCuUvCNeMm2AOiH0wbgwSkTM/view?usp=sharing" TargetMode="External"/><Relationship Id="rId18" Type="http://schemas.openxmlformats.org/officeDocument/2006/relationships/hyperlink" Target="https://drive.google.com/file/d/1PMBd5o_yjb3-MPXZT0Tr1VlUKvC460uH/view?usp=sharing" TargetMode="External"/><Relationship Id="rId39" Type="http://schemas.openxmlformats.org/officeDocument/2006/relationships/hyperlink" Target="https://drive.google.com/file/d/105AOaSlQpKTrxXAIDW18wLrKmL4P6Us0/view?usp=sharing" TargetMode="External"/><Relationship Id="rId34" Type="http://schemas.openxmlformats.org/officeDocument/2006/relationships/hyperlink" Target="https://drive.google.com/file/d/134VbKjzFkYmjl4nar2ziWIWi63pSeZqw/view?usp=sharing" TargetMode="External"/><Relationship Id="rId50" Type="http://schemas.openxmlformats.org/officeDocument/2006/relationships/hyperlink" Target="https://drive.google.com/file/d/1vwGxVHW2SCIcC_rC4PVAUh0g8APCRfdM/view?usp=sharing" TargetMode="External"/><Relationship Id="rId55" Type="http://schemas.openxmlformats.org/officeDocument/2006/relationships/hyperlink" Target="https://drive.google.com/file/d/1bqSriYYuQGOtPmLr4Yr6CpHND6YIOcAP/view?usp=sharing" TargetMode="External"/><Relationship Id="rId76" Type="http://schemas.openxmlformats.org/officeDocument/2006/relationships/hyperlink" Target="https://drive.google.com/file/d/1oPzo53W3k7zzTdBbMGLYWDs3uWjFL8SU/view?usp=sharing" TargetMode="External"/><Relationship Id="rId7" Type="http://schemas.openxmlformats.org/officeDocument/2006/relationships/hyperlink" Target="https://drive.google.com/file/d/1joZYlZtdH9_FMjRY-Y6dS4tHv430MRze/view?usp=sharing" TargetMode="External"/><Relationship Id="rId71" Type="http://schemas.openxmlformats.org/officeDocument/2006/relationships/hyperlink" Target="https://drive.google.com/drive/folders/1WSRQWPQtFhlZr0j9s3iW0UVObIZ7Wixq?usp=sharing" TargetMode="External"/><Relationship Id="rId2" Type="http://schemas.openxmlformats.org/officeDocument/2006/relationships/hyperlink" Target="https://drive.google.com/file/d/17Xiltokc2aZ-KmJ5YlhqRnNHHEyhu1Yj/view?usp=sharing" TargetMode="External"/><Relationship Id="rId29" Type="http://schemas.openxmlformats.org/officeDocument/2006/relationships/hyperlink" Target="https://drive.google.com/file/d/1U0RPt9Svd3Bter7Dfn1ZdNmQmLc9pLkF/view?usp=sharing" TargetMode="External"/><Relationship Id="rId24" Type="http://schemas.openxmlformats.org/officeDocument/2006/relationships/hyperlink" Target="https://drive.google.com/file/d/1pQhULjp2BKh7zytCLDuNKavXaqKm8wkY/view?usp=sharing" TargetMode="External"/><Relationship Id="rId40" Type="http://schemas.openxmlformats.org/officeDocument/2006/relationships/hyperlink" Target="https://drive.google.com/file/d/1zudYdd5i_8f6wPMTseUNKBL5i2UH3juH/view?usp=sharing" TargetMode="External"/><Relationship Id="rId45" Type="http://schemas.openxmlformats.org/officeDocument/2006/relationships/hyperlink" Target="https://drive.google.com/file/d/1Wf_whBttqhtYeEih2fTRcpy4Mr5ksMFj/view?usp=sharing" TargetMode="External"/><Relationship Id="rId66" Type="http://schemas.openxmlformats.org/officeDocument/2006/relationships/hyperlink" Target="https://drive.google.com/file/d/1TGEqSwuVk_nmIchGVj1CLAo2uwvOmBi6/view?usp=sharing" TargetMode="External"/></Relationships>
</file>

<file path=xl/worksheets/_rels/sheet24.xml.rels><?xml version="1.0" encoding="UTF-8" standalone="yes"?>
<Relationships xmlns="http://schemas.openxmlformats.org/package/2006/relationships"><Relationship Id="rId117" Type="http://schemas.openxmlformats.org/officeDocument/2006/relationships/hyperlink" Target="https://drive.google.com/file/d/1pr30akaZiwwTdX2vwSrJp-bx0P1lMxzG/view?usp=sharing" TargetMode="External"/><Relationship Id="rId21" Type="http://schemas.openxmlformats.org/officeDocument/2006/relationships/hyperlink" Target="https://drive.google.com/file/d/125wqpTVsXuIrc5nxBrqtTlFcn7P-Pepn/view?usp=sharing" TargetMode="External"/><Relationship Id="rId42" Type="http://schemas.openxmlformats.org/officeDocument/2006/relationships/hyperlink" Target="https://drive.google.com/file/d/1736Inb-w9IepKBINmvdwqOSCAc7ltC8r/view?usp=sharing" TargetMode="External"/><Relationship Id="rId63" Type="http://schemas.openxmlformats.org/officeDocument/2006/relationships/hyperlink" Target="https://drive.google.com/file/d/1QOkr6sl79UwyqPijBZM7I2R3UyIC-tOE/view?usp=sharing" TargetMode="External"/><Relationship Id="rId84" Type="http://schemas.openxmlformats.org/officeDocument/2006/relationships/hyperlink" Target="https://drive.google.com/file/d/16fSqllnJN6_3Qcoo14ujX4wi5S5f3CMd/view?usp=sharing" TargetMode="External"/><Relationship Id="rId138" Type="http://schemas.openxmlformats.org/officeDocument/2006/relationships/hyperlink" Target="https://drive.google.com/file/d/14gyoqCCkiZWLHhYYHWdncPpEAKSadOiY/view?usp=sharing" TargetMode="External"/><Relationship Id="rId159" Type="http://schemas.openxmlformats.org/officeDocument/2006/relationships/hyperlink" Target="https://drive.google.com/file/d/1Pt6bkroe362uXTl1yHDTz2YfIRgRGkCz/view?usp=sharing" TargetMode="External"/><Relationship Id="rId107" Type="http://schemas.openxmlformats.org/officeDocument/2006/relationships/hyperlink" Target="https://drive.google.com/file/d/1LEajj80tzhAX9EzgAR1V1VsOXsAb6ZeX/view?usp=sharing" TargetMode="External"/><Relationship Id="rId11" Type="http://schemas.openxmlformats.org/officeDocument/2006/relationships/hyperlink" Target="https://drive.google.com/file/d/1xUFy1HTh-UR6Q1lBchfUQD1nG5xWR0eD/view?usp=sharing" TargetMode="External"/><Relationship Id="rId32" Type="http://schemas.openxmlformats.org/officeDocument/2006/relationships/hyperlink" Target="https://drive.google.com/file/d/1bEFAa2hIW4ruqBB3bzaCuLf5P-VVmHgW/view?usp=sharing" TargetMode="External"/><Relationship Id="rId53" Type="http://schemas.openxmlformats.org/officeDocument/2006/relationships/hyperlink" Target="https://drive.google.com/file/d/1KkvJj-BTJST4n3jlvLDrIy-bUBZyLF4p/view?usp=sharing" TargetMode="External"/><Relationship Id="rId74" Type="http://schemas.openxmlformats.org/officeDocument/2006/relationships/hyperlink" Target="https://drive.google.com/file/d/1QldwgJB9qq-NOjKUTaQps9DB7VjF61Mm/view?usp=sharing" TargetMode="External"/><Relationship Id="rId128" Type="http://schemas.openxmlformats.org/officeDocument/2006/relationships/hyperlink" Target="https://drive.google.com/file/d/15465n6qbMu-D4PpdDYbwxRqhg0mkHmRd/view?usp=sharing" TargetMode="External"/><Relationship Id="rId149" Type="http://schemas.openxmlformats.org/officeDocument/2006/relationships/hyperlink" Target="https://drive.google.com/file/d/11KKg0Gxd6Ie-J5tW8bpfvzmlaiEPBuJg/view?usp=sharing" TargetMode="External"/><Relationship Id="rId5" Type="http://schemas.openxmlformats.org/officeDocument/2006/relationships/hyperlink" Target="https://drive.google.com/file/d/1cv8ai9A1ptoUNW5wq_XU1FlITalEF3GE/view?usp=sharing" TargetMode="External"/><Relationship Id="rId95" Type="http://schemas.openxmlformats.org/officeDocument/2006/relationships/hyperlink" Target="https://drive.google.com/file/d/1IwxMMiEBqpFVbLrM-zJcuSED3yVqJBzH/view?usp=sharing" TargetMode="External"/><Relationship Id="rId160" Type="http://schemas.openxmlformats.org/officeDocument/2006/relationships/hyperlink" Target="https://drive.google.com/file/d/1maVvPphG2tw9PpqiSWD2fU3ioiEM6ZLv/view?usp=sharing" TargetMode="External"/><Relationship Id="rId22" Type="http://schemas.openxmlformats.org/officeDocument/2006/relationships/hyperlink" Target="https://drive.google.com/file/d/1fBqrSiVMf9mp6lDRaC36Op6-jBY2vW5i/view?usp=sharing" TargetMode="External"/><Relationship Id="rId43" Type="http://schemas.openxmlformats.org/officeDocument/2006/relationships/hyperlink" Target="https://drive.google.com/file/d/1_jlv4Ff_1XO-YFYFGy2Lymuk8TKFfhpE/view?usp=sharing" TargetMode="External"/><Relationship Id="rId64" Type="http://schemas.openxmlformats.org/officeDocument/2006/relationships/hyperlink" Target="https://drive.google.com/file/d/1sSZJEQXLuH8EmP5H_S6a7KOsaQs2f4jj/view?usp=sharing" TargetMode="External"/><Relationship Id="rId118" Type="http://schemas.openxmlformats.org/officeDocument/2006/relationships/hyperlink" Target="https://drive.google.com/file/d/16ptBKIpJZhDw2mmE7SHDUDeXR11KlFIY/view?usp=sharing" TargetMode="External"/><Relationship Id="rId139" Type="http://schemas.openxmlformats.org/officeDocument/2006/relationships/hyperlink" Target="https://drive.google.com/file/d/1mGFHEwLMlvyZ7ytydHYB8TaXWgGTsOAm/view?usp=sharing" TargetMode="External"/><Relationship Id="rId85" Type="http://schemas.openxmlformats.org/officeDocument/2006/relationships/hyperlink" Target="https://drive.google.com/file/d/1IM__bQem-8Va5wrlPEB2Is9eSTF0QHtq/view?usp=sharing" TargetMode="External"/><Relationship Id="rId150" Type="http://schemas.openxmlformats.org/officeDocument/2006/relationships/hyperlink" Target="https://drive.google.com/file/d/1WqJV6dEZCoR8YoHVMgIYtpPx4XtHdeU7/view?usp=sharing" TargetMode="External"/><Relationship Id="rId12" Type="http://schemas.openxmlformats.org/officeDocument/2006/relationships/hyperlink" Target="https://drive.google.com/file/d/1mWGhuMZT2ag9iC2mpIuzn0y6hMKjJYIQ/view?usp=sharing" TargetMode="External"/><Relationship Id="rId33" Type="http://schemas.openxmlformats.org/officeDocument/2006/relationships/hyperlink" Target="https://drive.google.com/file/d/1MzpjleyOdk3hyG1KRGrmrct1FZ8hrayB/view?usp=sharing" TargetMode="External"/><Relationship Id="rId108" Type="http://schemas.openxmlformats.org/officeDocument/2006/relationships/hyperlink" Target="https://drive.google.com/file/d/16aME9wg6VZ_s9PDYKzAy2wfCj3Ic4YhG/view?usp=sharing" TargetMode="External"/><Relationship Id="rId129" Type="http://schemas.openxmlformats.org/officeDocument/2006/relationships/hyperlink" Target="https://drive.google.com/file/d/1d_Srh9g-z3FQf-uZtXccxyS4xCTNFaXh/view?usp=sharing" TargetMode="External"/><Relationship Id="rId54" Type="http://schemas.openxmlformats.org/officeDocument/2006/relationships/hyperlink" Target="https://drive.google.com/file/d/1K4qHqsIKpSbmHzpDKl2bairpbQmXh4G6/view?usp=sharing" TargetMode="External"/><Relationship Id="rId70" Type="http://schemas.openxmlformats.org/officeDocument/2006/relationships/hyperlink" Target="https://drive.google.com/file/d/12bZnYa_AQkK6oCMJDMMEe05jp-33haoz/view?usp=sharing" TargetMode="External"/><Relationship Id="rId75" Type="http://schemas.openxmlformats.org/officeDocument/2006/relationships/hyperlink" Target="https://drive.google.com/file/d/10skir8xFi_n-sSSVBTdSRPZL97mMNi2K/view?usp=sharing" TargetMode="External"/><Relationship Id="rId91" Type="http://schemas.openxmlformats.org/officeDocument/2006/relationships/hyperlink" Target="https://drive.google.com/file/d/1BrjHM-DtK7uumcDiEN8Qf3jKIEzuXBYp/view?usp=sharing" TargetMode="External"/><Relationship Id="rId96" Type="http://schemas.openxmlformats.org/officeDocument/2006/relationships/hyperlink" Target="https://drive.google.com/file/d/1v-dtpOY29rS-B1MNK7o2KcevWcAC9ZVx/view?usp=sharing" TargetMode="External"/><Relationship Id="rId140" Type="http://schemas.openxmlformats.org/officeDocument/2006/relationships/hyperlink" Target="https://drive.google.com/file/d/1OYZSn93sEDxGEX8oKXllfxhieOQdjT_H/view?usp=sharing" TargetMode="External"/><Relationship Id="rId145" Type="http://schemas.openxmlformats.org/officeDocument/2006/relationships/hyperlink" Target="https://drive.google.com/file/d/1_jYKyCOTX63cOvgHQvvEXrCtZd0zg6h2/view?usp=sharing" TargetMode="External"/><Relationship Id="rId161" Type="http://schemas.openxmlformats.org/officeDocument/2006/relationships/hyperlink" Target="https://drive.google.com/file/d/1zEW5J7lDA-i9aro20o9IeAkLudG69o7n/view?usp=sharing" TargetMode="External"/><Relationship Id="rId166" Type="http://schemas.openxmlformats.org/officeDocument/2006/relationships/printerSettings" Target="../printerSettings/printerSettings12.bin"/><Relationship Id="rId1" Type="http://schemas.openxmlformats.org/officeDocument/2006/relationships/hyperlink" Target="https://drive.google.com/file/d/11cKCiEueQeiOOQMMPMkB2jHFguCbbyA3/view?usp=sharing" TargetMode="External"/><Relationship Id="rId6" Type="http://schemas.openxmlformats.org/officeDocument/2006/relationships/hyperlink" Target="https://drive.google.com/file/d/1OCQILugMEP9qU5AcR1DcGfuAaqyWvr_J/view?usp=sharing" TargetMode="External"/><Relationship Id="rId23" Type="http://schemas.openxmlformats.org/officeDocument/2006/relationships/hyperlink" Target="https://drive.google.com/file/d/14vF2WasPwiT5cxboWJpBTXanGqdvU-Jf/view?usp=sharing" TargetMode="External"/><Relationship Id="rId28" Type="http://schemas.openxmlformats.org/officeDocument/2006/relationships/hyperlink" Target="https://drive.google.com/file/d/1TJaftMIIxSdQ4usGlcRoQFJ56cHlUQfq/view?usp=sharing" TargetMode="External"/><Relationship Id="rId49" Type="http://schemas.openxmlformats.org/officeDocument/2006/relationships/hyperlink" Target="https://drive.google.com/file/d/1It3PdoBvIWSWjZirqz6ES1ZJ_B1p_axa/view?usp=sharing" TargetMode="External"/><Relationship Id="rId114" Type="http://schemas.openxmlformats.org/officeDocument/2006/relationships/hyperlink" Target="https://drive.google.com/file/d/1hwP5iqYfHx-ZHO1mCF-4GTLzwvfBCtDg/view?usp=sharing" TargetMode="External"/><Relationship Id="rId119" Type="http://schemas.openxmlformats.org/officeDocument/2006/relationships/hyperlink" Target="https://drive.google.com/file/d/1MvJe6d9ma7BO-mFhcqVwIujxU4CX7eVb/view?usp=sharing" TargetMode="External"/><Relationship Id="rId44" Type="http://schemas.openxmlformats.org/officeDocument/2006/relationships/hyperlink" Target="https://drive.google.com/file/d/12nOvBzFXWvB4U1EbZmXhXB2WrrwmCBEQ/view?usp=sharing" TargetMode="External"/><Relationship Id="rId60" Type="http://schemas.openxmlformats.org/officeDocument/2006/relationships/hyperlink" Target="https://drive.google.com/file/d/1twN9dG2ujUvDow-t6_-Ca-hOt2EU8O9M/view?usp=sharing" TargetMode="External"/><Relationship Id="rId65" Type="http://schemas.openxmlformats.org/officeDocument/2006/relationships/hyperlink" Target="https://drive.google.com/file/d/1cewAc9RzZ0jTjgSmRMgTM-fclZcoXHjB/view?usp=sharing" TargetMode="External"/><Relationship Id="rId81" Type="http://schemas.openxmlformats.org/officeDocument/2006/relationships/hyperlink" Target="https://drive.google.com/file/d/1Ypo5e-6qCG4kVYeP-5hm1UUB6GYT4Yq_/view?usp=sharing" TargetMode="External"/><Relationship Id="rId86" Type="http://schemas.openxmlformats.org/officeDocument/2006/relationships/hyperlink" Target="https://drive.google.com/file/d/1khDa9_NwkovKvaCnTneYg-R4yiv9rXyJ/view?usp=sharing" TargetMode="External"/><Relationship Id="rId130" Type="http://schemas.openxmlformats.org/officeDocument/2006/relationships/hyperlink" Target="https://drive.google.com/file/d/14WbzgHEz_5QqcFF3T3ueL3s-jRe17v75/view?usp=sharing" TargetMode="External"/><Relationship Id="rId135" Type="http://schemas.openxmlformats.org/officeDocument/2006/relationships/hyperlink" Target="https://drive.google.com/file/d/1SVH9ipFxRGWM17x9L81QDK_YtEmtk3IG/view?usp=sharing" TargetMode="External"/><Relationship Id="rId151" Type="http://schemas.openxmlformats.org/officeDocument/2006/relationships/hyperlink" Target="https://drive.google.com/file/d/1WVo6Y5TvF0T0E0xeOr2bW1y9wlgDyEti/view?usp=sharing" TargetMode="External"/><Relationship Id="rId156" Type="http://schemas.openxmlformats.org/officeDocument/2006/relationships/hyperlink" Target="https://drive.google.com/file/d/1cRT7iU1jkjFE_6mGL-D-JePxYr2ZlEvm/view?usp=sharing" TargetMode="External"/><Relationship Id="rId13" Type="http://schemas.openxmlformats.org/officeDocument/2006/relationships/hyperlink" Target="https://drive.google.com/file/d/1_2IRri-CUVniRftwZ6JKpG-QorYL2gv7/view?usp=sharing" TargetMode="External"/><Relationship Id="rId18" Type="http://schemas.openxmlformats.org/officeDocument/2006/relationships/hyperlink" Target="https://drive.google.com/file/d/1CIIrsU0ChG-Vj12XRWxvL8WULHKMkhVe/view?usp=sharing" TargetMode="External"/><Relationship Id="rId39" Type="http://schemas.openxmlformats.org/officeDocument/2006/relationships/hyperlink" Target="https://drive.google.com/file/d/12elvN7V78PgUzEqcDUYfi5C0wZHjQ4Yv/view?usp=sharing" TargetMode="External"/><Relationship Id="rId109" Type="http://schemas.openxmlformats.org/officeDocument/2006/relationships/hyperlink" Target="https://drive.google.com/file/d/1nHh7c0snkdwRld6FeSzQ6eQoxK_YKvKu/view?usp=sharing" TargetMode="External"/><Relationship Id="rId34" Type="http://schemas.openxmlformats.org/officeDocument/2006/relationships/hyperlink" Target="https://drive.google.com/file/d/1j54kKIDrcPkbtDgI94WNjMV6ud5xIlTH/view?usp=sharing" TargetMode="External"/><Relationship Id="rId50" Type="http://schemas.openxmlformats.org/officeDocument/2006/relationships/hyperlink" Target="https://drive.google.com/file/d/1gzfAj6SzGQegH25E_0oUrRLaGgBvau3u/view?usp=sharing" TargetMode="External"/><Relationship Id="rId55" Type="http://schemas.openxmlformats.org/officeDocument/2006/relationships/hyperlink" Target="https://drive.google.com/file/d/1xEHHKvD42yoBKAvOxt5Jm4jFsyItf62X/view?usp=sharing" TargetMode="External"/><Relationship Id="rId76" Type="http://schemas.openxmlformats.org/officeDocument/2006/relationships/hyperlink" Target="https://drive.google.com/file/d/1jIh4i4IHwjW2L4xAzMXzpv7u1AD6rVCi/view?usp=sharing" TargetMode="External"/><Relationship Id="rId97" Type="http://schemas.openxmlformats.org/officeDocument/2006/relationships/hyperlink" Target="https://drive.google.com/file/d/1O5hjvWSNJrRoErshbkyeaq3B5QIAi_hI/view?usp=sharing" TargetMode="External"/><Relationship Id="rId104" Type="http://schemas.openxmlformats.org/officeDocument/2006/relationships/hyperlink" Target="https://drive.google.com/file/d/1U_2tklqfN0d5pjCR0YXOPw2qRm93XafS/view?usp=sharing" TargetMode="External"/><Relationship Id="rId120" Type="http://schemas.openxmlformats.org/officeDocument/2006/relationships/hyperlink" Target="https://drive.google.com/file/d/1l8kEUsjcfL1ei0_ynmsO_cfKdq-WChf6/view?usp=sharing" TargetMode="External"/><Relationship Id="rId125" Type="http://schemas.openxmlformats.org/officeDocument/2006/relationships/hyperlink" Target="https://drive.google.com/file/d/132QzWx1dbCCRHO8l80T4K35QbHsAm2i6/view?usp=sharing" TargetMode="External"/><Relationship Id="rId141" Type="http://schemas.openxmlformats.org/officeDocument/2006/relationships/hyperlink" Target="https://drive.google.com/file/d/1XdinMZjrd0KLnQKZIwHpd-uQSu4GWpV9/view?usp=sharing" TargetMode="External"/><Relationship Id="rId146" Type="http://schemas.openxmlformats.org/officeDocument/2006/relationships/hyperlink" Target="https://drive.google.com/file/d/1aBVwbeYPTAau931w5cfT3-ujbPUz9r3e/view?usp=sharing" TargetMode="External"/><Relationship Id="rId167" Type="http://schemas.openxmlformats.org/officeDocument/2006/relationships/drawing" Target="../drawings/drawing2.xml"/><Relationship Id="rId7" Type="http://schemas.openxmlformats.org/officeDocument/2006/relationships/hyperlink" Target="https://drive.google.com/file/d/1nhN8AX7g67IiAMn1BUeEuJST1l2aAzcg/view?usp=sharing" TargetMode="External"/><Relationship Id="rId71" Type="http://schemas.openxmlformats.org/officeDocument/2006/relationships/hyperlink" Target="https://drive.google.com/file/d/1bHhJUjL9UZf3kzPTAuHlh3zLUEkldhx3/view?usp=sharing" TargetMode="External"/><Relationship Id="rId92" Type="http://schemas.openxmlformats.org/officeDocument/2006/relationships/hyperlink" Target="https://drive.google.com/file/d/18fg2TgH1pyv3F8jrbkFp0Sjy1vX7JmKH/view?usp=sharing" TargetMode="External"/><Relationship Id="rId162" Type="http://schemas.openxmlformats.org/officeDocument/2006/relationships/hyperlink" Target="https://drive.google.com/file/d/1cQqUjEXf7qQ7NgO693z_vTbV4ssd3r48/view?usp=sharing" TargetMode="External"/><Relationship Id="rId2" Type="http://schemas.openxmlformats.org/officeDocument/2006/relationships/hyperlink" Target="https://drive.google.com/file/d/18gVtJ0yRIk9ILCJ55YuM6xe9V9-dbqJd/view?usp=sharing" TargetMode="External"/><Relationship Id="rId29" Type="http://schemas.openxmlformats.org/officeDocument/2006/relationships/hyperlink" Target="https://drive.google.com/file/d/1e6WsE5rODeRlXC1gUnBppDStADaeJmsO/view?usp=sharing" TargetMode="External"/><Relationship Id="rId24" Type="http://schemas.openxmlformats.org/officeDocument/2006/relationships/hyperlink" Target="https://drive.google.com/file/d/19szyqqaBcupucgVRA9EuzJBXSMviJpJn/view?usp=sharing" TargetMode="External"/><Relationship Id="rId40" Type="http://schemas.openxmlformats.org/officeDocument/2006/relationships/hyperlink" Target="https://drive.google.com/file/d/16fQvUWHGSDLybtcEY0hgaYJUDgVsZI16/view?usp=sharing" TargetMode="External"/><Relationship Id="rId45" Type="http://schemas.openxmlformats.org/officeDocument/2006/relationships/hyperlink" Target="https://drive.google.com/file/d/1UgGKKKTrWBtIvz7LT_ATZj9ypp4hEbt_/view?usp=sharing" TargetMode="External"/><Relationship Id="rId66" Type="http://schemas.openxmlformats.org/officeDocument/2006/relationships/hyperlink" Target="https://drive.google.com/file/d/1EUiwIs3LXMfMxmXxV6ynQIh83hMKmBSO/view?usp=sharing" TargetMode="External"/><Relationship Id="rId87" Type="http://schemas.openxmlformats.org/officeDocument/2006/relationships/hyperlink" Target="https://drive.google.com/file/d/1IERXv8D_ONhG-ZbSeNX-uvv7Ux2UN72k/view?usp=sharing" TargetMode="External"/><Relationship Id="rId110" Type="http://schemas.openxmlformats.org/officeDocument/2006/relationships/hyperlink" Target="https://drive.google.com/file/d/1-hK6-V-5n7l7alTn3QpW2Qvno0GUKEqh/view?usp=sharing" TargetMode="External"/><Relationship Id="rId115" Type="http://schemas.openxmlformats.org/officeDocument/2006/relationships/hyperlink" Target="https://drive.google.com/file/d/1DtuLrlZpnGIXigbXaB4iPCIYLjAqZ0w8/view?usp=sharing" TargetMode="External"/><Relationship Id="rId131" Type="http://schemas.openxmlformats.org/officeDocument/2006/relationships/hyperlink" Target="https://drive.google.com/file/d/1Ev8sowZ6WFiewnatBfyuMX81mcDzWo7N/view?usp=sharing" TargetMode="External"/><Relationship Id="rId136" Type="http://schemas.openxmlformats.org/officeDocument/2006/relationships/hyperlink" Target="https://drive.google.com/file/d/1Dsq73M4dhcHwW-gSvRuKOn09EY4ePuM4/view?usp=sharing" TargetMode="External"/><Relationship Id="rId157" Type="http://schemas.openxmlformats.org/officeDocument/2006/relationships/hyperlink" Target="https://drive.google.com/file/d/1ANmq-ZKa3P3PyP2wOIpOLOUJPqGWXohw/view?usp=sharing" TargetMode="External"/><Relationship Id="rId61" Type="http://schemas.openxmlformats.org/officeDocument/2006/relationships/hyperlink" Target="https://drive.google.com/file/d/1pQE3_rEhDFiI1KlcUluIPdaez_EGJJAh/view?usp=sharing" TargetMode="External"/><Relationship Id="rId82" Type="http://schemas.openxmlformats.org/officeDocument/2006/relationships/hyperlink" Target="https://drive.google.com/file/d/1BuL8QGxb7NTkbOjbphyRByy1sgaWVVTk/view?usp=sharing" TargetMode="External"/><Relationship Id="rId152" Type="http://schemas.openxmlformats.org/officeDocument/2006/relationships/hyperlink" Target="https://drive.google.com/file/d/1_QCzxxmTS08DqRkRWLPcoWND3bHQQr5p/view?usp=sharing" TargetMode="External"/><Relationship Id="rId19" Type="http://schemas.openxmlformats.org/officeDocument/2006/relationships/hyperlink" Target="https://drive.google.com/file/d/12DSJ_zbIPgIEsyZw1TDV3Jxy0MPluTP-/view?usp=sharing" TargetMode="External"/><Relationship Id="rId14" Type="http://schemas.openxmlformats.org/officeDocument/2006/relationships/hyperlink" Target="https://drive.google.com/file/d/1qRo4eMxJTyvb196RscmT-gUZl6lKShr8/view?usp=sharing" TargetMode="External"/><Relationship Id="rId30" Type="http://schemas.openxmlformats.org/officeDocument/2006/relationships/hyperlink" Target="https://drive.google.com/file/d/1cRV_4im91-7-OQdt6GoJgdN_TY_VMnXp/view?usp=sharing" TargetMode="External"/><Relationship Id="rId35" Type="http://schemas.openxmlformats.org/officeDocument/2006/relationships/hyperlink" Target="https://drive.google.com/file/d/1o0cBiRZHuxB4auE6oVYfwp0efavfpyMs/view?usp=sharing" TargetMode="External"/><Relationship Id="rId56" Type="http://schemas.openxmlformats.org/officeDocument/2006/relationships/hyperlink" Target="https://drive.google.com/file/d/1G5VcR448M4Ensmnf1CfimbazKPQMEJs7/view?usp=sharing" TargetMode="External"/><Relationship Id="rId77" Type="http://schemas.openxmlformats.org/officeDocument/2006/relationships/hyperlink" Target="https://drive.google.com/file/d/14bzcKfMh2yagZ2dbQV6tv3w5Echp7FvZ/view?usp=sharing" TargetMode="External"/><Relationship Id="rId100" Type="http://schemas.openxmlformats.org/officeDocument/2006/relationships/hyperlink" Target="https://drive.google.com/file/d/1RLOJnKo6JmYsZ_wI86SjTkhFJO5FebYg/view?usp=sharing" TargetMode="External"/><Relationship Id="rId105" Type="http://schemas.openxmlformats.org/officeDocument/2006/relationships/hyperlink" Target="https://drive.google.com/file/d/1BMGH45pMz0omC6lnJecJfu7qdt4QvTq-/view?usp=sharing" TargetMode="External"/><Relationship Id="rId126" Type="http://schemas.openxmlformats.org/officeDocument/2006/relationships/hyperlink" Target="https://drive.google.com/file/d/1KgjPzLKcrkqby5ZGvY344PvohdZepk9j/view?usp=sharing" TargetMode="External"/><Relationship Id="rId147" Type="http://schemas.openxmlformats.org/officeDocument/2006/relationships/hyperlink" Target="https://drive.google.com/file/d/1lcyami62vbXRuhMjzzCaVzjXX4C1PXu8/view?usp=sharing" TargetMode="External"/><Relationship Id="rId168" Type="http://schemas.openxmlformats.org/officeDocument/2006/relationships/vmlDrawing" Target="../drawings/vmlDrawing5.vml"/><Relationship Id="rId8" Type="http://schemas.openxmlformats.org/officeDocument/2006/relationships/hyperlink" Target="https://drive.google.com/file/d/1UjFGr_-dZCwngVjXvm3o1cxMeEFryBXl/view?usp=sharing" TargetMode="External"/><Relationship Id="rId51" Type="http://schemas.openxmlformats.org/officeDocument/2006/relationships/hyperlink" Target="https://drive.google.com/file/d/1i4B_6EcBhCWy_92AM0uPVdYmvjLmx-Pc/view?usp=sharing" TargetMode="External"/><Relationship Id="rId72" Type="http://schemas.openxmlformats.org/officeDocument/2006/relationships/hyperlink" Target="https://drive.google.com/file/d/1XcFPjyQ3HYLdnAdYhIRQpAI7wwWJEDxz/view?usp=sharing" TargetMode="External"/><Relationship Id="rId93" Type="http://schemas.openxmlformats.org/officeDocument/2006/relationships/hyperlink" Target="https://drive.google.com/file/d/1CeF1Rmdq5PKsKLo1Cs1hUznxUnhZthPr/view?usp=sharing" TargetMode="External"/><Relationship Id="rId98" Type="http://schemas.openxmlformats.org/officeDocument/2006/relationships/hyperlink" Target="https://drive.google.com/file/d/1Yqfxj5ZzoGnewIS13xUSBJCcAYUO46Zz/view?usp=sharing" TargetMode="External"/><Relationship Id="rId121" Type="http://schemas.openxmlformats.org/officeDocument/2006/relationships/hyperlink" Target="https://drive.google.com/file/d/1Sz_RtPKsUqqDvj5KqMuzEuUEfKTUqfIi/view?usp=sharing" TargetMode="External"/><Relationship Id="rId142" Type="http://schemas.openxmlformats.org/officeDocument/2006/relationships/hyperlink" Target="https://drive.google.com/file/d/13_YsTyCUaK9_aVX00L-bZX_bXxdYtBw9/view?usp=sharing" TargetMode="External"/><Relationship Id="rId163" Type="http://schemas.openxmlformats.org/officeDocument/2006/relationships/hyperlink" Target="https://drive.google.com/file/d/1aO-Mz6UTQG4HV-G2s1cr9kFidYHyEUQC/view?usp=sharing" TargetMode="External"/><Relationship Id="rId3" Type="http://schemas.openxmlformats.org/officeDocument/2006/relationships/hyperlink" Target="https://drive.google.com/file/d/1xfR2h_2Ab3C4YAWhWhTtAe7h7jiBCHfH/view?usp=sharing" TargetMode="External"/><Relationship Id="rId25" Type="http://schemas.openxmlformats.org/officeDocument/2006/relationships/hyperlink" Target="https://drive.google.com/file/d/10_ScpUgTzk2QLOszGBTEWBl_mCuxljBI/view?usp=sharing" TargetMode="External"/><Relationship Id="rId46" Type="http://schemas.openxmlformats.org/officeDocument/2006/relationships/hyperlink" Target="https://drive.google.com/file/d/1OGYHqIqGXkaXGy99wQ0sCTFbR_GPcoyY/view?usp=sharing" TargetMode="External"/><Relationship Id="rId67" Type="http://schemas.openxmlformats.org/officeDocument/2006/relationships/hyperlink" Target="https://drive.google.com/file/d/1KNckCk_tSUd9gwnYux8LlqP2M8ILxQIG/view?usp=sharing" TargetMode="External"/><Relationship Id="rId116" Type="http://schemas.openxmlformats.org/officeDocument/2006/relationships/hyperlink" Target="https://drive.google.com/file/d/10_G221ER1qDNSFpBkAJbmbVBuPrhzbWN/view?usp=sharing" TargetMode="External"/><Relationship Id="rId137" Type="http://schemas.openxmlformats.org/officeDocument/2006/relationships/hyperlink" Target="https://drive.google.com/file/d/1C6_tnEUhpKpta34E7JgOMking2uA_T86/view?usp=sharing" TargetMode="External"/><Relationship Id="rId158" Type="http://schemas.openxmlformats.org/officeDocument/2006/relationships/hyperlink" Target="https://drive.google.com/file/d/1fm8k7AE90uv6aJ6X3Nh_4XCMfkiqeJuB/view?usp=sharing" TargetMode="External"/><Relationship Id="rId20" Type="http://schemas.openxmlformats.org/officeDocument/2006/relationships/hyperlink" Target="https://drive.google.com/file/d/112tGMwg2aAG0gIw1-NKrj0TM6kx9ajUH/view?usp=sharing" TargetMode="External"/><Relationship Id="rId41" Type="http://schemas.openxmlformats.org/officeDocument/2006/relationships/hyperlink" Target="https://drive.google.com/file/d/1L9-yQMq-BMLNIYl50K3Gj0hEtV2kM12h/view?usp=sharing" TargetMode="External"/><Relationship Id="rId62" Type="http://schemas.openxmlformats.org/officeDocument/2006/relationships/hyperlink" Target="https://drive.google.com/file/d/1eBykUwaj3_j--6ueHtJHClBDkrClJeEi/view?usp=sharing" TargetMode="External"/><Relationship Id="rId83" Type="http://schemas.openxmlformats.org/officeDocument/2006/relationships/hyperlink" Target="https://drive.google.com/file/d/1rGwzhCN2zr7TONrMAj7LW3ZkLU4Tf3kf/view?usp=sharing" TargetMode="External"/><Relationship Id="rId88" Type="http://schemas.openxmlformats.org/officeDocument/2006/relationships/hyperlink" Target="https://drive.google.com/file/d/1gw_nuYP5oRMy-McADc7sVJEog_jUZ60J/view?usp=sharing" TargetMode="External"/><Relationship Id="rId111" Type="http://schemas.openxmlformats.org/officeDocument/2006/relationships/hyperlink" Target="https://drive.google.com/file/d/1jyPsnkyhZyS-fBFG7VyxWDHeOKXNKnvS/view?usp=sharing" TargetMode="External"/><Relationship Id="rId132" Type="http://schemas.openxmlformats.org/officeDocument/2006/relationships/hyperlink" Target="https://drive.google.com/file/d/1rudCA00XcrS5OxXwCXqXECS0kKkgE5qU/view?usp=sharing" TargetMode="External"/><Relationship Id="rId153" Type="http://schemas.openxmlformats.org/officeDocument/2006/relationships/hyperlink" Target="https://drive.google.com/file/d/14nhWKnNcBiOFKmAh6sWJdRXzMccdqpRn/view?usp=sharing" TargetMode="External"/><Relationship Id="rId15" Type="http://schemas.openxmlformats.org/officeDocument/2006/relationships/hyperlink" Target="https://drive.google.com/file/d/1hopQdw-x9IWRdZBe2Vnu14Ajp2sl8gl1/view?usp=sharing" TargetMode="External"/><Relationship Id="rId36" Type="http://schemas.openxmlformats.org/officeDocument/2006/relationships/hyperlink" Target="https://drive.google.com/file/d/1rce-SMCuzUKk__Qc3yo0RWwBrUPK2ae6/view?usp=sharing" TargetMode="External"/><Relationship Id="rId57" Type="http://schemas.openxmlformats.org/officeDocument/2006/relationships/hyperlink" Target="https://drive.google.com/file/d/1jEdsiYwjgKJ0wXO_cBmJIuwPpj6z6dK_/view?usp=sharing" TargetMode="External"/><Relationship Id="rId106" Type="http://schemas.openxmlformats.org/officeDocument/2006/relationships/hyperlink" Target="https://drive.google.com/file/d/1F3IKztGLKvgULXf6sBIZ5sdi1RF-dPVP/view?usp=sharing" TargetMode="External"/><Relationship Id="rId127" Type="http://schemas.openxmlformats.org/officeDocument/2006/relationships/hyperlink" Target="https://drive.google.com/file/d/10DO_Mok6VbB0_rwZo0fDGj7cLnfqxaNI/view?usp=sharing" TargetMode="External"/><Relationship Id="rId10" Type="http://schemas.openxmlformats.org/officeDocument/2006/relationships/hyperlink" Target="https://drive.google.com/file/d/1oGEmgN2090mJ859REkGV2J6XFjwmf6Vs/view?usp=sharing" TargetMode="External"/><Relationship Id="rId31" Type="http://schemas.openxmlformats.org/officeDocument/2006/relationships/hyperlink" Target="https://drive.google.com/file/d/1aLWpIo3zj8ijhw8m-48kcSDYcNHZLMVC/view?usp=sharing" TargetMode="External"/><Relationship Id="rId52" Type="http://schemas.openxmlformats.org/officeDocument/2006/relationships/hyperlink" Target="https://drive.google.com/file/d/1Yv3L74Qz6Cwe8e-IoDbdnEB7LDvo1dLj/view?usp=sharing" TargetMode="External"/><Relationship Id="rId73" Type="http://schemas.openxmlformats.org/officeDocument/2006/relationships/hyperlink" Target="https://drive.google.com/file/d/1Gzw6mbohO79g6GYiIchGm_OqrRc94Cu7/view?usp=sharing" TargetMode="External"/><Relationship Id="rId78" Type="http://schemas.openxmlformats.org/officeDocument/2006/relationships/hyperlink" Target="https://drive.google.com/file/d/1e6WsE5rODeRlXC1gUnBppDStADaeJmsO/view?usp=sharing" TargetMode="External"/><Relationship Id="rId94" Type="http://schemas.openxmlformats.org/officeDocument/2006/relationships/hyperlink" Target="https://drive.google.com/file/d/1OGYt7VIGny-48mp-4WhUvkragqvcwDSy/view?usp=sharing" TargetMode="External"/><Relationship Id="rId99" Type="http://schemas.openxmlformats.org/officeDocument/2006/relationships/hyperlink" Target="https://drive.google.com/file/d/1IUnquuNFVpPZBPm09i1Em7d45z82LfKK/view?usp=sharing" TargetMode="External"/><Relationship Id="rId101" Type="http://schemas.openxmlformats.org/officeDocument/2006/relationships/hyperlink" Target="https://drive.google.com/file/d/1_9DLZSSY1gPjHf75XjPLaCnxi4QoNouf/view?usp=sharing" TargetMode="External"/><Relationship Id="rId122" Type="http://schemas.openxmlformats.org/officeDocument/2006/relationships/hyperlink" Target="https://drive.google.com/file/d/1VBt2FwxA1zjLgzpE0fyHDKPm6sYKXVdH/view?usp=sharing" TargetMode="External"/><Relationship Id="rId143" Type="http://schemas.openxmlformats.org/officeDocument/2006/relationships/hyperlink" Target="https://drive.google.com/file/d/1XlzSesaW1254AC4J8FZZBKasZ5CXOH9E/view?usp=sharing" TargetMode="External"/><Relationship Id="rId148" Type="http://schemas.openxmlformats.org/officeDocument/2006/relationships/hyperlink" Target="https://drive.google.com/file/d/1zXySxmINIddEx7It9XlyhlNcfwUCNNYZ/view?usp=sharing" TargetMode="External"/><Relationship Id="rId164" Type="http://schemas.openxmlformats.org/officeDocument/2006/relationships/hyperlink" Target="https://drive.google.com/file/d/1g_JE6c299_Uh1v0jZiVohsKbX0rQkskF/view?usp=sharing" TargetMode="External"/><Relationship Id="rId169" Type="http://schemas.openxmlformats.org/officeDocument/2006/relationships/comments" Target="../comments5.xml"/><Relationship Id="rId4" Type="http://schemas.openxmlformats.org/officeDocument/2006/relationships/hyperlink" Target="https://drive.google.com/file/d/1TokoRE8pkFNsRaThXsrRo-DSzxzp31GW/view?usp=sharing" TargetMode="External"/><Relationship Id="rId9" Type="http://schemas.openxmlformats.org/officeDocument/2006/relationships/hyperlink" Target="https://drive.google.com/file/d/1PIpfai96OFB7clWZ8CM5f_4s1o6UTqOs/view?usp=sharing" TargetMode="External"/><Relationship Id="rId26" Type="http://schemas.openxmlformats.org/officeDocument/2006/relationships/hyperlink" Target="https://drive.google.com/file/d/13ij0kKR6ugQPAYnEuTNaBdkA0PprwUoT/view?usp=sharing" TargetMode="External"/><Relationship Id="rId47" Type="http://schemas.openxmlformats.org/officeDocument/2006/relationships/hyperlink" Target="https://drive.google.com/file/d/1EypASbLFJji-mmBOUnWzPVqJk2iYKpBm/view?usp=sharing" TargetMode="External"/><Relationship Id="rId68" Type="http://schemas.openxmlformats.org/officeDocument/2006/relationships/hyperlink" Target="https://drive.google.com/file/d/1Om1XOcMU2eLQ0rz1cWyKzl8Ujx7odajm/view?usp=sharing" TargetMode="External"/><Relationship Id="rId89" Type="http://schemas.openxmlformats.org/officeDocument/2006/relationships/hyperlink" Target="https://drive.google.com/file/d/1J_RxsMiMwdyJRuypPZyVwRM0wnbxLCIP/view?usp=sharing" TargetMode="External"/><Relationship Id="rId112" Type="http://schemas.openxmlformats.org/officeDocument/2006/relationships/hyperlink" Target="https://drive.google.com/file/d/1dsKskePHhIqnpfK_gc6Ch7gcfTo4__pG/view?usp=sharing" TargetMode="External"/><Relationship Id="rId133" Type="http://schemas.openxmlformats.org/officeDocument/2006/relationships/hyperlink" Target="https://drive.google.com/file/d/16rKHcLXHSTZBARQz_MUNeEYAQoTrvXtk/view?usp=sharing" TargetMode="External"/><Relationship Id="rId154" Type="http://schemas.openxmlformats.org/officeDocument/2006/relationships/hyperlink" Target="https://drive.google.com/file/d/19MfuEojlhNIF-7DKrEA20flAqWvtB8d9/view?usp=sharing" TargetMode="External"/><Relationship Id="rId16" Type="http://schemas.openxmlformats.org/officeDocument/2006/relationships/hyperlink" Target="https://drive.google.com/file/d/10VxgzYDTgRO12qaIOi2V0d5dEID8ADdW/view?usp=sharing" TargetMode="External"/><Relationship Id="rId37" Type="http://schemas.openxmlformats.org/officeDocument/2006/relationships/hyperlink" Target="https://drive.google.com/file/d/10e8ktMpu-bHLCKNa8nxmIkR4Dhdr7f-0/view?usp=sharing" TargetMode="External"/><Relationship Id="rId58" Type="http://schemas.openxmlformats.org/officeDocument/2006/relationships/hyperlink" Target="https://drive.google.com/file/d/1kYxwj7EkneLUEXxM5I-QVIj8cYdbX1F3/view?usp=sharing" TargetMode="External"/><Relationship Id="rId79" Type="http://schemas.openxmlformats.org/officeDocument/2006/relationships/hyperlink" Target="https://drive.google.com/file/d/1-a0WtOBcp5XbgRlrOiFDwcdNP4P9_l-D/view?usp=sharing" TargetMode="External"/><Relationship Id="rId102" Type="http://schemas.openxmlformats.org/officeDocument/2006/relationships/hyperlink" Target="https://drive.google.com/file/d/1BlA-qYM5f7rn-LDBb8r6NP4B4F8XcARA/view?usp=sharing" TargetMode="External"/><Relationship Id="rId123" Type="http://schemas.openxmlformats.org/officeDocument/2006/relationships/hyperlink" Target="https://drive.google.com/file/d/1DBXXunBQ0CLzeTtumh9-qXPkW8ZzBXXc/view?usp=sharing" TargetMode="External"/><Relationship Id="rId144" Type="http://schemas.openxmlformats.org/officeDocument/2006/relationships/hyperlink" Target="https://drive.google.com/file/d/1r6NQbP2qp4CUUF_CFMW1wGJQgnNDwAMJ/view?usp=sharing" TargetMode="External"/><Relationship Id="rId90" Type="http://schemas.openxmlformats.org/officeDocument/2006/relationships/hyperlink" Target="https://drive.google.com/file/d/1tLJ0FhMFBzp49bFP1ruyJJ4lH5AGfHuc/view?usp=sharing" TargetMode="External"/><Relationship Id="rId165" Type="http://schemas.openxmlformats.org/officeDocument/2006/relationships/hyperlink" Target="https://drive.google.com/file/d/1mtHA4LUblYU6TwqNcqDLhsV3bdj602L_/view?usp=sharing" TargetMode="External"/><Relationship Id="rId27" Type="http://schemas.openxmlformats.org/officeDocument/2006/relationships/hyperlink" Target="https://drive.google.com/file/d/15lwjDTfNtAQFUGY1mBQMa075CRQTO1X1/view?usp=sharing" TargetMode="External"/><Relationship Id="rId48" Type="http://schemas.openxmlformats.org/officeDocument/2006/relationships/hyperlink" Target="https://drive.google.com/file/d/1QNa8lo9XxZhxDuWK6tWTn1eb0U4uuXhS/view?usp=sharing" TargetMode="External"/><Relationship Id="rId69" Type="http://schemas.openxmlformats.org/officeDocument/2006/relationships/hyperlink" Target="https://drive.google.com/file/d/13kBeglyb7zyKwtXf1VQ1s-RsAiuZNenN/view?usp=sharing" TargetMode="External"/><Relationship Id="rId113" Type="http://schemas.openxmlformats.org/officeDocument/2006/relationships/hyperlink" Target="https://drive.google.com/file/d/1PDhr7uzf7E_PoKwRRewHYyMcdLshT14H/view?usp=sharing" TargetMode="External"/><Relationship Id="rId134" Type="http://schemas.openxmlformats.org/officeDocument/2006/relationships/hyperlink" Target="https://drive.google.com/file/d/1ie1c30hLijbIhAxj-lwbnDXdV5kh_DcU/view?usp=sharing" TargetMode="External"/><Relationship Id="rId80" Type="http://schemas.openxmlformats.org/officeDocument/2006/relationships/hyperlink" Target="https://drive.google.com/file/d/1PYltTcevYmA0UL1gJuCuVb9342fJC_hx/view?usp=sharing" TargetMode="External"/><Relationship Id="rId155" Type="http://schemas.openxmlformats.org/officeDocument/2006/relationships/hyperlink" Target="https://drive.google.com/file/d/1fyGcCsYYVL_HYdUJdOwnwrDZVhMOSQmO/view?usp=sharing" TargetMode="External"/><Relationship Id="rId17" Type="http://schemas.openxmlformats.org/officeDocument/2006/relationships/hyperlink" Target="https://drive.google.com/file/d/1HTWHiJD1WY9SBFA6BXbLA5ck9EBjc2Y5/view?usp=sharing" TargetMode="External"/><Relationship Id="rId38" Type="http://schemas.openxmlformats.org/officeDocument/2006/relationships/hyperlink" Target="https://drive.google.com/file/d/1tCCO58NK2zGIY2Nh8cVqhHTYPRq3Qo9B/view?usp=sharing" TargetMode="External"/><Relationship Id="rId59" Type="http://schemas.openxmlformats.org/officeDocument/2006/relationships/hyperlink" Target="https://drive.google.com/file/d/1XY-x2ZghZv-tVDSU-3zlJBuNZdMQWgpc/view?usp=sharing" TargetMode="External"/><Relationship Id="rId103" Type="http://schemas.openxmlformats.org/officeDocument/2006/relationships/hyperlink" Target="https://drive.google.com/file/d/17LTrgffebI2XX8lUJjLedWFuleaA0V2j/view?usp=sharing" TargetMode="External"/><Relationship Id="rId124" Type="http://schemas.openxmlformats.org/officeDocument/2006/relationships/hyperlink" Target="https://drive.google.com/file/d/1AUb7Z95W0nYp9hWqvE1OHUGzb8UgBmCX/view?usp=sharing"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cholar.google.com/citations?hl=id&amp;user=CpgB2DQAAAAJ" TargetMode="External"/><Relationship Id="rId13" Type="http://schemas.openxmlformats.org/officeDocument/2006/relationships/hyperlink" Target="https://scholar.google.com/citations?hl=id&amp;user=XemmpuwAAAAJ" TargetMode="External"/><Relationship Id="rId18" Type="http://schemas.openxmlformats.org/officeDocument/2006/relationships/hyperlink" Target="https://scholar.google.com/citations?hl=id&amp;user=-olQ9bkAAAAJ" TargetMode="External"/><Relationship Id="rId3" Type="http://schemas.openxmlformats.org/officeDocument/2006/relationships/hyperlink" Target="https://scholar.google.com/citations?hl=id&amp;user=obtWRv0AAAAJ" TargetMode="External"/><Relationship Id="rId7" Type="http://schemas.openxmlformats.org/officeDocument/2006/relationships/hyperlink" Target="https://scholar.google.com/citations?hl=id&amp;user=nzYQtlIAAAAJ" TargetMode="External"/><Relationship Id="rId12" Type="http://schemas.openxmlformats.org/officeDocument/2006/relationships/hyperlink" Target="https://scholar.google.com/citations?hl=id&amp;user=j4Kn1QUAAAAJ" TargetMode="External"/><Relationship Id="rId17" Type="http://schemas.openxmlformats.org/officeDocument/2006/relationships/hyperlink" Target="https://scholar.google.com/citations?hl=id&amp;user=7kgxXGYAAAAJ" TargetMode="External"/><Relationship Id="rId2" Type="http://schemas.openxmlformats.org/officeDocument/2006/relationships/hyperlink" Target="https://scholar.google.com/citations?hl=id&amp;user=AgVuxOYAAAAJ" TargetMode="External"/><Relationship Id="rId16" Type="http://schemas.openxmlformats.org/officeDocument/2006/relationships/hyperlink" Target="https://scholar.google.com/citations?hl=id&amp;user=NtQzjeoAAAAJ" TargetMode="External"/><Relationship Id="rId1" Type="http://schemas.openxmlformats.org/officeDocument/2006/relationships/hyperlink" Target="https://scholar.google.com/citations?hl=id&amp;user=f-3UPYEAAAAJ&amp;view_op=list_works&amp;sortby=pubdate" TargetMode="External"/><Relationship Id="rId6" Type="http://schemas.openxmlformats.org/officeDocument/2006/relationships/hyperlink" Target="https://scholar.google.com/citations?hl=id&amp;user=Rr2LwCEAAAAJ" TargetMode="External"/><Relationship Id="rId11" Type="http://schemas.openxmlformats.org/officeDocument/2006/relationships/hyperlink" Target="https://scholar.google.com/citations?hl=id&amp;user=-kyp-IIAAAAJ" TargetMode="External"/><Relationship Id="rId5" Type="http://schemas.openxmlformats.org/officeDocument/2006/relationships/hyperlink" Target="https://scholar.google.com/citations?hl=id&amp;user=X0QBA3sAAAAJ" TargetMode="External"/><Relationship Id="rId15" Type="http://schemas.openxmlformats.org/officeDocument/2006/relationships/hyperlink" Target="https://scholar.google.com/citations?hl=id&amp;user=pc1a2wsAAAAJ" TargetMode="External"/><Relationship Id="rId10" Type="http://schemas.openxmlformats.org/officeDocument/2006/relationships/hyperlink" Target="https://scholar.google.com/citations?hl=id&amp;user=c69L1lkAAAAJ" TargetMode="External"/><Relationship Id="rId19" Type="http://schemas.openxmlformats.org/officeDocument/2006/relationships/hyperlink" Target="https://scholar.google.com/citations?hl=id&amp;user=nF-xQlUAAAAJ&amp;view_op=list_works&amp;sortby=pubdate" TargetMode="External"/><Relationship Id="rId4" Type="http://schemas.openxmlformats.org/officeDocument/2006/relationships/hyperlink" Target="https://scholar.google.com/citations?hl=id&amp;user=SDfmLzEAAAAJ" TargetMode="External"/><Relationship Id="rId9" Type="http://schemas.openxmlformats.org/officeDocument/2006/relationships/hyperlink" Target="https://scholar.google.com/citations?hl=id&amp;user=xz6tPdAAAAAJ" TargetMode="External"/><Relationship Id="rId14" Type="http://schemas.openxmlformats.org/officeDocument/2006/relationships/hyperlink" Target="https://scholar.google.com/citations?hl=id&amp;user=WcHC8KgAAAAJ" TargetMode="External"/></Relationships>
</file>

<file path=xl/worksheets/_rels/sheet26.xml.rels><?xml version="1.0" encoding="UTF-8" standalone="yes"?>
<Relationships xmlns="http://schemas.openxmlformats.org/package/2006/relationships"><Relationship Id="rId26" Type="http://schemas.openxmlformats.org/officeDocument/2006/relationships/hyperlink" Target="https://drive.google.com/file/d/1Ac6dCz6qC_h6QUY-VOpLnesXkDdN6RY7/view?usp=sharing" TargetMode="External"/><Relationship Id="rId21" Type="http://schemas.openxmlformats.org/officeDocument/2006/relationships/hyperlink" Target="https://drive.google.com/file/d/1f5PBpZ2S-k_GBjiv06zk-SVtB5LFNLP3/view?usp=sharing" TargetMode="External"/><Relationship Id="rId42" Type="http://schemas.openxmlformats.org/officeDocument/2006/relationships/hyperlink" Target="https://drive.google.com/file/d/1xxB7EDhN5f8lQIb_9N18g7cPhzNIqCcS/view?usp=sharing" TargetMode="External"/><Relationship Id="rId47" Type="http://schemas.openxmlformats.org/officeDocument/2006/relationships/hyperlink" Target="https://drive.google.com/file/d/16Q59ZhnKTWVmagsciBvYgJVIyoJ1tIPP/view?usp=sharing" TargetMode="External"/><Relationship Id="rId63" Type="http://schemas.openxmlformats.org/officeDocument/2006/relationships/hyperlink" Target="https://drive.google.com/file/d/1cVfbk8Z7Zozypw2vujWdnLgHMOgkYLe_/view?usp=sharing" TargetMode="External"/><Relationship Id="rId68" Type="http://schemas.openxmlformats.org/officeDocument/2006/relationships/hyperlink" Target="https://drive.google.com/file/d/1fK9ROspXlJxsm2wYvogahQdhLmHNsWlL/view?usp=sharing" TargetMode="External"/><Relationship Id="rId16" Type="http://schemas.openxmlformats.org/officeDocument/2006/relationships/hyperlink" Target="https://drive.google.com/file/d/1byaGTGlxLkN1qX2BIw1wD_pUVpsKAp9p/view?usp=sharing" TargetMode="External"/><Relationship Id="rId11" Type="http://schemas.openxmlformats.org/officeDocument/2006/relationships/hyperlink" Target="https://drive.google.com/file/d/120e2QvfhVoM0mfQ6LCreHyTmrCDkdxfL/view?usp=sharing" TargetMode="External"/><Relationship Id="rId32" Type="http://schemas.openxmlformats.org/officeDocument/2006/relationships/hyperlink" Target="https://drive.google.com/file/d/1W1qhnVbVnZjcubbiLkTaW35sHYCCR1wI/view?usp=sharing" TargetMode="External"/><Relationship Id="rId37" Type="http://schemas.openxmlformats.org/officeDocument/2006/relationships/hyperlink" Target="https://drive.google.com/file/d/1XfyfNTD5bkFpwXDQnAi0EmMd-2XQaeYq/view?usp=sharing" TargetMode="External"/><Relationship Id="rId53" Type="http://schemas.openxmlformats.org/officeDocument/2006/relationships/hyperlink" Target="https://drive.google.com/file/d/1i7SD49croO4BZNCXUuxxypAV-IRSv9Kw/view?usp=sharing" TargetMode="External"/><Relationship Id="rId58" Type="http://schemas.openxmlformats.org/officeDocument/2006/relationships/hyperlink" Target="https://drive.google.com/file/d/1_9YXzTBPUFPdryLpuz_CjwycThCdTczT/view?usp=sharing" TargetMode="External"/><Relationship Id="rId74" Type="http://schemas.openxmlformats.org/officeDocument/2006/relationships/hyperlink" Target="https://drive.google.com/file/d/171QxaKjppvavQzfbuRMyAa-JAxheZY3_/view?usp=sharing" TargetMode="External"/><Relationship Id="rId79" Type="http://schemas.openxmlformats.org/officeDocument/2006/relationships/hyperlink" Target="https://drive.google.com/file/d/1BZTRJ3MBitYb8n_SkF5fhQX1_h66X4Lz/view?usp=sharing" TargetMode="External"/><Relationship Id="rId5" Type="http://schemas.openxmlformats.org/officeDocument/2006/relationships/hyperlink" Target="https://drive.google.com/file/d/1Ke-KaxJCUJrg45ukxqjELzu67ODpCBFR/view?usp=sharing" TargetMode="External"/><Relationship Id="rId61" Type="http://schemas.openxmlformats.org/officeDocument/2006/relationships/hyperlink" Target="https://drive.google.com/file/d/1DvWsHDuVRsLqk7aihb6p9Q7EYmG9TqOJ/view?usp=sharing" TargetMode="External"/><Relationship Id="rId82" Type="http://schemas.openxmlformats.org/officeDocument/2006/relationships/hyperlink" Target="https://drive.google.com/file/d/1nZXWaX7OUCNog_JIua6LhcR8LL_Fgomz/view?usp=sharing" TargetMode="External"/><Relationship Id="rId19" Type="http://schemas.openxmlformats.org/officeDocument/2006/relationships/hyperlink" Target="https://drive.google.com/file/d/1MqEuK6i57dnACTFZgXdsZZOFmYkev_qk/view?usp=sharing" TargetMode="External"/><Relationship Id="rId14" Type="http://schemas.openxmlformats.org/officeDocument/2006/relationships/hyperlink" Target="https://drive.google.com/file/d/1IurFIpKWQwwIJaHcaml65sD5aByCjehx/view?usp=sharing" TargetMode="External"/><Relationship Id="rId22" Type="http://schemas.openxmlformats.org/officeDocument/2006/relationships/hyperlink" Target="https://drive.google.com/file/d/1795Ayn-ORavQqRs8tuFK675kbzlcpLpC/view?usp=sharing" TargetMode="External"/><Relationship Id="rId27" Type="http://schemas.openxmlformats.org/officeDocument/2006/relationships/hyperlink" Target="https://drive.google.com/file/d/101i_ySSepxIB98WTPrfLhnjMCKjPg6Mc/view?usp=sharing" TargetMode="External"/><Relationship Id="rId30" Type="http://schemas.openxmlformats.org/officeDocument/2006/relationships/hyperlink" Target="https://drive.google.com/file/d/1E6QqOth7Id7Qcsg7IRl7bXCndoqlcWiF/view?usp=sharing" TargetMode="External"/><Relationship Id="rId35" Type="http://schemas.openxmlformats.org/officeDocument/2006/relationships/hyperlink" Target="https://drive.google.com/file/d/1zBj_SttOpP6mOMwjB5oGViqE-vUrExRn/view?usp=sharing" TargetMode="External"/><Relationship Id="rId43" Type="http://schemas.openxmlformats.org/officeDocument/2006/relationships/hyperlink" Target="https://drive.google.com/file/d/1JKHgVRwln19SjIPOOXYMYLZ5BNcsIiAU/view?usp=sharing" TargetMode="External"/><Relationship Id="rId48" Type="http://schemas.openxmlformats.org/officeDocument/2006/relationships/hyperlink" Target="https://drive.google.com/file/d/1CBVArQYZ3-ctVYkjfqcydvvmjkkN0XxD/view?usp=sharing" TargetMode="External"/><Relationship Id="rId56" Type="http://schemas.openxmlformats.org/officeDocument/2006/relationships/hyperlink" Target="https://drive.google.com/file/d/1o6KX0CRu3r7FKDGKgv0twpvIMFCLCJZv/view?usp=sharing" TargetMode="External"/><Relationship Id="rId64" Type="http://schemas.openxmlformats.org/officeDocument/2006/relationships/hyperlink" Target="https://drive.google.com/file/d/1x1cgISjcokRa5xkV8CzoU7Q29eM74u1p/view?usp=sharing" TargetMode="External"/><Relationship Id="rId69" Type="http://schemas.openxmlformats.org/officeDocument/2006/relationships/hyperlink" Target="https://drive.google.com/file/d/1PdCs8tr2vggebA7qsrSAdclPnNXihGiw/view?usp=sharing" TargetMode="External"/><Relationship Id="rId77" Type="http://schemas.openxmlformats.org/officeDocument/2006/relationships/hyperlink" Target="https://drive.google.com/file/d/1eOZjZ6glZmseiTgUJsxCvfXagHbbJm1m/view?usp=sharing" TargetMode="External"/><Relationship Id="rId8" Type="http://schemas.openxmlformats.org/officeDocument/2006/relationships/hyperlink" Target="https://drive.google.com/file/d/1Fevs6tUpt6W-bOP83YMHAinlHfBQBqPl/view?usp=sharing" TargetMode="External"/><Relationship Id="rId51" Type="http://schemas.openxmlformats.org/officeDocument/2006/relationships/hyperlink" Target="https://drive.google.com/file/d/1T9lFDFLJCO0FigogzdsDHdtRgWCVJ5nq/view?usp=sharing" TargetMode="External"/><Relationship Id="rId72" Type="http://schemas.openxmlformats.org/officeDocument/2006/relationships/hyperlink" Target="https://drive.google.com/file/d/1h-oK7rZvq686lk6wPmkTXq2pEbiUyEab/view?usp=sharing" TargetMode="External"/><Relationship Id="rId80" Type="http://schemas.openxmlformats.org/officeDocument/2006/relationships/hyperlink" Target="https://drive.google.com/file/d/1BblaE0RyNwj8uxBi7SX9RffAiAhS-GFb/view?usp=sharing" TargetMode="External"/><Relationship Id="rId3" Type="http://schemas.openxmlformats.org/officeDocument/2006/relationships/hyperlink" Target="https://drive.google.com/file/d/1CqoWwgj_BXeLcqbFReEDkMkY1gvl_8Nq/view?usp=sharing" TargetMode="External"/><Relationship Id="rId12" Type="http://schemas.openxmlformats.org/officeDocument/2006/relationships/hyperlink" Target="https://drive.google.com/file/d/1MIXWU-5MXSdZiKcjO-eYR6SBepfoZkgG/view?usp=sharing" TargetMode="External"/><Relationship Id="rId17" Type="http://schemas.openxmlformats.org/officeDocument/2006/relationships/hyperlink" Target="https://drive.google.com/file/d/1tNXYnp8Oft7PUy6PllI3l9_QH5Me7Cr6/view?usp=sharing" TargetMode="External"/><Relationship Id="rId25" Type="http://schemas.openxmlformats.org/officeDocument/2006/relationships/hyperlink" Target="https://drive.google.com/file/d/1lkVtjWTUCQBjwQ43uBBsBWcRdJUCP52J/view?usp=sharing" TargetMode="External"/><Relationship Id="rId33" Type="http://schemas.openxmlformats.org/officeDocument/2006/relationships/hyperlink" Target="https://drive.google.com/file/d/1jMifhPHDQ98qxq-nG8Y-Ux-laxXMd8BP/view?usp=sharing" TargetMode="External"/><Relationship Id="rId38" Type="http://schemas.openxmlformats.org/officeDocument/2006/relationships/hyperlink" Target="https://drive.google.com/file/d/1eIjfERhFYXIu_btV9qa9eENR8MzR2Yo7/view?usp=sharing" TargetMode="External"/><Relationship Id="rId46" Type="http://schemas.openxmlformats.org/officeDocument/2006/relationships/hyperlink" Target="https://drive.google.com/file/d/1Ir5ad3VYM_c1Cj2UHU4Lm15PHOC9CLCM/view?usp=sharing" TargetMode="External"/><Relationship Id="rId59" Type="http://schemas.openxmlformats.org/officeDocument/2006/relationships/hyperlink" Target="https://drive.google.com/file/d/1Ors2tk1LFIm9PkPRBq1uaCBvkSlIfQad/view?usp=sharing" TargetMode="External"/><Relationship Id="rId67" Type="http://schemas.openxmlformats.org/officeDocument/2006/relationships/hyperlink" Target="https://drive.google.com/file/d/1XQ_I2kZWkLh13nV9C2N6qsxGRL99vMk9/view?usp=sharing" TargetMode="External"/><Relationship Id="rId20" Type="http://schemas.openxmlformats.org/officeDocument/2006/relationships/hyperlink" Target="https://drive.google.com/file/d/156JibWWyhcaJSMv68QsMp_Q8cn1en0WL/view?usp=sharing" TargetMode="External"/><Relationship Id="rId41" Type="http://schemas.openxmlformats.org/officeDocument/2006/relationships/hyperlink" Target="https://drive.google.com/file/d/1CNfPJvpUKyvwW3QRKZWWHyBVphGd3aCK/view?usp=sharing" TargetMode="External"/><Relationship Id="rId54" Type="http://schemas.openxmlformats.org/officeDocument/2006/relationships/hyperlink" Target="https://drive.google.com/file/d/1xcWZ9cV3sVNFiU0XxBqPukYLRy_TKvh0/view?usp=sharing" TargetMode="External"/><Relationship Id="rId62" Type="http://schemas.openxmlformats.org/officeDocument/2006/relationships/hyperlink" Target="https://drive.google.com/file/d/1m7vUsMhpmXIk_p2mGnwFuxPIb7PCwu6l/view?usp=sharing" TargetMode="External"/><Relationship Id="rId70" Type="http://schemas.openxmlformats.org/officeDocument/2006/relationships/hyperlink" Target="https://drive.google.com/file/d/1JXMJkWRxGb6N3BVw2Gk2pYkEY-m5BaFo/view?usp=sharing" TargetMode="External"/><Relationship Id="rId75" Type="http://schemas.openxmlformats.org/officeDocument/2006/relationships/hyperlink" Target="https://drive.google.com/file/d/1CMsmV3S3Pw0fKjBbh4tw6YNGH-en9Bg0/view?usp=sharing" TargetMode="External"/><Relationship Id="rId83" Type="http://schemas.openxmlformats.org/officeDocument/2006/relationships/printerSettings" Target="../printerSettings/printerSettings13.bin"/><Relationship Id="rId1" Type="http://schemas.openxmlformats.org/officeDocument/2006/relationships/hyperlink" Target="https://drive.google.com/file/d/1rCl8IVouHflW6HwF-d5mEim203y01GWm/view?usp=sharing" TargetMode="External"/><Relationship Id="rId6" Type="http://schemas.openxmlformats.org/officeDocument/2006/relationships/hyperlink" Target="https://drive.google.com/file/d/1O1rVH_AQad8puMaEKAq2Agql33W2nosA/view?usp=sharing" TargetMode="External"/><Relationship Id="rId15" Type="http://schemas.openxmlformats.org/officeDocument/2006/relationships/hyperlink" Target="https://drive.google.com/file/d/1t2EY2DhGPKV1X4L7UzJTiE9kocKe3y1q/view?usp=sharing" TargetMode="External"/><Relationship Id="rId23" Type="http://schemas.openxmlformats.org/officeDocument/2006/relationships/hyperlink" Target="https://drive.google.com/file/d/1SuE0Qs4uxudp9JwhTl-rRWuDOx_8rP44/view?usp=sharing" TargetMode="External"/><Relationship Id="rId28" Type="http://schemas.openxmlformats.org/officeDocument/2006/relationships/hyperlink" Target="https://drive.google.com/file/d/1n6dVh5JBgYmIUGd8PbFqb2qw16WgNSVo/view?usp=sharing" TargetMode="External"/><Relationship Id="rId36" Type="http://schemas.openxmlformats.org/officeDocument/2006/relationships/hyperlink" Target="https://drive.google.com/file/d/1CJg1OnNKpLyE4cq_Ny5Isah_Ba1bh7bS/view?usp=sharing" TargetMode="External"/><Relationship Id="rId49" Type="http://schemas.openxmlformats.org/officeDocument/2006/relationships/hyperlink" Target="https://drive.google.com/file/d/1JaTE44bYhxdGnI_V2Mc5Uvj2fskdRMhP/view?usp=sharing" TargetMode="External"/><Relationship Id="rId57" Type="http://schemas.openxmlformats.org/officeDocument/2006/relationships/hyperlink" Target="https://drive.google.com/file/d/1f-frZLqQ78seyQMpNL732zUdtIMeH5pP/view?usp=sharing" TargetMode="External"/><Relationship Id="rId10" Type="http://schemas.openxmlformats.org/officeDocument/2006/relationships/hyperlink" Target="https://drive.google.com/file/d/1aZyKfiOu4DkFKqEadMTfcINx6e-ioGEt/view?usp=sharing" TargetMode="External"/><Relationship Id="rId31" Type="http://schemas.openxmlformats.org/officeDocument/2006/relationships/hyperlink" Target="https://drive.google.com/file/d/1EQk2QGtPtkYqYD_e-95Tb_N7tFP9wWGi/view?usp=sharing" TargetMode="External"/><Relationship Id="rId44" Type="http://schemas.openxmlformats.org/officeDocument/2006/relationships/hyperlink" Target="https://drive.google.com/file/d/1AjUc8SJ1JaMFd7LCUFDxQFysQH3UExlG/view?usp=sharing" TargetMode="External"/><Relationship Id="rId52" Type="http://schemas.openxmlformats.org/officeDocument/2006/relationships/hyperlink" Target="https://drive.google.com/file/d/1PKhAm2Kj0CV2U_bcL4TNruXIIaHmTgST/view?usp=sharing" TargetMode="External"/><Relationship Id="rId60" Type="http://schemas.openxmlformats.org/officeDocument/2006/relationships/hyperlink" Target="https://drive.google.com/file/d/19e1YKXKZFJcdIqsRCWERg1JClANbwzPS/view?usp=sharing" TargetMode="External"/><Relationship Id="rId65" Type="http://schemas.openxmlformats.org/officeDocument/2006/relationships/hyperlink" Target="https://drive.google.com/file/d/1Rx4KFYFqdghcHGJ4Ni8_lWNenS0c7gJD/view?usp=sharing" TargetMode="External"/><Relationship Id="rId73" Type="http://schemas.openxmlformats.org/officeDocument/2006/relationships/hyperlink" Target="https://drive.google.com/file/d/1f2-5Z25aPfjqsccLot9E5wOp4_H-fw_4/view?usp=sharing" TargetMode="External"/><Relationship Id="rId78" Type="http://schemas.openxmlformats.org/officeDocument/2006/relationships/hyperlink" Target="https://drive.google.com/file/d/1M8bmnba0T-eK8wdQKTsE2gEcd2x5a6_w/view?usp=sharing" TargetMode="External"/><Relationship Id="rId81" Type="http://schemas.openxmlformats.org/officeDocument/2006/relationships/hyperlink" Target="https://drive.google.com/file/d/10C8JvMyGCIJwuCK54WaOXSgbbcLZxIiK/view?usp=sharing" TargetMode="External"/><Relationship Id="rId4" Type="http://schemas.openxmlformats.org/officeDocument/2006/relationships/hyperlink" Target="https://drive.google.com/file/d/1xXsafnptj5E5a56iOMfnor7omJ_oPVZN/view?usp=sharing" TargetMode="External"/><Relationship Id="rId9" Type="http://schemas.openxmlformats.org/officeDocument/2006/relationships/hyperlink" Target="https://drive.google.com/file/d/1FwQoo3lMAOyhC-x6UnA6owlQxPEK0D_4/view?usp=sharing" TargetMode="External"/><Relationship Id="rId13" Type="http://schemas.openxmlformats.org/officeDocument/2006/relationships/hyperlink" Target="https://drive.google.com/file/d/13QHKbxTEof1F7EhEwVoZyH8H9mVYDKC_/view?usp=sharing" TargetMode="External"/><Relationship Id="rId18" Type="http://schemas.openxmlformats.org/officeDocument/2006/relationships/hyperlink" Target="https://drive.google.com/file/d/1A8Yn_mltzJzL-LszUy-CPhdYtKUbiV7h/view?usp=sharing" TargetMode="External"/><Relationship Id="rId39" Type="http://schemas.openxmlformats.org/officeDocument/2006/relationships/hyperlink" Target="https://drive.google.com/file/d/1cZ-sc3niICSw1QZ1xQFtvP64z26oUfmr/view?usp=sharing" TargetMode="External"/><Relationship Id="rId34" Type="http://schemas.openxmlformats.org/officeDocument/2006/relationships/hyperlink" Target="https://drive.google.com/file/d/1dDAvZMDZsDhaQTzZBWGFuciXgWoP0Xzk/view?usp=sharing" TargetMode="External"/><Relationship Id="rId50" Type="http://schemas.openxmlformats.org/officeDocument/2006/relationships/hyperlink" Target="https://drive.google.com/file/d/1ENit-hw0PjxOATPteeHHXJuP76MsSafC/view?usp=sharing" TargetMode="External"/><Relationship Id="rId55" Type="http://schemas.openxmlformats.org/officeDocument/2006/relationships/hyperlink" Target="https://drive.google.com/file/d/1t8FWFFAVorRlPZ6Ap2R168rHWhPRgxc5/view?usp=sharing" TargetMode="External"/><Relationship Id="rId76" Type="http://schemas.openxmlformats.org/officeDocument/2006/relationships/hyperlink" Target="https://drive.google.com/file/d/1VkVyaA2LmQyPcgvq5KG9A6JPcYGBIfXz/view?usp=sharing" TargetMode="External"/><Relationship Id="rId7" Type="http://schemas.openxmlformats.org/officeDocument/2006/relationships/hyperlink" Target="https://drive.google.com/file/d/1k_6tMBzLHVKn5wI7HU_roBCBW3Xk4XtN/view?usp=sharing" TargetMode="External"/><Relationship Id="rId71" Type="http://schemas.openxmlformats.org/officeDocument/2006/relationships/hyperlink" Target="https://drive.google.com/file/d/1WilnfR3kh9CrfKlBfNzdWab7hA0BpxTE/view?usp=sharing" TargetMode="External"/><Relationship Id="rId2" Type="http://schemas.openxmlformats.org/officeDocument/2006/relationships/hyperlink" Target="https://drive.google.com/file/d/1Pn8MjV89YpJ7n_A89IUiOvHda9FO270S/view?usp=sharing" TargetMode="External"/><Relationship Id="rId29" Type="http://schemas.openxmlformats.org/officeDocument/2006/relationships/hyperlink" Target="https://drive.google.com/file/d/1n6dVh5JBgYmIUGd8PbFqb2qw16WgNSVo/view?usp=sharing" TargetMode="External"/><Relationship Id="rId24" Type="http://schemas.openxmlformats.org/officeDocument/2006/relationships/hyperlink" Target="https://drive.google.com/file/d/1otMJDWsde0NGWFw7eulx2ZWsUp-vXR50/view?usp=sharing" TargetMode="External"/><Relationship Id="rId40" Type="http://schemas.openxmlformats.org/officeDocument/2006/relationships/hyperlink" Target="https://drive.google.com/file/d/1lI70zF1Idw6mPwlFzPmkpte_3yeGVBYv/view?usp=sharing" TargetMode="External"/><Relationship Id="rId45" Type="http://schemas.openxmlformats.org/officeDocument/2006/relationships/hyperlink" Target="https://drive.google.com/file/d/1hCSMc5nIkbLWfJ7SfwkukJEoUHfA_Cpw/view?usp=sharing" TargetMode="External"/><Relationship Id="rId66" Type="http://schemas.openxmlformats.org/officeDocument/2006/relationships/hyperlink" Target="https://drive.google.com/file/d/1fyneHaOrbfEVPc1V_i61igVWuEkANXPU/view?usp=sharing"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drive/folders/1vrO4ujTsgk-ULwiI-9z_T5YC-o7mfk39?usp=sharing"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drive.google.com/drive/folders/1WsjvtDOWRhNvkDM5qxBS4Z1vynPBkXhW?usp=sharing" TargetMode="External"/><Relationship Id="rId2" Type="http://schemas.openxmlformats.org/officeDocument/2006/relationships/hyperlink" Target="https://drive.google.com/drive/folders/1HGuhstuCdMx6T3GbgCs_6S0vKqFIWzu_?usp=sharing" TargetMode="External"/><Relationship Id="rId1" Type="http://schemas.openxmlformats.org/officeDocument/2006/relationships/hyperlink" Target="https://drive.google.com/drive/folders/1LCYZbUDAvdUEemlQ_RNbjBf7_ChFDAAG?usp=sharing"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drive.google.com/drive/folders/1N-25mvq6_IxOlWI0TCdikR06GphGBf5s?usp=sharing" TargetMode="External"/><Relationship Id="rId2" Type="http://schemas.openxmlformats.org/officeDocument/2006/relationships/hyperlink" Target="https://drive.google.com/drive/folders/12OYqNqjZ-vrKGZ2e75LVnFmGIx1SOAA_?usp=sharing" TargetMode="External"/><Relationship Id="rId1" Type="http://schemas.openxmlformats.org/officeDocument/2006/relationships/hyperlink" Target="https://drive.google.com/drive/folders/1OflJwmgdRXRHWwhg8TTjqR9z6ljvBKO1?usp=sharing"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30.xml.rels><?xml version="1.0" encoding="UTF-8" standalone="yes"?>
<Relationships xmlns="http://schemas.openxmlformats.org/package/2006/relationships"><Relationship Id="rId1" Type="http://schemas.openxmlformats.org/officeDocument/2006/relationships/hyperlink" Target="https://drive.google.com/drive/folders/1qzXYHB7sBtEzYmvLrO8K1UnNRWydvdUd?usp=sharing"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drive/folders/1JMEJ77MKGK2QEbMZV_BXEzW7n5lWTvvV?usp=sharing"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drive/folders/1MDrFLoqA5CtjmAdlCZfFNvmhKmqrIxoH?usp=sharing"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drive.google.com/drive/folders/1QSenJ2DnsR8jLvuk5ozmESnTolvLuDd-?usp=sharing"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drive.google.com/drive/folders/1ymDwcGXLnzh7f5RTjyZyMDQ3WoTXO0v7?usp=sharing" TargetMode="External"/></Relationships>
</file>

<file path=xl/worksheets/_rels/sheet35.xml.rels><?xml version="1.0" encoding="UTF-8" standalone="yes"?>
<Relationships xmlns="http://schemas.openxmlformats.org/package/2006/relationships"><Relationship Id="rId2" Type="http://schemas.openxmlformats.org/officeDocument/2006/relationships/hyperlink" Target="https://drive.google.com/drive/folders/1EcGj9dHZw1qjM2xjWBWpbJUiuQom7k_t?usp=sharing" TargetMode="External"/><Relationship Id="rId1" Type="http://schemas.openxmlformats.org/officeDocument/2006/relationships/hyperlink" Target="https://drive.google.com/drive/folders/1S9wCvsCUXsv5Hq4_6_XPO0E1Gw2bpP1e?usp=sharing"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drive.google.com/drive/folders/1xh_Rhm14aPhfWtbslxa2UM95VxCYhXR9?usp=sharing"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drive.google.com/drive/folders/1n-qtLwtzIXciZIDLBFIQGqg32rjFqJ7U?usp=sharing"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drive.google.com/drive/folders/1esjmAQp7rJrg6oqTWKOT4uIy5-0Lm3ap?usp=sharing"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drive.google.com/drive/folders/1bPQxpCl4NoUgrm4ceNJZ9xxH0bivuj8C?usp=sharing"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drive.google.com/drive/folders/1pWkTNR7uaX1njzqXYrzfpYDzqmCsZCrr?usp=sharing"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drive.google.com/drive/folders/1l03u0_fsYylPj1XocDHQAzqvPo6w4fPc?usp=sharing"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drive.google.com/drive/folders/1l03u0_fsYylPj1XocDHQAzqvPo6w4fPc?usp=sharing" TargetMode="External"/></Relationships>
</file>

<file path=xl/worksheets/_rels/sheet4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drive.google.com/drive/folders/1emRfBvJsHQLld_i6vSX6J9TpzDQ3JrTa?usp=sharing"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drive.google.com/drive/folders/1RfLJrBa6VIdDXEeC6nKHLAbBQbfT-mxr?usp=sharing"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drive.google.com/drive/folders/1zfA6flNwL2LrvqSk2aPNPAed3DI1eblS?usp=sharing"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drive.google.com/file/d/131et-FzYCA3BnlMOuxP5JQlekca-vaHu/view?usp=sharing" TargetMode="External"/><Relationship Id="rId1" Type="http://schemas.openxmlformats.org/officeDocument/2006/relationships/hyperlink" Target="https://drive.google.com/file/d/1qxfbgKy_bJlCtfj9hNrx6JN3vFHPJmT-/view?usp=sharing"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drive.google.com/drive/folders/1pZDbBHnUawruCdVJqNqCoxGlTtTMFlom" TargetMode="External"/></Relationships>
</file>

<file path=xl/worksheets/_rels/sheet48.xml.rels><?xml version="1.0" encoding="UTF-8" standalone="yes"?>
<Relationships xmlns="http://schemas.openxmlformats.org/package/2006/relationships"><Relationship Id="rId13" Type="http://schemas.openxmlformats.org/officeDocument/2006/relationships/hyperlink" Target="https://drive.google.com/drive/folders/1P9Ry0dWMM0ow70U84_2XfX0JgaZTAbyI?usp=sharing" TargetMode="External"/><Relationship Id="rId18" Type="http://schemas.openxmlformats.org/officeDocument/2006/relationships/hyperlink" Target="https://drive.google.com/file/d/1wLAcIqIzPwttXyzwtSC5UJ5BWxIZx5sh/view?usp=sharing" TargetMode="External"/><Relationship Id="rId26" Type="http://schemas.openxmlformats.org/officeDocument/2006/relationships/hyperlink" Target="https://drive.google.com/drive/folders/1vshWvuPJ21L2VO72KEGQjlyLOLeCQiZt?usp=sharing" TargetMode="External"/><Relationship Id="rId39" Type="http://schemas.openxmlformats.org/officeDocument/2006/relationships/hyperlink" Target="https://drive.google.com/drive/folders/1uzRaPPbauXRljc1GJHsEO0phR9t6jAW8?usp=sharing" TargetMode="External"/><Relationship Id="rId21" Type="http://schemas.openxmlformats.org/officeDocument/2006/relationships/hyperlink" Target="https://drive.google.com/file/d/1tSA5IzQe6oqwnrG_CIENDDvzDhB-0-NI/view?usp=sharing" TargetMode="External"/><Relationship Id="rId34" Type="http://schemas.openxmlformats.org/officeDocument/2006/relationships/hyperlink" Target="https://drive.google.com/file/d/11dU2xwiGGe1pnHDlmSQcTtZdFUnqID6h/view?usp=sharing" TargetMode="External"/><Relationship Id="rId42" Type="http://schemas.openxmlformats.org/officeDocument/2006/relationships/hyperlink" Target="https://drive.google.com/drive/folders/10uR3o92BgJeZKMoGyTex2LmdUO81UL2m?usp=sharing" TargetMode="External"/><Relationship Id="rId7" Type="http://schemas.openxmlformats.org/officeDocument/2006/relationships/hyperlink" Target="https://drive.google.com/file/d/1mjOMlfrTAHz9_UYF_jRkpr3VsBpOvP2N/view?usp=sharing" TargetMode="External"/><Relationship Id="rId2" Type="http://schemas.openxmlformats.org/officeDocument/2006/relationships/hyperlink" Target="https://drive.google.com/drive/folders/18UhRJXYV_V19eZu0Q4Pny1oLhkE-LPSX?usp=sharing" TargetMode="External"/><Relationship Id="rId16" Type="http://schemas.openxmlformats.org/officeDocument/2006/relationships/hyperlink" Target="https://drive.google.com/file/d/1CqhNymPqNcENuCE2iw83IBcSqAfGy2KR/view?usp=sharing" TargetMode="External"/><Relationship Id="rId20" Type="http://schemas.openxmlformats.org/officeDocument/2006/relationships/hyperlink" Target="https://drive.google.com/file/d/11jUXvyWom7E9KUWPs6tnEVL0DuOEMf-k/view?usp=sharing" TargetMode="External"/><Relationship Id="rId29" Type="http://schemas.openxmlformats.org/officeDocument/2006/relationships/hyperlink" Target="https://drive.google.com/drive/folders/1jbCafhGHgxcaoZDwZFo8-wSfEO1cJx5g?usp=sharing" TargetMode="External"/><Relationship Id="rId41" Type="http://schemas.openxmlformats.org/officeDocument/2006/relationships/hyperlink" Target="https://drive.google.com/drive/folders/1K2qNJDBpiygg0QsupA6g37-qR0pji5jR?usp=sharing" TargetMode="External"/><Relationship Id="rId1" Type="http://schemas.openxmlformats.org/officeDocument/2006/relationships/hyperlink" Target="https://drive.google.com/drive/folders/1UkSF7qUthjF6l_o9E3cQMB7ylMvDJaU0?usp=sharing" TargetMode="External"/><Relationship Id="rId6" Type="http://schemas.openxmlformats.org/officeDocument/2006/relationships/hyperlink" Target="https://drive.google.com/file/d/1KpBhRof-6kdULoD_n6HpCkYIdKH2_i4e/view?usp=sharing" TargetMode="External"/><Relationship Id="rId11" Type="http://schemas.openxmlformats.org/officeDocument/2006/relationships/hyperlink" Target="https://drive.google.com/drive/folders/1k6eyQopF58Sn7VzCrufsCtNcSIulsRta?usp=sharing" TargetMode="External"/><Relationship Id="rId24" Type="http://schemas.openxmlformats.org/officeDocument/2006/relationships/hyperlink" Target="https://drive.google.com/drive/folders/1wIPuGQUU46PgCsaB-nrnrNs3Vd6Uxi35?usp=sharing" TargetMode="External"/><Relationship Id="rId32" Type="http://schemas.openxmlformats.org/officeDocument/2006/relationships/hyperlink" Target="https://drive.google.com/drive/folders/1XKW1qs-oL4wmC8nEs3WRS8GTTbEoSCGy?usp=sharing" TargetMode="External"/><Relationship Id="rId37" Type="http://schemas.openxmlformats.org/officeDocument/2006/relationships/hyperlink" Target="https://drive.google.com/drive/folders/1rVYZ2fwSCtqrpvYDWEuv1dcBT8OfioS-?usp=sharing" TargetMode="External"/><Relationship Id="rId40" Type="http://schemas.openxmlformats.org/officeDocument/2006/relationships/hyperlink" Target="https://drive.google.com/drive/folders/1T-faEqYesf0pEZdydVYrMPQsxq9BZvDN?usp=sharing" TargetMode="External"/><Relationship Id="rId5" Type="http://schemas.openxmlformats.org/officeDocument/2006/relationships/hyperlink" Target="https://drive.google.com/file/d/1tcjs6eCaWG0cQvDXJDnmS2gWX-2P2fBL/view?usp=sharing" TargetMode="External"/><Relationship Id="rId15" Type="http://schemas.openxmlformats.org/officeDocument/2006/relationships/hyperlink" Target="https://drive.google.com/drive/folders/1SwNUlDEH6KYF1eIHDhmLK-18EuDmJZwV?usp=sharing" TargetMode="External"/><Relationship Id="rId23" Type="http://schemas.openxmlformats.org/officeDocument/2006/relationships/hyperlink" Target="https://drive.google.com/drive/folders/1FSNzkMpdDbNkhWJWrxwDV6GePZB55eLj?usp=sharing" TargetMode="External"/><Relationship Id="rId28" Type="http://schemas.openxmlformats.org/officeDocument/2006/relationships/hyperlink" Target="https://drive.google.com/file/d/1Lckt-c0YiqWiW3obd_nfqnCHTqYMJoJl/view?usp=sharing" TargetMode="External"/><Relationship Id="rId36" Type="http://schemas.openxmlformats.org/officeDocument/2006/relationships/hyperlink" Target="https://drive.google.com/file/d/1Y5RMzahLa7oYRrxbB1hScEfaBYOHDvwR/view?usp=sharing" TargetMode="External"/><Relationship Id="rId10" Type="http://schemas.openxmlformats.org/officeDocument/2006/relationships/hyperlink" Target="https://drive.google.com/drive/folders/1bDeMCC2YN-LrPuVpW9boRgwVxsvcQ8Tc?usp=sharing" TargetMode="External"/><Relationship Id="rId19" Type="http://schemas.openxmlformats.org/officeDocument/2006/relationships/hyperlink" Target="https://drive.google.com/file/d/11jUXvyWom7E9KUWPs6tnEVL0DuOEMf-k/view?usp=sharing" TargetMode="External"/><Relationship Id="rId31" Type="http://schemas.openxmlformats.org/officeDocument/2006/relationships/hyperlink" Target="https://drive.google.com/drive/folders/1MQ-gcELplvk3Bsls8sbeUxlo5glT0mC2?usp=sharing" TargetMode="External"/><Relationship Id="rId44" Type="http://schemas.openxmlformats.org/officeDocument/2006/relationships/printerSettings" Target="../printerSettings/printerSettings16.bin"/><Relationship Id="rId4" Type="http://schemas.openxmlformats.org/officeDocument/2006/relationships/hyperlink" Target="https://drive.google.com/file/d/1KpBhRof-6kdULoD_n6HpCkYIdKH2_i4e/view?usp=sharing" TargetMode="External"/><Relationship Id="rId9" Type="http://schemas.openxmlformats.org/officeDocument/2006/relationships/hyperlink" Target="https://drive.google.com/file/d/1tSA5IzQe6oqwnrG_CIENDDvzDhB-0-NI/view?usp=sharing" TargetMode="External"/><Relationship Id="rId14" Type="http://schemas.openxmlformats.org/officeDocument/2006/relationships/hyperlink" Target="https://drive.google.com/drive/folders/1rJCGax6s6D89kZrv2w2zrpYRL3y9EiCt?usp=sharing" TargetMode="External"/><Relationship Id="rId22" Type="http://schemas.openxmlformats.org/officeDocument/2006/relationships/hyperlink" Target="https://drive.google.com/file/d/1Z2OVyyUG0gNGTRByuEQrRcVRop4K-kp9/view?usp=sharing" TargetMode="External"/><Relationship Id="rId27" Type="http://schemas.openxmlformats.org/officeDocument/2006/relationships/hyperlink" Target="https://drive.google.com/file/d/1rB7BjqUfVoQJT8NVHTlS_SGNQLm1HKDu/view?usp=sharing" TargetMode="External"/><Relationship Id="rId30" Type="http://schemas.openxmlformats.org/officeDocument/2006/relationships/hyperlink" Target="https://drive.google.com/drive/folders/1JTdusGvijaQP53gM9rNttFJNx2Baijdb?usp=sharing" TargetMode="External"/><Relationship Id="rId35" Type="http://schemas.openxmlformats.org/officeDocument/2006/relationships/hyperlink" Target="https://drive.google.com/file/d/1FMpG689GvLT8eMhsa5dDKDUGmOxJMf9I/view?usp=sharing" TargetMode="External"/><Relationship Id="rId43" Type="http://schemas.openxmlformats.org/officeDocument/2006/relationships/hyperlink" Target="https://drive.google.com/file/d/1nDkfhVQmtojuSnuAf5VTqUxLNM07MeyU/view?usp=sharing" TargetMode="External"/><Relationship Id="rId8" Type="http://schemas.openxmlformats.org/officeDocument/2006/relationships/hyperlink" Target="https://drive.google.com/drive/folders/1UkSF7qUthjF6l_o9E3cQMB7ylMvDJaU0?usp=sharing" TargetMode="External"/><Relationship Id="rId3" Type="http://schemas.openxmlformats.org/officeDocument/2006/relationships/hyperlink" Target="https://drive.google.com/drive/folders/1t0B51loOQ7FZoqUUmz7KOYNeU8RC2XfJ?usp=sharing" TargetMode="External"/><Relationship Id="rId12" Type="http://schemas.openxmlformats.org/officeDocument/2006/relationships/hyperlink" Target="https://drive.google.com/drive/folders/18BL1U1KMoY8SWh2CZOZ2g5tkSHYyeCTK?usp=sharing" TargetMode="External"/><Relationship Id="rId17" Type="http://schemas.openxmlformats.org/officeDocument/2006/relationships/hyperlink" Target="https://drive.google.com/file/d/1kOzou_ED_8GCoAqQbmV8o4S9qorekN6W/view?usp=sharing" TargetMode="External"/><Relationship Id="rId25" Type="http://schemas.openxmlformats.org/officeDocument/2006/relationships/hyperlink" Target="https://drive.google.com/drive/folders/15m49ntEI-HEPRtNPpevpKHR6cHhXnQBy?usp=sharing" TargetMode="External"/><Relationship Id="rId33" Type="http://schemas.openxmlformats.org/officeDocument/2006/relationships/hyperlink" Target="https://drive.google.com/drive/folders/1IP_zGjyzG0HIsJb-IFGRP5XDKVm4zmxP?usp=sharing" TargetMode="External"/><Relationship Id="rId38" Type="http://schemas.openxmlformats.org/officeDocument/2006/relationships/hyperlink" Target="https://drive.google.com/drive/folders/15JujkWBzZezMXczX2gSYdFCVOM_E3Ef2?usp=sharing" TargetMode="External"/></Relationships>
</file>

<file path=xl/worksheets/_rels/sheet49.xml.rels><?xml version="1.0" encoding="UTF-8" standalone="yes"?>
<Relationships xmlns="http://schemas.openxmlformats.org/package/2006/relationships"><Relationship Id="rId3" Type="http://schemas.openxmlformats.org/officeDocument/2006/relationships/hyperlink" Target="https://drive.google.com/file/d/1oojt0jSFymDHcQXeFU4fuoQqhaS87pnY/view?usp=sharing" TargetMode="External"/><Relationship Id="rId2" Type="http://schemas.openxmlformats.org/officeDocument/2006/relationships/hyperlink" Target="https://drive.google.com/file/d/1bWZ_c-Px4Od3kGufO6vOj0oRd8NHg_Vn/view?usp=sharing" TargetMode="External"/><Relationship Id="rId1" Type="http://schemas.openxmlformats.org/officeDocument/2006/relationships/hyperlink" Target="https://drive.google.com/file/d/1_tEUBST8Hrwj3UFUDfU_MBnz8oGmXmQm/view?usp=sharing" TargetMode="External"/><Relationship Id="rId6" Type="http://schemas.openxmlformats.org/officeDocument/2006/relationships/printerSettings" Target="../printerSettings/printerSettings17.bin"/><Relationship Id="rId5" Type="http://schemas.openxmlformats.org/officeDocument/2006/relationships/hyperlink" Target="https://drive.google.com/file/d/12vhCTxMvDTDPgj7c7pWACuiGBuVlWQQ0/view?usp=sharing" TargetMode="External"/><Relationship Id="rId4" Type="http://schemas.openxmlformats.org/officeDocument/2006/relationships/hyperlink" Target="https://drive.google.com/file/d/1oojt0jSFymDHcQXeFU4fuoQqhaS87pnY/view?usp=sharing" TargetMode="External"/></Relationships>
</file>

<file path=xl/worksheets/_rels/sheet5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drive.google.com/drive/folders/1NYUcIKywtZJfgy4HdDfUU7tbTDLRGfCK?usp=sharing"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drive.google.com/drive/folders/1dPX_cDJHrHdzimZE4_2ORisFLTfRI6aY?usp=sharing"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drive.google.com/drive/folders/1dPX_cDJHrHdzimZE4_2ORisFLTfRI6aY?usp=sharing" TargetMode="External"/></Relationships>
</file>

<file path=xl/worksheets/_rels/sheet5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drive.google.com/drive/folders/1dPX_cDJHrHdzimZE4_2ORisFLTfRI6aY?usp=sharing"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drive.google.com/drive/folders/1dPX_cDJHrHdzimZE4_2ORisFLTfRI6aY?usp=sharing"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drive.google.com/drive/folders/1dPX_cDJHrHdzimZE4_2ORisFLTfRI6aY?usp=sharing"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https://drive.google.com/file/d/1uo00YPM_9aKi35Z3ayc6mC3HCOwehGYQ/view?usp=sharing" TargetMode="External"/><Relationship Id="rId2" Type="http://schemas.openxmlformats.org/officeDocument/2006/relationships/hyperlink" Target="https://drive.google.com/file/d/1gZuxERLsvqnAT8BkrqGE6gnSF89IvATF/view?usp=sharing" TargetMode="External"/><Relationship Id="rId1" Type="http://schemas.openxmlformats.org/officeDocument/2006/relationships/hyperlink" Target="https://drive.google.com/file/d/1kJPDukLfiMYw3X1g_FAGD3jgKp85yXGa/view?usp=sharing"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57.xml.rels><?xml version="1.0" encoding="UTF-8" standalone="yes"?>
<Relationships xmlns="http://schemas.openxmlformats.org/package/2006/relationships"><Relationship Id="rId3" Type="http://schemas.openxmlformats.org/officeDocument/2006/relationships/hyperlink" Target="https://drive.google.com/file/d/1PnpdhMN-N-D3aIt55lk3ZD1EOHbtRmpl/view?usp=sharing" TargetMode="External"/><Relationship Id="rId2" Type="http://schemas.openxmlformats.org/officeDocument/2006/relationships/hyperlink" Target="https://drive.google.com/file/d/10duChNGszpLMKosdw4hnnUhDlksreyIP/view?usp=sharing" TargetMode="External"/><Relationship Id="rId1" Type="http://schemas.openxmlformats.org/officeDocument/2006/relationships/hyperlink" Target="https://drive.google.com/file/d/1Bv6GOJRsTjzxNF6cJEOz42hRuNZ7VkCV/view?usp=sharing" TargetMode="External"/><Relationship Id="rId5" Type="http://schemas.openxmlformats.org/officeDocument/2006/relationships/hyperlink" Target="https://drive.google.com/drive/folders/1X3kuH752rURExPhkO4TLn9dwEbYQoEoM?usp=sharing" TargetMode="External"/><Relationship Id="rId4" Type="http://schemas.openxmlformats.org/officeDocument/2006/relationships/hyperlink" Target="https://drive.google.com/file/d/1Oi2xPLndvLYNhFEFagPa5GvMWvWkR6Tz/view?usp=sharing"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drive.google.com/drive/folders/1dPX_cDJHrHdzimZE4_2ORisFLTfRI6aY?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46C9-6121-46FA-A989-5A302F603C91}">
  <dimension ref="B2:C67"/>
  <sheetViews>
    <sheetView topLeftCell="A13" zoomScale="115" zoomScaleNormal="115" workbookViewId="0">
      <selection activeCell="C22" sqref="C22"/>
    </sheetView>
  </sheetViews>
  <sheetFormatPr defaultRowHeight="14.4" x14ac:dyDescent="0.3"/>
  <cols>
    <col min="2" max="2" width="10.44140625" style="10" bestFit="1" customWidth="1"/>
    <col min="3" max="3" width="55.33203125" bestFit="1" customWidth="1"/>
  </cols>
  <sheetData>
    <row r="2" spans="2:3" x14ac:dyDescent="0.3">
      <c r="B2" s="2" t="s">
        <v>4031</v>
      </c>
      <c r="C2" s="35" t="s">
        <v>4027</v>
      </c>
    </row>
    <row r="3" spans="2:3" x14ac:dyDescent="0.3">
      <c r="B3" s="3" t="s">
        <v>142</v>
      </c>
      <c r="C3" s="34" t="s">
        <v>4029</v>
      </c>
    </row>
    <row r="4" spans="2:3" x14ac:dyDescent="0.3">
      <c r="B4" s="3" t="s">
        <v>142</v>
      </c>
      <c r="C4" s="34" t="s">
        <v>4028</v>
      </c>
    </row>
    <row r="5" spans="2:3" x14ac:dyDescent="0.3">
      <c r="B5" s="3">
        <v>1</v>
      </c>
      <c r="C5" s="34" t="s">
        <v>4030</v>
      </c>
    </row>
    <row r="6" spans="2:3" x14ac:dyDescent="0.3">
      <c r="B6" s="3">
        <v>3</v>
      </c>
      <c r="C6" s="34" t="s">
        <v>4032</v>
      </c>
    </row>
    <row r="7" spans="2:3" x14ac:dyDescent="0.3">
      <c r="B7" s="3">
        <v>4</v>
      </c>
      <c r="C7" s="34" t="s">
        <v>4034</v>
      </c>
    </row>
    <row r="8" spans="2:3" x14ac:dyDescent="0.3">
      <c r="B8" s="3">
        <v>5</v>
      </c>
      <c r="C8" s="34" t="s">
        <v>4035</v>
      </c>
    </row>
    <row r="9" spans="2:3" x14ac:dyDescent="0.3">
      <c r="B9" s="3">
        <v>10</v>
      </c>
      <c r="C9" s="34" t="s">
        <v>4036</v>
      </c>
    </row>
    <row r="10" spans="2:3" x14ac:dyDescent="0.3">
      <c r="B10" s="3">
        <v>10</v>
      </c>
      <c r="C10" s="34" t="s">
        <v>4037</v>
      </c>
    </row>
    <row r="11" spans="2:3" x14ac:dyDescent="0.3">
      <c r="B11" s="3">
        <v>10</v>
      </c>
      <c r="C11" s="34" t="s">
        <v>4038</v>
      </c>
    </row>
    <row r="12" spans="2:3" x14ac:dyDescent="0.3">
      <c r="B12" s="3">
        <v>13</v>
      </c>
      <c r="C12" s="34" t="s">
        <v>4040</v>
      </c>
    </row>
    <row r="13" spans="2:3" x14ac:dyDescent="0.3">
      <c r="B13" s="3">
        <v>14</v>
      </c>
      <c r="C13" s="34" t="s">
        <v>4041</v>
      </c>
    </row>
    <row r="14" spans="2:3" x14ac:dyDescent="0.3">
      <c r="B14" s="3" t="s">
        <v>4043</v>
      </c>
      <c r="C14" s="34" t="s">
        <v>4042</v>
      </c>
    </row>
    <row r="15" spans="2:3" x14ac:dyDescent="0.3">
      <c r="B15" s="3" t="s">
        <v>4044</v>
      </c>
      <c r="C15" s="34" t="s">
        <v>4102</v>
      </c>
    </row>
    <row r="16" spans="2:3" x14ac:dyDescent="0.3">
      <c r="B16" s="3">
        <v>16</v>
      </c>
      <c r="C16" s="34" t="s">
        <v>4045</v>
      </c>
    </row>
    <row r="17" spans="2:3" x14ac:dyDescent="0.3">
      <c r="B17" s="3">
        <v>20</v>
      </c>
      <c r="C17" s="34" t="s">
        <v>4046</v>
      </c>
    </row>
    <row r="18" spans="2:3" x14ac:dyDescent="0.3">
      <c r="B18" s="3">
        <v>21</v>
      </c>
      <c r="C18" s="34" t="s">
        <v>4047</v>
      </c>
    </row>
    <row r="19" spans="2:3" x14ac:dyDescent="0.3">
      <c r="B19" s="3">
        <v>22</v>
      </c>
      <c r="C19" s="34" t="s">
        <v>4048</v>
      </c>
    </row>
    <row r="20" spans="2:3" x14ac:dyDescent="0.3">
      <c r="B20" s="3" t="s">
        <v>142</v>
      </c>
      <c r="C20" s="34" t="s">
        <v>4049</v>
      </c>
    </row>
    <row r="21" spans="2:3" x14ac:dyDescent="0.3">
      <c r="B21" s="3">
        <v>23</v>
      </c>
      <c r="C21" s="34" t="s">
        <v>4050</v>
      </c>
    </row>
    <row r="22" spans="2:3" x14ac:dyDescent="0.3">
      <c r="B22" s="3">
        <v>24</v>
      </c>
      <c r="C22" s="34" t="s">
        <v>4051</v>
      </c>
    </row>
    <row r="23" spans="2:3" x14ac:dyDescent="0.3">
      <c r="B23" s="3">
        <v>25</v>
      </c>
      <c r="C23" s="34" t="s">
        <v>4052</v>
      </c>
    </row>
    <row r="24" spans="2:3" x14ac:dyDescent="0.3">
      <c r="B24" s="3">
        <v>26</v>
      </c>
      <c r="C24" s="34" t="s">
        <v>4053</v>
      </c>
    </row>
    <row r="25" spans="2:3" x14ac:dyDescent="0.3">
      <c r="B25" s="3">
        <v>27</v>
      </c>
      <c r="C25" s="34" t="s">
        <v>4054</v>
      </c>
    </row>
    <row r="26" spans="2:3" x14ac:dyDescent="0.3">
      <c r="B26" s="3">
        <v>28</v>
      </c>
      <c r="C26" s="34" t="s">
        <v>4055</v>
      </c>
    </row>
    <row r="27" spans="2:3" x14ac:dyDescent="0.3">
      <c r="B27" s="3">
        <v>29</v>
      </c>
      <c r="C27" s="34" t="s">
        <v>4056</v>
      </c>
    </row>
    <row r="28" spans="2:3" x14ac:dyDescent="0.3">
      <c r="B28" s="3">
        <v>30</v>
      </c>
      <c r="C28" s="34" t="s">
        <v>4057</v>
      </c>
    </row>
    <row r="29" spans="2:3" x14ac:dyDescent="0.3">
      <c r="B29" s="3">
        <v>31</v>
      </c>
      <c r="C29" s="34" t="s">
        <v>4058</v>
      </c>
    </row>
    <row r="30" spans="2:3" x14ac:dyDescent="0.3">
      <c r="B30" s="3">
        <v>32</v>
      </c>
      <c r="C30" s="34" t="s">
        <v>4059</v>
      </c>
    </row>
    <row r="31" spans="2:3" x14ac:dyDescent="0.3">
      <c r="B31" s="3">
        <v>33</v>
      </c>
      <c r="C31" s="34" t="s">
        <v>4060</v>
      </c>
    </row>
    <row r="32" spans="2:3" x14ac:dyDescent="0.3">
      <c r="B32" s="3">
        <v>34</v>
      </c>
      <c r="C32" s="34" t="s">
        <v>4061</v>
      </c>
    </row>
    <row r="33" spans="2:3" x14ac:dyDescent="0.3">
      <c r="B33" s="3">
        <v>35</v>
      </c>
      <c r="C33" s="34" t="s">
        <v>4065</v>
      </c>
    </row>
    <row r="34" spans="2:3" x14ac:dyDescent="0.3">
      <c r="B34" s="3">
        <v>37</v>
      </c>
      <c r="C34" s="34" t="s">
        <v>4066</v>
      </c>
    </row>
    <row r="35" spans="2:3" x14ac:dyDescent="0.3">
      <c r="B35" s="3">
        <v>38</v>
      </c>
      <c r="C35" s="34" t="s">
        <v>4067</v>
      </c>
    </row>
    <row r="36" spans="2:3" x14ac:dyDescent="0.3">
      <c r="B36" s="3">
        <v>39</v>
      </c>
      <c r="C36" s="34" t="s">
        <v>4068</v>
      </c>
    </row>
    <row r="37" spans="2:3" x14ac:dyDescent="0.3">
      <c r="B37" s="3">
        <v>40</v>
      </c>
      <c r="C37" s="34" t="s">
        <v>4069</v>
      </c>
    </row>
    <row r="38" spans="2:3" x14ac:dyDescent="0.3">
      <c r="B38" s="3">
        <v>41</v>
      </c>
      <c r="C38" s="34" t="s">
        <v>4070</v>
      </c>
    </row>
    <row r="39" spans="2:3" x14ac:dyDescent="0.3">
      <c r="B39" s="3">
        <v>42</v>
      </c>
      <c r="C39" s="34" t="s">
        <v>4071</v>
      </c>
    </row>
    <row r="40" spans="2:3" x14ac:dyDescent="0.3">
      <c r="B40" s="3">
        <v>43</v>
      </c>
      <c r="C40" s="34" t="s">
        <v>4072</v>
      </c>
    </row>
    <row r="41" spans="2:3" x14ac:dyDescent="0.3">
      <c r="B41" s="3">
        <v>44</v>
      </c>
      <c r="C41" s="34" t="s">
        <v>4073</v>
      </c>
    </row>
    <row r="42" spans="2:3" x14ac:dyDescent="0.3">
      <c r="B42" s="3">
        <v>45</v>
      </c>
      <c r="C42" s="34" t="s">
        <v>4074</v>
      </c>
    </row>
    <row r="43" spans="2:3" x14ac:dyDescent="0.3">
      <c r="B43" s="3" t="s">
        <v>142</v>
      </c>
      <c r="C43" s="34" t="s">
        <v>4075</v>
      </c>
    </row>
    <row r="44" spans="2:3" x14ac:dyDescent="0.3">
      <c r="B44" s="3">
        <v>46</v>
      </c>
      <c r="C44" s="34" t="s">
        <v>4076</v>
      </c>
    </row>
    <row r="45" spans="2:3" x14ac:dyDescent="0.3">
      <c r="B45" s="3">
        <v>46</v>
      </c>
      <c r="C45" s="34" t="s">
        <v>4077</v>
      </c>
    </row>
    <row r="46" spans="2:3" x14ac:dyDescent="0.3">
      <c r="B46" s="3">
        <v>47</v>
      </c>
      <c r="C46" s="34" t="s">
        <v>4078</v>
      </c>
    </row>
    <row r="47" spans="2:3" x14ac:dyDescent="0.3">
      <c r="B47" s="3">
        <v>48</v>
      </c>
      <c r="C47" s="34" t="s">
        <v>4079</v>
      </c>
    </row>
    <row r="48" spans="2:3" x14ac:dyDescent="0.3">
      <c r="B48" s="3">
        <v>49</v>
      </c>
      <c r="C48" s="34" t="s">
        <v>4080</v>
      </c>
    </row>
    <row r="49" spans="2:3" x14ac:dyDescent="0.3">
      <c r="B49" s="3">
        <v>50</v>
      </c>
      <c r="C49" s="34" t="s">
        <v>4081</v>
      </c>
    </row>
    <row r="50" spans="2:3" x14ac:dyDescent="0.3">
      <c r="B50" s="3">
        <v>51</v>
      </c>
      <c r="C50" s="34" t="s">
        <v>4082</v>
      </c>
    </row>
    <row r="51" spans="2:3" x14ac:dyDescent="0.3">
      <c r="B51" s="3">
        <v>52</v>
      </c>
      <c r="C51" s="34" t="s">
        <v>4083</v>
      </c>
    </row>
    <row r="52" spans="2:3" x14ac:dyDescent="0.3">
      <c r="B52" s="3">
        <v>53</v>
      </c>
      <c r="C52" s="34" t="s">
        <v>4084</v>
      </c>
    </row>
    <row r="53" spans="2:3" x14ac:dyDescent="0.3">
      <c r="B53" s="3">
        <v>55</v>
      </c>
      <c r="C53" s="34" t="s">
        <v>4085</v>
      </c>
    </row>
    <row r="54" spans="2:3" x14ac:dyDescent="0.3">
      <c r="B54" s="3">
        <v>56</v>
      </c>
      <c r="C54" s="34" t="s">
        <v>4086</v>
      </c>
    </row>
    <row r="55" spans="2:3" x14ac:dyDescent="0.3">
      <c r="B55" s="3">
        <v>57</v>
      </c>
      <c r="C55" s="34" t="s">
        <v>4087</v>
      </c>
    </row>
    <row r="56" spans="2:3" x14ac:dyDescent="0.3">
      <c r="B56" s="3" t="s">
        <v>4088</v>
      </c>
      <c r="C56" s="34" t="s">
        <v>4089</v>
      </c>
    </row>
    <row r="57" spans="2:3" x14ac:dyDescent="0.3">
      <c r="B57" s="3">
        <v>61</v>
      </c>
      <c r="C57" s="34" t="s">
        <v>4091</v>
      </c>
    </row>
    <row r="58" spans="2:3" x14ac:dyDescent="0.3">
      <c r="B58" s="3">
        <v>62</v>
      </c>
      <c r="C58" s="34" t="s">
        <v>4090</v>
      </c>
    </row>
    <row r="59" spans="2:3" x14ac:dyDescent="0.3">
      <c r="B59" s="3">
        <v>63</v>
      </c>
      <c r="C59" s="34" t="s">
        <v>4092</v>
      </c>
    </row>
    <row r="60" spans="2:3" x14ac:dyDescent="0.3">
      <c r="B60" s="3">
        <v>64</v>
      </c>
      <c r="C60" s="34" t="s">
        <v>4093</v>
      </c>
    </row>
    <row r="61" spans="2:3" x14ac:dyDescent="0.3">
      <c r="B61" s="3">
        <v>65</v>
      </c>
      <c r="C61" s="34" t="s">
        <v>4094</v>
      </c>
    </row>
    <row r="62" spans="2:3" x14ac:dyDescent="0.3">
      <c r="B62" s="3">
        <v>66</v>
      </c>
      <c r="C62" s="34" t="s">
        <v>4095</v>
      </c>
    </row>
    <row r="63" spans="2:3" x14ac:dyDescent="0.3">
      <c r="B63" s="3">
        <v>67</v>
      </c>
      <c r="C63" s="34" t="s">
        <v>4096</v>
      </c>
    </row>
    <row r="64" spans="2:3" x14ac:dyDescent="0.3">
      <c r="B64" s="3">
        <v>68</v>
      </c>
      <c r="C64" s="34" t="s">
        <v>4097</v>
      </c>
    </row>
    <row r="65" spans="2:3" x14ac:dyDescent="0.3">
      <c r="B65" s="3">
        <v>69</v>
      </c>
      <c r="C65" s="34" t="s">
        <v>4098</v>
      </c>
    </row>
    <row r="66" spans="2:3" x14ac:dyDescent="0.3">
      <c r="B66" s="3">
        <v>71</v>
      </c>
      <c r="C66" s="34" t="s">
        <v>4100</v>
      </c>
    </row>
    <row r="67" spans="2:3" x14ac:dyDescent="0.3">
      <c r="B67" s="3">
        <v>72</v>
      </c>
      <c r="C67" s="30"/>
    </row>
  </sheetData>
  <hyperlinks>
    <hyperlink ref="C3" location="PS!A1" display="Daftar Program Studi" xr:uid="{43DCF855-A0BA-4C28-90E8-E99F0743E606}"/>
    <hyperlink ref="C4" location="Kebijakan!A1" display="Kebijakan" xr:uid="{443072C4-2B41-490C-B5EF-012EE29D2709}"/>
    <hyperlink ref="C5" location="'1. Kondisi Eksternal'!A1" display="Kondisi Eksternal" xr:uid="{7BEEDFB6-D20E-4076-8694-21144C38626B}"/>
    <hyperlink ref="C6" location="'3. Kesesuaian VMTS PT, UPPS, PS'!A1" display="Kesesuaian VMTS: PT, UPPS dan PS" xr:uid="{A76ED21E-89B2-4BA6-BAFE-71E7911F6D28}"/>
    <hyperlink ref="C7" location="'4. Penyusunan-Perubahan VMTS PS'!A1" display="Penyusunan/Perubahan VMTS PSTM" xr:uid="{C77A18EB-1196-4D8E-913A-0E5F7166FEDF}"/>
    <hyperlink ref="C8" location="'5. Pemahaman VMTS PS'!A1" display="Pemahamanan VSTM PSTM" xr:uid="{3AB28383-37E9-408F-AD2B-E36A0ABA23C1}"/>
    <hyperlink ref="C9" location="'10. Kerjasama - Pendidikan'!A1" display="Kerjasama Pendidikan" xr:uid="{BE8A48ED-6D27-4AC3-BF95-4A08F450B6B4}"/>
    <hyperlink ref="C10" location="'10. Kerjasama - Penelitian'!A1" display="Kerjasama Penelitian" xr:uid="{CE79CCBF-BA70-49BB-B76B-5B5DE88FE2D5}"/>
    <hyperlink ref="C11" location="'10. Kerjasama - PkM'!A1" display="Kerjasama PkM" xr:uid="{6898A11C-E7A8-49E9-9983-1B910863E386}"/>
    <hyperlink ref="C12" location="'13. Seleksi Mahasiswa'!A1" display="Seleksi Mahasiswa" xr:uid="{92025546-2C0E-4B22-A457-3392C4159DA5}"/>
    <hyperlink ref="C13" location="'14. Peningkatan Animo'!A1" display="Peningkatan Animo Calon Mahasiswa" xr:uid="{E8E090ED-B34D-4599-81F2-5FA30F14AF31}"/>
    <hyperlink ref="C14" location="'15A. Layanan Mhs (Beasiswa)'!A1" display="Layanan Beasiswa Mahasiswa" xr:uid="{CA1F5B9B-FC47-47E5-B578-98234C6D7338}"/>
    <hyperlink ref="C15" location="'15B. Nalar, Minat dan Bakat Mhs'!A1" display="Layanan Nalar, Minat dan Bakat Mahasiswa" xr:uid="{5731FDB0-28E9-4E40-9482-563A6A4D7AF5}"/>
    <hyperlink ref="C16" location="'16, 17, 18, 19 Data Dosen Tetap'!A1" display="Data DTPS" xr:uid="{E1DF3F39-9DA0-448C-9F37-453DE5F11411}"/>
    <hyperlink ref="C17" location="'20. Pembimbingan TA'!A1" display="Pembimbingan Tugas Akhir Mahasiswa" xr:uid="{6ACB3F99-A764-4205-9A51-0AA416BDA06A}"/>
    <hyperlink ref="C18" location="'21. EWMP'!A1" display="Ekuivalensi Waktu Mengajar Penuh" xr:uid="{A592EB4B-620C-4A64-B38C-26A4CC596748}"/>
    <hyperlink ref="C19" location="'22. Dosen Tidak Tetap'!A1" display="Data DTTPS" xr:uid="{99286D09-4F6A-4AFB-9BCD-3701CC44A566}"/>
    <hyperlink ref="C20" location="'Dosen Industri-Praktisi'!A1" display="Dosen Industri/Praktisi" xr:uid="{CF459645-96FA-4065-AC55-F4136C37F71D}"/>
    <hyperlink ref="C21" location="'23. Rekognisi Dosen'!A1" display="Rekognisi Dosen" xr:uid="{5FB9DEFE-B7A2-41A5-A8C7-799E1EEEA6BC}"/>
    <hyperlink ref="C22" location="'24,50,51. Penelitian Dosen-Mhs'!A1" display="Daftar Penelitian Dosen" xr:uid="{ABEE683C-D1FD-4CD9-A2C7-E206A470F420}"/>
    <hyperlink ref="C23" location="'25,52,53. PkM Dosen-Mhs'!A1" display="Daftar PkM Dosen" xr:uid="{64AC0FD7-BA8E-4504-A7AF-E09CB1123E2D}"/>
    <hyperlink ref="C24" location="'26&amp;66. Publikasi Dosen-Mhs'!A1" display="Publikasi Dosen" xr:uid="{DC145FA4-C1B3-4513-B0C0-497CE63B40D6}"/>
    <hyperlink ref="C25" location="'27. Sitasi Dosen'!A1" display="Sitasi Dosen" xr:uid="{ED1B5E70-ADC3-4B9F-B447-D3673B7A4D97}"/>
    <hyperlink ref="C26" location="'28&amp;67. Luaran Dosen-Mahasiswa'!A1" display="Luaran Dosen" xr:uid="{DD6D7B76-01D4-453D-B7E2-6257AD0FE7F9}"/>
    <hyperlink ref="C27" location="'29. Pengembangan Dosen'!A1" display="Pengembangan Dosen" xr:uid="{0142C8E1-53BF-4549-8C07-F64A2AB1202B}"/>
    <hyperlink ref="C28" location="'30. Tendik'!A1" display="Tenaga Kependidikan" xr:uid="{6C81D191-FD44-47ED-987E-F1FAFD6E2171}"/>
    <hyperlink ref="C29" location="'31, 32, 33. Keuangan'!A1" display="Keuangan Operasional Pendidikan" xr:uid="{BA6884F5-52CC-4DA6-AD65-CC51687B8914}"/>
    <hyperlink ref="C30" location="'31, 32, 33. Keuangan'!A1" display="Keuangan Penelitian Dosen" xr:uid="{3ABF762D-ABD0-4B29-8D81-B810C3381ED8}"/>
    <hyperlink ref="C31" location="'31, 32, 33. Keuangan'!A1" display="Keuangan PkM Dosen" xr:uid="{3F6E0C04-70B8-4BAA-A38E-537B4DDE246C}"/>
    <hyperlink ref="C32" location="'34. Reliasasi Investasi'!A1" display="Realisasi Investasi" xr:uid="{B350457F-49E2-4DFF-B217-1824E38BA862}"/>
    <hyperlink ref="C33" location="'34, 35. Reliasasi dan Kecukupan'!A1" display="Kecukupan Dana " xr:uid="{1F6B88A5-5347-467D-84CC-98CB6118836D}"/>
    <hyperlink ref="C34" location="'37. Kurikulum'!A1" display="Kurikulum" xr:uid="{056F1CF1-51C2-4B22-9C28-6249EE0FDA5F}"/>
    <hyperlink ref="C35" location="'38. Karakteristik Pembelajaran'!A1" display="Karakteristik Pembelajaran" xr:uid="{8478C4A7-C8A0-498F-8CF6-417826370CC7}"/>
    <hyperlink ref="C36" location="'39. Rencana Proses Pembelajaran'!A1" display="Rencana Proses Pembelajaran" xr:uid="{A35BC2C2-62CE-41FC-9379-FB533E2DD98A}"/>
    <hyperlink ref="C37" location="'40. Pelaksanaan Pembelajaran'!A1" display="Pelaksanaan Pembelajaran" xr:uid="{0E8E29ED-F376-4E10-87D0-637FF8DE9B52}"/>
    <hyperlink ref="C38" location="'41. RPS Kurikulum'!A1" display="RPS Kurikulum" xr:uid="{EFCE3077-E8FD-458B-B4AE-7C1335E511E3}"/>
    <hyperlink ref="C39" location="'42. Monev Proses Pembelajaran'!A1" display="Monev Proses Pembelajaran" xr:uid="{DA17150C-F19B-4900-82A7-63875425574B}"/>
    <hyperlink ref="C40" location="'43. Penilaian Pembelajaran'!A1" display="Penilaian Pembelajaran" xr:uid="{014D16E4-5622-45B9-997A-86025837C940}"/>
    <hyperlink ref="C41" location="'44. Basic Science'!A1" display="Matakuliah Basic Science" xr:uid="{3435D3D6-282A-48AC-B547-DEE196446BDE}"/>
    <hyperlink ref="C42" location="'45. MK Capstone Design'!A1" display="Matakuliah Capstone Design" xr:uid="{6CEDF609-1D57-4FCA-83D8-6CA944BE15BD}"/>
    <hyperlink ref="C43" location="'Distribusi Pembimbing TA'!A1" display="Distribusi Pembimbingan TA Mahasiswa" xr:uid="{00BD5A59-15FF-4BD6-AC29-FE23FBFB187B}"/>
    <hyperlink ref="C44" location="'46. MBKM'!A1" display="Program MBKM" xr:uid="{9F82496C-5BB5-435F-8F18-AC181F9FB8F5}"/>
    <hyperlink ref="C45" location="'46. Peserta MBKM'!A1" display="Mahasiswa Peserta MBKM" xr:uid="{F90AD827-CA43-46AC-90D5-7AA914E15601}"/>
    <hyperlink ref="C46" location="'47. Integrasi PenelitianPkMMK '!A1" display="Integrasi Penelitian dan PkM ke Matakuliah" xr:uid="{7C978B25-FC0C-40D9-B5CD-9F14F63BE304}"/>
    <hyperlink ref="C47" location="'48. Suasana Akademik'!A1" display="Susana Akademik" xr:uid="{10B547A2-BCE2-4FD3-AE2A-C4692DC2F7AC}"/>
    <hyperlink ref="C48" location="'49. Kepuasan Mahasiswa'!A1" display="Kepuasan Mahasiswa" xr:uid="{D90CB501-F19E-4F8F-85AC-6C2497E09DBF}"/>
    <hyperlink ref="C49" location="'50&amp;52 Roadmap Penelitian - PkM'!A1" display="Roadmap Penelitian" xr:uid="{4BBD25EC-739D-4DBB-89D3-1752C810B9D4}"/>
    <hyperlink ref="C50" location="'24,50,51. Penelitian Dosen-Mhs'!A1" display="Daftar Penelitian Dosen Melibatkan Mahasiswa" xr:uid="{43B604D7-A778-4B36-8DA8-9690D170AEE4}"/>
    <hyperlink ref="C51" location="'50&amp;52 Roadmap Penelitian - PkM'!A1" display="Roadmap Penelitian" xr:uid="{0D865174-3617-485F-AC32-2CBB51DEA286}"/>
    <hyperlink ref="C52" location="'25,52,53. PkM Dosen-Mhs'!A1" display="Daftar PkM Dosen Melibatkan Mahasiswa" xr:uid="{10B2E0FA-903F-4576-8425-495D52E2876B}"/>
    <hyperlink ref="C53" location="'55. IPK Mahasiswa'!A1" display="IPK Mahasiswa" xr:uid="{37C621A0-E9FB-4D1E-9178-15836C2EC142}"/>
    <hyperlink ref="C54" location="'56. Prestasi Akademik Mahasiswa'!A1" display="Prestasi Akademik Mahasiswa" xr:uid="{1BB79F70-19FD-4247-985B-084484306797}"/>
    <hyperlink ref="C55" location="'57. Prestasi Non-Akademik Mhs'!A1" display="Prestasi Non-Akademik Mahasiswa" xr:uid="{09897790-7E3E-468B-BC4D-543520E97D98}"/>
    <hyperlink ref="C56" location="'58, 59, 60. Masa Studi Lulusan'!A1" display="Masa Studi Lulusan" xr:uid="{BBA94B58-1EE4-40EA-ACB6-BF7F9BFE35E5}"/>
    <hyperlink ref="C58" location="'62. Waktu Tunggu Lulusan'!A1" display="Waktu Tunggu Lulusan" xr:uid="{F022A3EF-8E3D-4CEB-A95F-A3671462A88D}"/>
    <hyperlink ref="C57" location="'61. Tracer Study'!A1" display="Tracer Study" xr:uid="{221B62C9-DD25-424C-BAEA-3DB0F1D3A9D1}"/>
    <hyperlink ref="C59" location="'63. Kesesuaian Bidang Kerja'!A1" display="Kesesuaian Bidang Kerja Lulusan" xr:uid="{85B424EF-5B30-453B-999E-F7FA1306EB0F}"/>
    <hyperlink ref="C60" location="'64. Tempat Kerja Lulusan'!A1" display="Tempat Kerja Lulusan" xr:uid="{A9136C17-BE24-4C40-A787-98337BF45267}"/>
    <hyperlink ref="C61" location="'65. Kepuasan Pengguna'!A1" display="Kepuasan Pengguna Lulusan" xr:uid="{B34ABF7B-7704-47CE-AC23-D2F7BDA0BAEC}"/>
    <hyperlink ref="C62" location="'26&amp;66. Publikasi Dosen-Mhs'!A1" display="Publikasi Ilmiah Mahasiswa" xr:uid="{BD76416D-BB1C-4F09-ACBA-3D63ED88052E}"/>
    <hyperlink ref="C63" location="'28&amp;67. Luaran Dosen-Mahasiswa'!A1" display="Luaran Mahasiswa" xr:uid="{BAAE5412-CD6A-4A4A-B462-363513F76515}"/>
    <hyperlink ref="C64" location="'68. Penjaminan Mutu'!A1" display="Penjaminan Mutu" xr:uid="{4849102D-00C3-4B15-B962-23EF4D2CD054}"/>
    <hyperlink ref="C65" location="'69. Dokumen SPMI'!A1" display="Dokumen SPMI" xr:uid="{40F5B8A4-17E0-45B4-82B3-9011C76C187F}"/>
    <hyperlink ref="C66" location="'71. Survey Kepuasan Stakeholder'!A1" display="Survey Kepuasan Stakeholder" xr:uid="{2E1E93BB-312C-4C40-B2D3-5F9CCF7F736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AACC1-5B2D-4642-A6C7-5F4E0BBB8752}">
  <dimension ref="A2:H18"/>
  <sheetViews>
    <sheetView zoomScale="85" zoomScaleNormal="85" workbookViewId="0">
      <selection activeCell="B18" sqref="B18"/>
    </sheetView>
  </sheetViews>
  <sheetFormatPr defaultRowHeight="14.4" x14ac:dyDescent="0.3"/>
  <cols>
    <col min="1" max="1" width="3.88671875" style="10" customWidth="1"/>
    <col min="2" max="2" width="15.109375" bestFit="1" customWidth="1"/>
    <col min="3" max="3" width="19.109375" bestFit="1" customWidth="1"/>
    <col min="4" max="4" width="21.5546875" bestFit="1" customWidth="1"/>
    <col min="5" max="5" width="47.5546875" bestFit="1" customWidth="1"/>
    <col min="6" max="6" width="25.88671875" style="10" bestFit="1" customWidth="1"/>
    <col min="7" max="7" width="23.109375" style="10" bestFit="1" customWidth="1"/>
    <col min="8" max="8" width="72.77734375" bestFit="1" customWidth="1"/>
  </cols>
  <sheetData>
    <row r="2" spans="1:8" s="1" customFormat="1" x14ac:dyDescent="0.3">
      <c r="A2" s="369" t="s">
        <v>0</v>
      </c>
      <c r="B2" s="369" t="s">
        <v>1</v>
      </c>
      <c r="C2" s="369" t="s">
        <v>2</v>
      </c>
      <c r="D2" s="371" t="s">
        <v>3</v>
      </c>
      <c r="E2" s="372"/>
      <c r="F2" s="373"/>
      <c r="G2" s="369" t="s">
        <v>4</v>
      </c>
      <c r="H2" s="368" t="s">
        <v>5</v>
      </c>
    </row>
    <row r="3" spans="1:8" x14ac:dyDescent="0.3">
      <c r="A3" s="370"/>
      <c r="B3" s="370"/>
      <c r="C3" s="370"/>
      <c r="D3" s="2" t="s">
        <v>6</v>
      </c>
      <c r="E3" s="2" t="s">
        <v>7</v>
      </c>
      <c r="F3" s="2" t="s">
        <v>8</v>
      </c>
      <c r="G3" s="370"/>
      <c r="H3" s="368"/>
    </row>
    <row r="4" spans="1:8" x14ac:dyDescent="0.3">
      <c r="A4" s="3">
        <v>1</v>
      </c>
      <c r="B4" s="4" t="s">
        <v>9</v>
      </c>
      <c r="C4" s="4" t="s">
        <v>10</v>
      </c>
      <c r="D4" s="4" t="s">
        <v>11</v>
      </c>
      <c r="E4" s="4" t="s">
        <v>12</v>
      </c>
      <c r="F4" s="5">
        <v>45279</v>
      </c>
      <c r="G4" s="6">
        <v>660</v>
      </c>
      <c r="H4" s="7" t="s">
        <v>13</v>
      </c>
    </row>
    <row r="5" spans="1:8" x14ac:dyDescent="0.3">
      <c r="A5" s="3">
        <v>2</v>
      </c>
      <c r="B5" s="4" t="s">
        <v>14</v>
      </c>
      <c r="C5" s="4" t="s">
        <v>15</v>
      </c>
      <c r="D5" s="4" t="s">
        <v>16</v>
      </c>
      <c r="E5" s="4" t="s">
        <v>17</v>
      </c>
      <c r="F5" s="5">
        <v>46461</v>
      </c>
      <c r="G5" s="6">
        <v>651</v>
      </c>
      <c r="H5" s="7" t="s">
        <v>18</v>
      </c>
    </row>
    <row r="6" spans="1:8" x14ac:dyDescent="0.3">
      <c r="A6" s="3">
        <v>3</v>
      </c>
      <c r="B6" s="4" t="s">
        <v>9</v>
      </c>
      <c r="C6" s="4" t="s">
        <v>19</v>
      </c>
      <c r="D6" s="4" t="s">
        <v>11</v>
      </c>
      <c r="E6" s="4" t="s">
        <v>20</v>
      </c>
      <c r="F6" s="8">
        <v>45496</v>
      </c>
      <c r="G6" s="6">
        <v>691</v>
      </c>
      <c r="H6" s="7" t="s">
        <v>21</v>
      </c>
    </row>
    <row r="7" spans="1:8" x14ac:dyDescent="0.3">
      <c r="A7" s="3">
        <v>4</v>
      </c>
      <c r="B7" s="4" t="s">
        <v>9</v>
      </c>
      <c r="C7" s="4" t="s">
        <v>22</v>
      </c>
      <c r="D7" s="4" t="s">
        <v>23</v>
      </c>
      <c r="E7" s="4" t="s">
        <v>24</v>
      </c>
      <c r="F7" s="8">
        <v>46938</v>
      </c>
      <c r="G7" s="6">
        <v>388</v>
      </c>
      <c r="H7" s="7" t="s">
        <v>25</v>
      </c>
    </row>
    <row r="8" spans="1:8" x14ac:dyDescent="0.3">
      <c r="A8" s="3">
        <v>5</v>
      </c>
      <c r="B8" s="4" t="s">
        <v>9</v>
      </c>
      <c r="C8" s="4" t="s">
        <v>26</v>
      </c>
      <c r="D8" s="4" t="s">
        <v>11</v>
      </c>
      <c r="E8" s="4" t="s">
        <v>27</v>
      </c>
      <c r="F8" s="8">
        <v>45580</v>
      </c>
      <c r="G8" s="6">
        <v>384</v>
      </c>
      <c r="H8" s="7" t="s">
        <v>28</v>
      </c>
    </row>
    <row r="9" spans="1:8" x14ac:dyDescent="0.3">
      <c r="A9" s="3">
        <v>6</v>
      </c>
      <c r="B9" s="4" t="s">
        <v>9</v>
      </c>
      <c r="C9" s="4" t="s">
        <v>29</v>
      </c>
      <c r="D9" s="4" t="s">
        <v>30</v>
      </c>
      <c r="E9" s="4" t="s">
        <v>31</v>
      </c>
      <c r="F9" s="8">
        <v>45894</v>
      </c>
      <c r="G9" s="6">
        <v>268</v>
      </c>
      <c r="H9" s="7" t="s">
        <v>32</v>
      </c>
    </row>
    <row r="10" spans="1:8" x14ac:dyDescent="0.3">
      <c r="A10" s="3">
        <v>7</v>
      </c>
      <c r="B10" s="4" t="s">
        <v>9</v>
      </c>
      <c r="C10" s="4" t="s">
        <v>33</v>
      </c>
      <c r="D10" s="4" t="s">
        <v>30</v>
      </c>
      <c r="E10" s="4" t="s">
        <v>34</v>
      </c>
      <c r="F10" s="8">
        <v>46189</v>
      </c>
      <c r="G10" s="6">
        <v>177</v>
      </c>
      <c r="H10" s="7" t="s">
        <v>35</v>
      </c>
    </row>
    <row r="11" spans="1:8" x14ac:dyDescent="0.3">
      <c r="A11" s="3">
        <v>8</v>
      </c>
      <c r="B11" s="4" t="s">
        <v>36</v>
      </c>
      <c r="C11" s="4" t="s">
        <v>10</v>
      </c>
      <c r="D11" s="4" t="s">
        <v>23</v>
      </c>
      <c r="E11" s="4" t="s">
        <v>37</v>
      </c>
      <c r="F11" s="8">
        <v>46619</v>
      </c>
      <c r="G11" s="6">
        <v>32</v>
      </c>
      <c r="H11" s="7" t="s">
        <v>38</v>
      </c>
    </row>
    <row r="12" spans="1:8" x14ac:dyDescent="0.3">
      <c r="A12" s="3">
        <v>9</v>
      </c>
      <c r="B12" s="4" t="s">
        <v>36</v>
      </c>
      <c r="C12" s="4" t="s">
        <v>15</v>
      </c>
      <c r="D12" s="4" t="s">
        <v>39</v>
      </c>
      <c r="E12" s="9" t="s">
        <v>40</v>
      </c>
      <c r="F12" s="8">
        <v>45209</v>
      </c>
      <c r="G12" s="6">
        <v>12</v>
      </c>
      <c r="H12" s="7" t="s">
        <v>41</v>
      </c>
    </row>
    <row r="13" spans="1:8" x14ac:dyDescent="0.3">
      <c r="A13" s="3">
        <v>10</v>
      </c>
      <c r="B13" s="4" t="s">
        <v>36</v>
      </c>
      <c r="C13" s="4" t="s">
        <v>42</v>
      </c>
      <c r="D13" s="4" t="s">
        <v>39</v>
      </c>
      <c r="E13" s="4" t="s">
        <v>43</v>
      </c>
      <c r="F13" s="8">
        <v>45391</v>
      </c>
      <c r="G13" s="6">
        <v>50</v>
      </c>
      <c r="H13" s="7" t="s">
        <v>44</v>
      </c>
    </row>
    <row r="14" spans="1:8" x14ac:dyDescent="0.3">
      <c r="A14" s="3">
        <v>11</v>
      </c>
      <c r="B14" s="4" t="s">
        <v>36</v>
      </c>
      <c r="C14" s="4" t="s">
        <v>19</v>
      </c>
      <c r="D14" s="4" t="s">
        <v>30</v>
      </c>
      <c r="E14" s="4" t="s">
        <v>45</v>
      </c>
      <c r="F14" s="8">
        <v>46167</v>
      </c>
      <c r="G14" s="6">
        <v>31</v>
      </c>
      <c r="H14" s="7" t="s">
        <v>46</v>
      </c>
    </row>
    <row r="15" spans="1:8" x14ac:dyDescent="0.3">
      <c r="A15" s="3">
        <v>12</v>
      </c>
      <c r="B15" s="4" t="s">
        <v>47</v>
      </c>
      <c r="C15" s="4" t="s">
        <v>10</v>
      </c>
      <c r="D15" s="4" t="s">
        <v>30</v>
      </c>
      <c r="E15" s="4" t="s">
        <v>48</v>
      </c>
      <c r="F15" s="8">
        <v>46167</v>
      </c>
      <c r="G15" s="6">
        <v>9</v>
      </c>
      <c r="H15" s="7" t="s">
        <v>49</v>
      </c>
    </row>
    <row r="18" spans="2:2" ht="23.4" x14ac:dyDescent="0.3">
      <c r="B18" s="312" t="s">
        <v>4039</v>
      </c>
    </row>
  </sheetData>
  <protectedRanges>
    <protectedRange sqref="E12" name="Tabel Program Studi_1"/>
    <protectedRange sqref="G4:G15" name="Tabel Program Studi_2"/>
  </protectedRanges>
  <mergeCells count="6">
    <mergeCell ref="H2:H3"/>
    <mergeCell ref="A2:A3"/>
    <mergeCell ref="B2:B3"/>
    <mergeCell ref="C2:C3"/>
    <mergeCell ref="D2:F2"/>
    <mergeCell ref="G2:G3"/>
  </mergeCells>
  <dataValidations count="1">
    <dataValidation type="decimal" operator="greaterThanOrEqual" allowBlank="1" showDropDown="1" showInputMessage="1" showErrorMessage="1" prompt="Data harus diisi dalam bentuk angka" sqref="G4:G15" xr:uid="{304FC11E-8B24-46A4-B33B-DB0A0BB9C2FE}">
      <formula1>0</formula1>
    </dataValidation>
  </dataValidations>
  <hyperlinks>
    <hyperlink ref="H4" r:id="rId1" xr:uid="{E1D0C35A-DCDB-45FB-8B84-6C71B74878A6}"/>
    <hyperlink ref="H5" r:id="rId2" xr:uid="{0C132EA2-F6AA-4C40-8D74-D63059F3CFAF}"/>
    <hyperlink ref="H6" r:id="rId3" xr:uid="{10047C02-6911-429C-BF8E-02A7F6694921}"/>
    <hyperlink ref="H7" r:id="rId4" xr:uid="{BE0E898C-E19A-4FF1-898F-B001A5E5C30A}"/>
    <hyperlink ref="H8" r:id="rId5" xr:uid="{7250270D-B697-4895-9AF6-7559EC90B421}"/>
    <hyperlink ref="H9" r:id="rId6" xr:uid="{2DFABA60-9844-4A93-9B48-E7FDA34B54F9}"/>
    <hyperlink ref="H10" r:id="rId7" xr:uid="{509A5AC4-3729-4CBA-A7BB-F0F365ED7A7D}"/>
    <hyperlink ref="H11" r:id="rId8" xr:uid="{20FFD51B-BF1A-4695-852B-3683FB85AD81}"/>
    <hyperlink ref="H12" r:id="rId9" xr:uid="{2A0D493E-FE6A-4D66-846D-ABAAF11E58D7}"/>
    <hyperlink ref="H14" r:id="rId10" xr:uid="{725E7167-DB73-444E-AB38-C74827579782}"/>
    <hyperlink ref="H13" r:id="rId11" xr:uid="{EE0C9D17-8147-468A-B73C-BAE808E42740}"/>
    <hyperlink ref="H15" r:id="rId12" xr:uid="{D96273BD-DA23-4C6C-8634-77E80C0813B0}"/>
    <hyperlink ref="B18" location="'Daftar Sheet'!A1" display="&lt;&lt;&lt; Daftar Sheet" xr:uid="{D7680994-9814-4ED5-A710-D54A82C7AB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814C-CFE9-4CA5-9150-524DC117B804}">
  <dimension ref="A2:F46"/>
  <sheetViews>
    <sheetView zoomScaleNormal="100" workbookViewId="0">
      <pane xSplit="1" ySplit="2" topLeftCell="B42" activePane="bottomRight" state="frozen"/>
      <selection pane="topRight" activeCell="B1" sqref="B1"/>
      <selection pane="bottomLeft" activeCell="A3" sqref="A3"/>
      <selection pane="bottomRight" activeCell="B46" sqref="B46"/>
    </sheetView>
  </sheetViews>
  <sheetFormatPr defaultRowHeight="14.4" x14ac:dyDescent="0.3"/>
  <cols>
    <col min="1" max="1" width="3.88671875" style="209" bestFit="1" customWidth="1"/>
    <col min="2" max="2" width="21.109375" style="221" customWidth="1"/>
    <col min="3" max="3" width="36" style="212" bestFit="1" customWidth="1"/>
    <col min="4" max="4" width="36.88671875" style="210" customWidth="1"/>
    <col min="5" max="5" width="55.5546875" style="211" bestFit="1" customWidth="1"/>
    <col min="6" max="6" width="130.21875" style="211" bestFit="1" customWidth="1"/>
  </cols>
  <sheetData>
    <row r="2" spans="1:6" ht="39.6" x14ac:dyDescent="0.3">
      <c r="A2" s="207" t="s">
        <v>51</v>
      </c>
      <c r="B2" s="208" t="s">
        <v>1989</v>
      </c>
      <c r="C2" s="208" t="s">
        <v>1993</v>
      </c>
      <c r="D2" s="208" t="s">
        <v>1999</v>
      </c>
      <c r="E2" s="207" t="s">
        <v>1992</v>
      </c>
      <c r="F2" s="207" t="s">
        <v>137</v>
      </c>
    </row>
    <row r="3" spans="1:6" x14ac:dyDescent="0.3">
      <c r="A3" s="213">
        <v>1</v>
      </c>
      <c r="B3" s="214" t="s">
        <v>1994</v>
      </c>
      <c r="C3" s="214" t="s">
        <v>1995</v>
      </c>
      <c r="D3" s="214" t="s">
        <v>1991</v>
      </c>
      <c r="E3" s="215" t="s">
        <v>2000</v>
      </c>
      <c r="F3" s="216" t="s">
        <v>1990</v>
      </c>
    </row>
    <row r="4" spans="1:6" ht="26.4" x14ac:dyDescent="0.3">
      <c r="A4" s="213">
        <v>2</v>
      </c>
      <c r="B4" s="217" t="s">
        <v>1996</v>
      </c>
      <c r="C4" s="217" t="s">
        <v>1997</v>
      </c>
      <c r="D4" s="214" t="s">
        <v>1998</v>
      </c>
      <c r="E4" s="218" t="s">
        <v>2004</v>
      </c>
      <c r="F4" s="7" t="s">
        <v>2001</v>
      </c>
    </row>
    <row r="5" spans="1:6" ht="23.55" customHeight="1" x14ac:dyDescent="0.3">
      <c r="A5" s="374">
        <v>3</v>
      </c>
      <c r="B5" s="376" t="s">
        <v>1996</v>
      </c>
      <c r="C5" s="376" t="s">
        <v>2002</v>
      </c>
      <c r="D5" s="378" t="s">
        <v>2003</v>
      </c>
      <c r="E5" s="218" t="s">
        <v>2006</v>
      </c>
      <c r="F5" s="380" t="s">
        <v>2007</v>
      </c>
    </row>
    <row r="6" spans="1:6" ht="29.55" customHeight="1" x14ac:dyDescent="0.3">
      <c r="A6" s="375"/>
      <c r="B6" s="377"/>
      <c r="C6" s="377"/>
      <c r="D6" s="379"/>
      <c r="E6" s="218" t="s">
        <v>2005</v>
      </c>
      <c r="F6" s="377"/>
    </row>
    <row r="7" spans="1:6" ht="26.4" x14ac:dyDescent="0.3">
      <c r="A7" s="213">
        <v>4</v>
      </c>
      <c r="B7" s="217" t="s">
        <v>2008</v>
      </c>
      <c r="C7" s="217" t="s">
        <v>2009</v>
      </c>
      <c r="D7" s="214" t="s">
        <v>2010</v>
      </c>
      <c r="E7" s="218" t="s">
        <v>2011</v>
      </c>
      <c r="F7" s="7" t="s">
        <v>2012</v>
      </c>
    </row>
    <row r="8" spans="1:6" ht="39.6" x14ac:dyDescent="0.3">
      <c r="A8" s="213">
        <v>5</v>
      </c>
      <c r="B8" s="217" t="s">
        <v>1996</v>
      </c>
      <c r="C8" s="217" t="s">
        <v>2013</v>
      </c>
      <c r="D8" s="214" t="s">
        <v>2014</v>
      </c>
      <c r="E8" s="218" t="s">
        <v>2015</v>
      </c>
      <c r="F8" s="7" t="s">
        <v>2016</v>
      </c>
    </row>
    <row r="9" spans="1:6" ht="52.8" x14ac:dyDescent="0.3">
      <c r="A9" s="213">
        <v>6</v>
      </c>
      <c r="B9" s="217" t="s">
        <v>1996</v>
      </c>
      <c r="C9" s="217" t="s">
        <v>2017</v>
      </c>
      <c r="D9" s="214" t="s">
        <v>2018</v>
      </c>
      <c r="E9" s="218" t="s">
        <v>2019</v>
      </c>
      <c r="F9" s="7" t="s">
        <v>2020</v>
      </c>
    </row>
    <row r="10" spans="1:6" x14ac:dyDescent="0.3">
      <c r="A10" s="213">
        <v>7</v>
      </c>
      <c r="B10" s="217" t="s">
        <v>2021</v>
      </c>
      <c r="C10" s="217" t="s">
        <v>2022</v>
      </c>
      <c r="D10" s="214" t="s">
        <v>2023</v>
      </c>
      <c r="E10" s="218" t="s">
        <v>2024</v>
      </c>
      <c r="F10" s="7" t="s">
        <v>2025</v>
      </c>
    </row>
    <row r="11" spans="1:6" ht="26.4" x14ac:dyDescent="0.3">
      <c r="A11" s="213">
        <v>8</v>
      </c>
      <c r="B11" s="217" t="s">
        <v>2021</v>
      </c>
      <c r="C11" s="217" t="s">
        <v>2033</v>
      </c>
      <c r="D11" s="214" t="s">
        <v>2034</v>
      </c>
      <c r="E11" s="218" t="s">
        <v>2024</v>
      </c>
      <c r="F11" s="7" t="s">
        <v>2035</v>
      </c>
    </row>
    <row r="12" spans="1:6" ht="39.6" x14ac:dyDescent="0.3">
      <c r="A12" s="213">
        <v>9</v>
      </c>
      <c r="B12" s="214" t="s">
        <v>2036</v>
      </c>
      <c r="C12" s="217"/>
      <c r="D12" s="214"/>
      <c r="E12" s="218" t="s">
        <v>2037</v>
      </c>
      <c r="F12" s="7" t="s">
        <v>2038</v>
      </c>
    </row>
    <row r="13" spans="1:6" ht="39.6" x14ac:dyDescent="0.3">
      <c r="A13" s="213">
        <v>10</v>
      </c>
      <c r="B13" s="214" t="s">
        <v>2039</v>
      </c>
      <c r="C13" s="217"/>
      <c r="D13" s="214"/>
      <c r="E13" s="218" t="s">
        <v>2040</v>
      </c>
      <c r="F13" s="7" t="s">
        <v>2041</v>
      </c>
    </row>
    <row r="14" spans="1:6" ht="39.6" x14ac:dyDescent="0.3">
      <c r="A14" s="213">
        <v>11</v>
      </c>
      <c r="B14" s="217" t="s">
        <v>2043</v>
      </c>
      <c r="C14" s="217" t="s">
        <v>2044</v>
      </c>
      <c r="D14" s="214" t="s">
        <v>2045</v>
      </c>
      <c r="E14" s="218" t="s">
        <v>2037</v>
      </c>
      <c r="F14" s="7" t="s">
        <v>2046</v>
      </c>
    </row>
    <row r="15" spans="1:6" ht="26.4" x14ac:dyDescent="0.3">
      <c r="A15" s="213">
        <v>12</v>
      </c>
      <c r="B15" s="217" t="s">
        <v>2043</v>
      </c>
      <c r="C15" s="217" t="s">
        <v>2047</v>
      </c>
      <c r="D15" s="214" t="s">
        <v>2048</v>
      </c>
      <c r="E15" s="218" t="s">
        <v>2037</v>
      </c>
      <c r="F15" s="7" t="s">
        <v>2049</v>
      </c>
    </row>
    <row r="16" spans="1:6" ht="52.8" x14ac:dyDescent="0.3">
      <c r="A16" s="213">
        <v>13</v>
      </c>
      <c r="B16" s="217" t="s">
        <v>2021</v>
      </c>
      <c r="C16" s="217" t="s">
        <v>2050</v>
      </c>
      <c r="D16" s="214" t="s">
        <v>2051</v>
      </c>
      <c r="E16" s="218" t="s">
        <v>2024</v>
      </c>
      <c r="F16" s="7" t="s">
        <v>2052</v>
      </c>
    </row>
    <row r="17" spans="1:6" ht="39.6" x14ac:dyDescent="0.3">
      <c r="A17" s="213">
        <v>14</v>
      </c>
      <c r="B17" s="217" t="s">
        <v>2021</v>
      </c>
      <c r="C17" s="217" t="s">
        <v>2053</v>
      </c>
      <c r="D17" s="214" t="s">
        <v>2054</v>
      </c>
      <c r="E17" s="218" t="s">
        <v>2024</v>
      </c>
      <c r="F17" s="7" t="s">
        <v>2055</v>
      </c>
    </row>
    <row r="18" spans="1:6" x14ac:dyDescent="0.3">
      <c r="A18" s="213">
        <v>15</v>
      </c>
      <c r="B18" s="217" t="s">
        <v>2056</v>
      </c>
      <c r="C18" s="217" t="s">
        <v>2057</v>
      </c>
      <c r="D18" s="214" t="s">
        <v>2058</v>
      </c>
      <c r="E18" s="218" t="s">
        <v>2011</v>
      </c>
      <c r="F18" s="7" t="s">
        <v>2059</v>
      </c>
    </row>
    <row r="19" spans="1:6" ht="26.4" x14ac:dyDescent="0.3">
      <c r="A19" s="213">
        <v>16</v>
      </c>
      <c r="B19" s="217" t="s">
        <v>2008</v>
      </c>
      <c r="C19" s="217" t="s">
        <v>2060</v>
      </c>
      <c r="D19" s="214" t="s">
        <v>2061</v>
      </c>
      <c r="E19" s="218" t="s">
        <v>2062</v>
      </c>
      <c r="F19" s="7" t="s">
        <v>2063</v>
      </c>
    </row>
    <row r="20" spans="1:6" ht="26.4" x14ac:dyDescent="0.3">
      <c r="A20" s="213">
        <v>17</v>
      </c>
      <c r="B20" s="217" t="s">
        <v>2021</v>
      </c>
      <c r="C20" s="217" t="s">
        <v>2064</v>
      </c>
      <c r="D20" s="214" t="s">
        <v>2065</v>
      </c>
      <c r="E20" s="215" t="s">
        <v>2066</v>
      </c>
      <c r="F20" s="7" t="s">
        <v>2067</v>
      </c>
    </row>
    <row r="21" spans="1:6" ht="26.4" x14ac:dyDescent="0.3">
      <c r="A21" s="213">
        <v>18</v>
      </c>
      <c r="B21" s="217" t="s">
        <v>2021</v>
      </c>
      <c r="C21" s="217" t="s">
        <v>2068</v>
      </c>
      <c r="D21" s="214" t="s">
        <v>2069</v>
      </c>
      <c r="E21" s="215" t="s">
        <v>2066</v>
      </c>
      <c r="F21" s="7" t="s">
        <v>2070</v>
      </c>
    </row>
    <row r="22" spans="1:6" x14ac:dyDescent="0.3">
      <c r="A22" s="213">
        <v>19</v>
      </c>
      <c r="B22" s="217" t="s">
        <v>2043</v>
      </c>
      <c r="C22" s="217" t="s">
        <v>2071</v>
      </c>
      <c r="D22" s="214" t="s">
        <v>2072</v>
      </c>
      <c r="E22" s="218" t="s">
        <v>2074</v>
      </c>
      <c r="F22" s="7" t="s">
        <v>2073</v>
      </c>
    </row>
    <row r="23" spans="1:6" ht="26.4" x14ac:dyDescent="0.3">
      <c r="A23" s="213">
        <v>20</v>
      </c>
      <c r="B23" s="217" t="s">
        <v>2043</v>
      </c>
      <c r="C23" s="217" t="s">
        <v>2075</v>
      </c>
      <c r="D23" s="214" t="s">
        <v>2076</v>
      </c>
      <c r="E23" s="218" t="s">
        <v>2074</v>
      </c>
      <c r="F23" s="7" t="s">
        <v>2077</v>
      </c>
    </row>
    <row r="24" spans="1:6" x14ac:dyDescent="0.3">
      <c r="A24" s="213">
        <v>21</v>
      </c>
      <c r="B24" s="217" t="s">
        <v>2078</v>
      </c>
      <c r="C24" s="217" t="s">
        <v>2079</v>
      </c>
      <c r="D24" s="214" t="s">
        <v>2080</v>
      </c>
      <c r="E24" s="218" t="s">
        <v>2062</v>
      </c>
      <c r="F24" s="7" t="s">
        <v>2081</v>
      </c>
    </row>
    <row r="25" spans="1:6" ht="26.4" x14ac:dyDescent="0.3">
      <c r="A25" s="213">
        <v>22</v>
      </c>
      <c r="B25" s="217" t="s">
        <v>2043</v>
      </c>
      <c r="C25" s="217" t="s">
        <v>2082</v>
      </c>
      <c r="D25" s="214" t="s">
        <v>2083</v>
      </c>
      <c r="E25" s="218" t="s">
        <v>2037</v>
      </c>
      <c r="F25" s="7" t="s">
        <v>2084</v>
      </c>
    </row>
    <row r="26" spans="1:6" x14ac:dyDescent="0.3">
      <c r="A26" s="213">
        <v>23</v>
      </c>
      <c r="B26" s="217" t="s">
        <v>2021</v>
      </c>
      <c r="C26" s="217" t="s">
        <v>2085</v>
      </c>
      <c r="D26" s="214" t="s">
        <v>2086</v>
      </c>
      <c r="E26" s="218" t="s">
        <v>2087</v>
      </c>
      <c r="F26" s="7" t="s">
        <v>2088</v>
      </c>
    </row>
    <row r="27" spans="1:6" ht="52.8" x14ac:dyDescent="0.3">
      <c r="A27" s="213">
        <v>24</v>
      </c>
      <c r="B27" s="217" t="s">
        <v>2021</v>
      </c>
      <c r="C27" s="217" t="s">
        <v>2089</v>
      </c>
      <c r="D27" s="214" t="s">
        <v>2090</v>
      </c>
      <c r="E27" s="218" t="s">
        <v>2087</v>
      </c>
      <c r="F27" s="7" t="s">
        <v>2091</v>
      </c>
    </row>
    <row r="28" spans="1:6" x14ac:dyDescent="0.3">
      <c r="A28" s="213">
        <v>25</v>
      </c>
      <c r="B28" s="217" t="s">
        <v>2021</v>
      </c>
      <c r="C28" s="217" t="s">
        <v>2092</v>
      </c>
      <c r="D28" s="214" t="s">
        <v>2093</v>
      </c>
      <c r="E28" s="218" t="s">
        <v>2094</v>
      </c>
      <c r="F28" s="7" t="s">
        <v>2095</v>
      </c>
    </row>
    <row r="29" spans="1:6" x14ac:dyDescent="0.3">
      <c r="A29" s="213">
        <v>26</v>
      </c>
      <c r="B29" s="217" t="s">
        <v>2008</v>
      </c>
      <c r="C29" s="217" t="s">
        <v>2096</v>
      </c>
      <c r="D29" s="214" t="s">
        <v>2097</v>
      </c>
      <c r="E29" s="218" t="s">
        <v>2011</v>
      </c>
      <c r="F29" s="7" t="s">
        <v>2098</v>
      </c>
    </row>
    <row r="30" spans="1:6" x14ac:dyDescent="0.3">
      <c r="A30" s="213">
        <v>27</v>
      </c>
      <c r="B30" s="217" t="s">
        <v>2021</v>
      </c>
      <c r="C30" s="217" t="s">
        <v>2099</v>
      </c>
      <c r="D30" s="214" t="s">
        <v>2100</v>
      </c>
      <c r="E30" s="218" t="s">
        <v>2024</v>
      </c>
      <c r="F30" s="7" t="s">
        <v>2101</v>
      </c>
    </row>
    <row r="31" spans="1:6" x14ac:dyDescent="0.3">
      <c r="A31" s="223">
        <v>28</v>
      </c>
      <c r="B31" s="217" t="s">
        <v>2043</v>
      </c>
      <c r="C31" s="224" t="s">
        <v>2102</v>
      </c>
      <c r="D31" s="214" t="s">
        <v>2103</v>
      </c>
      <c r="E31" s="218" t="s">
        <v>2037</v>
      </c>
      <c r="F31" s="34" t="s">
        <v>2104</v>
      </c>
    </row>
    <row r="32" spans="1:6" s="26" customFormat="1" ht="52.8" x14ac:dyDescent="0.3">
      <c r="A32" s="213">
        <v>29</v>
      </c>
      <c r="B32" s="214" t="s">
        <v>2105</v>
      </c>
      <c r="C32" s="217"/>
      <c r="D32" s="214"/>
      <c r="E32" s="218" t="s">
        <v>2106</v>
      </c>
      <c r="F32" s="7" t="s">
        <v>2107</v>
      </c>
    </row>
    <row r="33" spans="1:6" ht="39.6" x14ac:dyDescent="0.3">
      <c r="A33" s="213">
        <v>30</v>
      </c>
      <c r="B33" s="214" t="s">
        <v>2109</v>
      </c>
      <c r="C33" s="224"/>
      <c r="D33" s="214"/>
      <c r="E33" s="218" t="s">
        <v>2106</v>
      </c>
      <c r="F33" s="7" t="s">
        <v>2108</v>
      </c>
    </row>
    <row r="34" spans="1:6" ht="26.4" x14ac:dyDescent="0.3">
      <c r="A34" s="213">
        <v>31</v>
      </c>
      <c r="B34" s="217" t="s">
        <v>2043</v>
      </c>
      <c r="C34" s="217" t="s">
        <v>2110</v>
      </c>
      <c r="D34" s="214" t="s">
        <v>2111</v>
      </c>
      <c r="E34" s="218" t="s">
        <v>2037</v>
      </c>
      <c r="F34" s="34" t="s">
        <v>2112</v>
      </c>
    </row>
    <row r="35" spans="1:6" ht="26.4" x14ac:dyDescent="0.3">
      <c r="A35" s="223">
        <v>32</v>
      </c>
      <c r="B35" s="214" t="s">
        <v>2119</v>
      </c>
      <c r="C35" s="224"/>
      <c r="D35" s="214"/>
      <c r="E35" s="218" t="s">
        <v>2120</v>
      </c>
      <c r="F35" s="7" t="s">
        <v>4120</v>
      </c>
    </row>
    <row r="36" spans="1:6" ht="26.4" x14ac:dyDescent="0.3">
      <c r="A36" s="213">
        <v>33</v>
      </c>
      <c r="B36" s="214" t="s">
        <v>2121</v>
      </c>
      <c r="C36" s="224"/>
      <c r="D36" s="214"/>
      <c r="E36" s="218" t="s">
        <v>2120</v>
      </c>
      <c r="F36" s="7" t="s">
        <v>4121</v>
      </c>
    </row>
    <row r="37" spans="1:6" ht="26.4" x14ac:dyDescent="0.3">
      <c r="A37" s="213">
        <v>34</v>
      </c>
      <c r="B37" s="214" t="s">
        <v>2122</v>
      </c>
      <c r="C37" s="224"/>
      <c r="D37" s="214"/>
      <c r="E37" s="218" t="s">
        <v>2120</v>
      </c>
      <c r="F37" s="7" t="s">
        <v>4122</v>
      </c>
    </row>
    <row r="38" spans="1:6" ht="39.6" x14ac:dyDescent="0.3">
      <c r="A38" s="213">
        <v>35</v>
      </c>
      <c r="B38" s="214" t="s">
        <v>3843</v>
      </c>
      <c r="C38" s="224"/>
      <c r="D38" s="214"/>
      <c r="E38" s="218"/>
      <c r="F38" s="7" t="s">
        <v>3856</v>
      </c>
    </row>
    <row r="39" spans="1:6" ht="39.6" x14ac:dyDescent="0.3">
      <c r="A39" s="223">
        <v>36</v>
      </c>
      <c r="B39" s="214" t="s">
        <v>3844</v>
      </c>
      <c r="C39" s="224"/>
      <c r="D39" s="214"/>
      <c r="E39" s="218" t="s">
        <v>3849</v>
      </c>
      <c r="F39" s="7" t="s">
        <v>3850</v>
      </c>
    </row>
    <row r="40" spans="1:6" ht="39.6" x14ac:dyDescent="0.3">
      <c r="A40" s="213">
        <v>37</v>
      </c>
      <c r="B40" s="214" t="s">
        <v>3845</v>
      </c>
      <c r="C40" s="224"/>
      <c r="D40" s="214"/>
      <c r="E40" s="225"/>
      <c r="F40" s="225"/>
    </row>
    <row r="41" spans="1:6" ht="39.6" x14ac:dyDescent="0.3">
      <c r="A41" s="213">
        <v>38</v>
      </c>
      <c r="B41" s="214" t="s">
        <v>3847</v>
      </c>
      <c r="C41" s="224"/>
      <c r="D41" s="214"/>
      <c r="E41" s="218" t="s">
        <v>3852</v>
      </c>
      <c r="F41" s="7" t="s">
        <v>3851</v>
      </c>
    </row>
    <row r="42" spans="1:6" ht="39.6" x14ac:dyDescent="0.3">
      <c r="A42" s="213">
        <v>39</v>
      </c>
      <c r="B42" s="214" t="s">
        <v>3848</v>
      </c>
      <c r="C42" s="224"/>
      <c r="D42" s="214"/>
      <c r="E42" s="218" t="s">
        <v>3852</v>
      </c>
      <c r="F42" s="7" t="s">
        <v>3853</v>
      </c>
    </row>
    <row r="43" spans="1:6" ht="39.6" x14ac:dyDescent="0.3">
      <c r="A43" s="213">
        <v>40</v>
      </c>
      <c r="B43" s="214" t="s">
        <v>3846</v>
      </c>
      <c r="C43" s="224"/>
      <c r="D43" s="214"/>
      <c r="E43" s="218" t="s">
        <v>3852</v>
      </c>
      <c r="F43" s="7" t="s">
        <v>3855</v>
      </c>
    </row>
    <row r="44" spans="1:6" ht="66" x14ac:dyDescent="0.3">
      <c r="A44" s="213">
        <v>41</v>
      </c>
      <c r="B44" s="214" t="s">
        <v>4118</v>
      </c>
      <c r="C44" s="224"/>
      <c r="D44" s="214"/>
      <c r="E44" s="215" t="s">
        <v>4119</v>
      </c>
      <c r="F44" s="7" t="s">
        <v>4117</v>
      </c>
    </row>
    <row r="46" spans="1:6" ht="23.4" x14ac:dyDescent="0.3">
      <c r="B46" s="312" t="s">
        <v>4039</v>
      </c>
    </row>
  </sheetData>
  <mergeCells count="5">
    <mergeCell ref="A5:A6"/>
    <mergeCell ref="B5:B6"/>
    <mergeCell ref="C5:C6"/>
    <mergeCell ref="D5:D6"/>
    <mergeCell ref="F5:F6"/>
  </mergeCells>
  <hyperlinks>
    <hyperlink ref="F3" r:id="rId1" xr:uid="{2C403265-5EA4-4260-8783-6A4D002DB813}"/>
    <hyperlink ref="F4" r:id="rId2" xr:uid="{DDAC4FF0-3270-4D03-A2F5-7BB66097797C}"/>
    <hyperlink ref="F5" r:id="rId3" xr:uid="{AEB1F24E-3711-4872-A695-36A088C09989}"/>
    <hyperlink ref="F7" r:id="rId4" xr:uid="{624CB4A1-C7D0-4D60-926C-697D4D98209F}"/>
    <hyperlink ref="F8" r:id="rId5" xr:uid="{8F6715A7-9B60-4B94-97C6-A1392BB2D4F0}"/>
    <hyperlink ref="F9" r:id="rId6" xr:uid="{6FF3FCE1-F727-4EF2-8D4C-8F95CE4E5776}"/>
    <hyperlink ref="F10" r:id="rId7" xr:uid="{7C5644E2-6C3C-4458-A6F9-7C9505277A69}"/>
    <hyperlink ref="F11" r:id="rId8" xr:uid="{C39200FC-6F28-4A35-9A87-76099E7A33C7}"/>
    <hyperlink ref="F12" r:id="rId9" xr:uid="{88A435DE-29A7-4685-B49C-361807A7D9F9}"/>
    <hyperlink ref="F13" r:id="rId10" xr:uid="{9F043E67-C551-46DF-A22D-3B0873635E98}"/>
    <hyperlink ref="F14" r:id="rId11" xr:uid="{97997182-B94D-45CD-BAED-E35BFF515D59}"/>
    <hyperlink ref="F15" r:id="rId12" xr:uid="{F4E8D8AC-0819-4094-8A06-3A0A65266A63}"/>
    <hyperlink ref="F16" r:id="rId13" xr:uid="{8815EED7-91BE-4DE8-B76C-CC319BF82EB7}"/>
    <hyperlink ref="F17" r:id="rId14" xr:uid="{4E80D6C3-15BA-4C92-9DDE-51BB91962DEC}"/>
    <hyperlink ref="F18" r:id="rId15" xr:uid="{B83E655F-B85A-4ACC-BBFD-2ED7720DC813}"/>
    <hyperlink ref="F19" r:id="rId16" xr:uid="{E73506BC-C101-4FDC-8143-A6DF9245BC8C}"/>
    <hyperlink ref="F20" r:id="rId17" xr:uid="{29185574-9374-4A14-8114-70F3A57ED7BD}"/>
    <hyperlink ref="F21" r:id="rId18" xr:uid="{CACA3D6D-2555-48D2-BC9D-D71B02C16436}"/>
    <hyperlink ref="F22" r:id="rId19" xr:uid="{EF2B7982-DF6C-4572-BF2E-4813CDBFBB98}"/>
    <hyperlink ref="F23" r:id="rId20" xr:uid="{D6606570-6DB3-4B59-8DAD-2659518201F4}"/>
    <hyperlink ref="F24" r:id="rId21" xr:uid="{9D68C1DC-C0D3-4340-A256-B8709055900E}"/>
    <hyperlink ref="F25" r:id="rId22" xr:uid="{50DC1EFE-8440-47FE-BC1C-E32BFAC1DADE}"/>
    <hyperlink ref="F26" r:id="rId23" xr:uid="{C589BABB-384E-487D-88CA-FFB103D4B80D}"/>
    <hyperlink ref="F27" r:id="rId24" xr:uid="{FB25F0D2-47B2-4E6D-B596-132506EE311B}"/>
    <hyperlink ref="F28" r:id="rId25" xr:uid="{623DE3E3-CA54-4F54-819E-3436F02CD7AD}"/>
    <hyperlink ref="F29" r:id="rId26" xr:uid="{1DA638B9-D238-4A59-AA0E-AB1E80C4BBB3}"/>
    <hyperlink ref="F30" r:id="rId27" xr:uid="{77B0C626-C82A-4390-8A80-4647E5D814AE}"/>
    <hyperlink ref="F31" r:id="rId28" xr:uid="{632D5AB7-26BC-43D3-AD6C-774B4FBB925E}"/>
    <hyperlink ref="F32" r:id="rId29" xr:uid="{D37A6FC3-1A9E-4895-9FD3-DD8F709F8098}"/>
    <hyperlink ref="F33" r:id="rId30" xr:uid="{391DA2E7-BC51-4809-8F80-11BD50654200}"/>
    <hyperlink ref="F34" r:id="rId31" xr:uid="{E2F63923-EA9E-4E98-8B00-C61F4993AFF2}"/>
    <hyperlink ref="F39" r:id="rId32" xr:uid="{37996B1B-D7F9-4273-86C1-2C81A2585CBD}"/>
    <hyperlink ref="F41" r:id="rId33" xr:uid="{632BFF9D-1E91-44EB-9E4E-915804E18420}"/>
    <hyperlink ref="F42" r:id="rId34" xr:uid="{7419FBE3-CD73-4268-9D59-618E5429AD51}"/>
    <hyperlink ref="F43" r:id="rId35" xr:uid="{09F0B299-89C4-417B-9A30-AF90CBFBD5E2}"/>
    <hyperlink ref="F38" r:id="rId36" xr:uid="{92CBFF0E-FC17-41EF-BB48-7B5CE865BD62}"/>
    <hyperlink ref="B46" location="'Daftar Sheet'!A1" display="&lt;&lt;&lt; Daftar Sheet" xr:uid="{3E7794B5-B1F0-425F-8327-764258D63238}"/>
    <hyperlink ref="F44" r:id="rId37" xr:uid="{0373EA51-0F76-4DC3-9175-6A561F86D5BE}"/>
    <hyperlink ref="F35" r:id="rId38" xr:uid="{46FDBF6A-A2EA-49E6-86A9-B8CCD3655F27}"/>
    <hyperlink ref="F36" r:id="rId39" xr:uid="{13214C6B-7ACB-43DA-8DAE-DCDDA5B4B3E9}"/>
    <hyperlink ref="F37" r:id="rId40" xr:uid="{F120B796-05C6-47E9-BBAB-5D05DB462997}"/>
  </hyperlinks>
  <pageMargins left="0.7" right="0.7" top="0.75" bottom="0.75" header="0.3" footer="0.3"/>
  <pageSetup paperSize="224" orientation="portrait" horizontalDpi="300" verticalDpi="300" r:id="rId4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2C138-53E3-452D-876C-26A849B9F06C}">
  <dimension ref="A2:D9"/>
  <sheetViews>
    <sheetView zoomScale="85" zoomScaleNormal="85" workbookViewId="0">
      <selection activeCell="B9" sqref="B9"/>
    </sheetView>
  </sheetViews>
  <sheetFormatPr defaultRowHeight="14.4" x14ac:dyDescent="0.3"/>
  <cols>
    <col min="1" max="1" width="3.21875" bestFit="1" customWidth="1"/>
    <col min="2" max="2" width="35.21875" customWidth="1"/>
    <col min="3" max="3" width="79.44140625" style="14" bestFit="1" customWidth="1"/>
    <col min="4" max="4" width="79.33203125" bestFit="1" customWidth="1"/>
  </cols>
  <sheetData>
    <row r="2" spans="1:4" x14ac:dyDescent="0.3">
      <c r="A2" s="2" t="s">
        <v>0</v>
      </c>
      <c r="B2" s="2" t="s">
        <v>3985</v>
      </c>
      <c r="C2" s="2" t="s">
        <v>3984</v>
      </c>
      <c r="D2" s="2" t="s">
        <v>137</v>
      </c>
    </row>
    <row r="3" spans="1:4" ht="57.6" x14ac:dyDescent="0.3">
      <c r="A3" s="381">
        <v>1</v>
      </c>
      <c r="B3" s="384" t="s">
        <v>3983</v>
      </c>
      <c r="C3" s="285" t="s">
        <v>3986</v>
      </c>
      <c r="D3" s="387" t="s">
        <v>3991</v>
      </c>
    </row>
    <row r="4" spans="1:4" ht="28.8" x14ac:dyDescent="0.3">
      <c r="A4" s="382"/>
      <c r="B4" s="385"/>
      <c r="C4" s="285" t="s">
        <v>3987</v>
      </c>
      <c r="D4" s="382"/>
    </row>
    <row r="5" spans="1:4" ht="28.8" x14ac:dyDescent="0.3">
      <c r="A5" s="382"/>
      <c r="B5" s="385"/>
      <c r="C5" s="285" t="s">
        <v>3988</v>
      </c>
      <c r="D5" s="382"/>
    </row>
    <row r="6" spans="1:4" ht="28.8" x14ac:dyDescent="0.3">
      <c r="A6" s="382"/>
      <c r="B6" s="385"/>
      <c r="C6" s="285" t="s">
        <v>3989</v>
      </c>
      <c r="D6" s="382"/>
    </row>
    <row r="7" spans="1:4" ht="28.8" x14ac:dyDescent="0.3">
      <c r="A7" s="383"/>
      <c r="B7" s="386"/>
      <c r="C7" s="222" t="s">
        <v>3990</v>
      </c>
      <c r="D7" s="383"/>
    </row>
    <row r="9" spans="1:4" ht="23.4" x14ac:dyDescent="0.3">
      <c r="B9" s="312" t="s">
        <v>4039</v>
      </c>
    </row>
  </sheetData>
  <mergeCells count="3">
    <mergeCell ref="A3:A7"/>
    <mergeCell ref="B3:B7"/>
    <mergeCell ref="D3:D7"/>
  </mergeCells>
  <hyperlinks>
    <hyperlink ref="D3" r:id="rId1" xr:uid="{78908DBF-A47E-4767-8D8F-37A4C184BD87}"/>
    <hyperlink ref="B9" location="'Daftar Sheet'!A1" display="&lt;&lt;&lt; Daftar Sheet" xr:uid="{6D025768-8376-4CF0-B207-E5A2DC8D40C2}"/>
  </hyperlink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B7FBA-7558-4671-BBE4-9EB89D6660D5}">
  <dimension ref="A2:C11"/>
  <sheetViews>
    <sheetView zoomScale="85" zoomScaleNormal="85" workbookViewId="0"/>
  </sheetViews>
  <sheetFormatPr defaultRowHeight="14.4" x14ac:dyDescent="0.3"/>
  <cols>
    <col min="1" max="1" width="3.21875" bestFit="1" customWidth="1"/>
    <col min="2" max="2" width="25.109375" customWidth="1"/>
    <col min="3" max="3" width="79.44140625" style="14" bestFit="1" customWidth="1"/>
  </cols>
  <sheetData>
    <row r="2" spans="1:3" x14ac:dyDescent="0.3">
      <c r="A2" s="2" t="s">
        <v>0</v>
      </c>
      <c r="B2" s="2" t="s">
        <v>2336</v>
      </c>
      <c r="C2" s="2" t="s">
        <v>137</v>
      </c>
    </row>
    <row r="3" spans="1:3" ht="39.6" x14ac:dyDescent="0.3">
      <c r="A3" s="106">
        <v>1</v>
      </c>
      <c r="B3" s="214" t="s">
        <v>2036</v>
      </c>
      <c r="C3" s="388" t="s">
        <v>3993</v>
      </c>
    </row>
    <row r="4" spans="1:3" ht="39.6" x14ac:dyDescent="0.3">
      <c r="A4" s="106">
        <v>2</v>
      </c>
      <c r="B4" s="214" t="s">
        <v>2039</v>
      </c>
      <c r="C4" s="389"/>
    </row>
    <row r="5" spans="1:3" ht="28.8" x14ac:dyDescent="0.3">
      <c r="A5" s="106">
        <v>3</v>
      </c>
      <c r="B5" s="268" t="s">
        <v>3818</v>
      </c>
      <c r="C5" s="389"/>
    </row>
    <row r="6" spans="1:3" ht="43.2" x14ac:dyDescent="0.3">
      <c r="A6" s="106">
        <v>4</v>
      </c>
      <c r="B6" s="268" t="s">
        <v>3854</v>
      </c>
      <c r="C6" s="389"/>
    </row>
    <row r="7" spans="1:3" ht="28.8" x14ac:dyDescent="0.3">
      <c r="A7" s="106">
        <v>5</v>
      </c>
      <c r="B7" s="268" t="s">
        <v>3892</v>
      </c>
      <c r="C7" s="389"/>
    </row>
    <row r="8" spans="1:3" ht="28.8" x14ac:dyDescent="0.3">
      <c r="A8" s="106">
        <v>6</v>
      </c>
      <c r="B8" s="268" t="s">
        <v>3893</v>
      </c>
      <c r="C8" s="389"/>
    </row>
    <row r="9" spans="1:3" ht="28.8" x14ac:dyDescent="0.3">
      <c r="A9" s="106">
        <v>7</v>
      </c>
      <c r="B9" s="268" t="s">
        <v>3894</v>
      </c>
      <c r="C9" s="389"/>
    </row>
    <row r="11" spans="1:3" ht="23.4" x14ac:dyDescent="0.3">
      <c r="B11" s="312" t="s">
        <v>4039</v>
      </c>
    </row>
  </sheetData>
  <mergeCells count="1">
    <mergeCell ref="C3:C9"/>
  </mergeCells>
  <hyperlinks>
    <hyperlink ref="C3" r:id="rId1" xr:uid="{0691315F-12D5-4D85-82E2-0921AC12CCB6}"/>
    <hyperlink ref="B11" location="'Daftar Sheet'!A1" display="&lt;&lt;&lt; Daftar Sheet" xr:uid="{E27C04EC-712B-4AC0-B8B8-1C358CE07AA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FB36-FAB5-4313-A152-6E8C14758230}">
  <dimension ref="A2:B5"/>
  <sheetViews>
    <sheetView zoomScale="115" zoomScaleNormal="115" workbookViewId="0">
      <selection activeCell="A5" sqref="A5"/>
    </sheetView>
  </sheetViews>
  <sheetFormatPr defaultRowHeight="14.4" x14ac:dyDescent="0.3"/>
  <cols>
    <col min="1" max="1" width="25.109375" customWidth="1"/>
    <col min="2" max="2" width="79.44140625" bestFit="1" customWidth="1"/>
  </cols>
  <sheetData>
    <row r="2" spans="1:2" x14ac:dyDescent="0.3">
      <c r="A2" s="2" t="s">
        <v>1094</v>
      </c>
      <c r="B2" s="2" t="s">
        <v>137</v>
      </c>
    </row>
    <row r="3" spans="1:2" ht="43.2" x14ac:dyDescent="0.3">
      <c r="A3" s="222" t="s">
        <v>2335</v>
      </c>
      <c r="B3" s="125" t="s">
        <v>3994</v>
      </c>
    </row>
    <row r="5" spans="1:2" ht="23.4" x14ac:dyDescent="0.3">
      <c r="A5" s="312" t="s">
        <v>4039</v>
      </c>
    </row>
  </sheetData>
  <hyperlinks>
    <hyperlink ref="B3" r:id="rId1" xr:uid="{754B9D06-EFE6-494D-B1E8-D597A880B5CA}"/>
    <hyperlink ref="A5" location="'Daftar Sheet'!A1" display="&lt;&lt;&lt; Daftar Sheet" xr:uid="{EF3B5B53-CA9E-430B-A1F1-63C23009F8C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772F8-00C4-485D-95BB-1C79EA98C272}">
  <dimension ref="A2:B5"/>
  <sheetViews>
    <sheetView workbookViewId="0">
      <selection activeCell="A5" sqref="A5"/>
    </sheetView>
  </sheetViews>
  <sheetFormatPr defaultRowHeight="14.4" x14ac:dyDescent="0.3"/>
  <cols>
    <col min="1" max="1" width="25.109375" customWidth="1"/>
    <col min="2" max="2" width="79.44140625" bestFit="1" customWidth="1"/>
  </cols>
  <sheetData>
    <row r="2" spans="1:2" x14ac:dyDescent="0.3">
      <c r="A2" s="2" t="s">
        <v>2336</v>
      </c>
      <c r="B2" s="2" t="s">
        <v>137</v>
      </c>
    </row>
    <row r="3" spans="1:2" ht="28.8" x14ac:dyDescent="0.3">
      <c r="A3" s="222" t="s">
        <v>4033</v>
      </c>
      <c r="B3" s="125" t="s">
        <v>2337</v>
      </c>
    </row>
    <row r="5" spans="1:2" ht="23.4" x14ac:dyDescent="0.3">
      <c r="A5" s="312" t="s">
        <v>4039</v>
      </c>
    </row>
  </sheetData>
  <hyperlinks>
    <hyperlink ref="B3" r:id="rId1" xr:uid="{BA772148-8272-4584-94D2-3C2822540ECF}"/>
    <hyperlink ref="A5" location="'Daftar Sheet'!A1" display="&lt;&lt;&lt; Daftar Sheet" xr:uid="{2B2FFBBF-05B0-44D5-9AC1-7CAB7F8796A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AC7FB-E9C3-4CC3-B728-5CACD6C8EFCD}">
  <sheetPr>
    <tabColor rgb="FFFF0000"/>
  </sheetPr>
  <dimension ref="A2:B3"/>
  <sheetViews>
    <sheetView workbookViewId="0">
      <selection activeCell="C4" sqref="C4"/>
    </sheetView>
  </sheetViews>
  <sheetFormatPr defaultRowHeight="14.4" x14ac:dyDescent="0.3"/>
  <cols>
    <col min="1" max="1" width="25.109375" customWidth="1"/>
    <col min="2" max="2" width="79.44140625" bestFit="1" customWidth="1"/>
  </cols>
  <sheetData>
    <row r="2" spans="1:2" x14ac:dyDescent="0.3">
      <c r="A2" s="2" t="s">
        <v>2336</v>
      </c>
      <c r="B2" s="2" t="s">
        <v>137</v>
      </c>
    </row>
    <row r="3" spans="1:2" x14ac:dyDescent="0.3">
      <c r="A3" s="222"/>
      <c r="B3" s="12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6BD4A-E400-45C4-BDD3-D7AF6F80EBF5}">
  <dimension ref="A1:M37"/>
  <sheetViews>
    <sheetView zoomScale="85" zoomScaleNormal="85" workbookViewId="0">
      <pane xSplit="1" ySplit="2" topLeftCell="C15" activePane="bottomRight" state="frozen"/>
      <selection pane="topRight" activeCell="B1" sqref="B1"/>
      <selection pane="bottomLeft" activeCell="A3" sqref="A3"/>
      <selection pane="bottomRight" activeCell="F26" sqref="F26"/>
    </sheetView>
  </sheetViews>
  <sheetFormatPr defaultRowHeight="14.4" x14ac:dyDescent="0.3"/>
  <cols>
    <col min="1" max="1" width="3.77734375" style="1" bestFit="1" customWidth="1"/>
    <col min="2" max="2" width="113.44140625" bestFit="1" customWidth="1"/>
    <col min="3" max="3" width="12.44140625" style="1" bestFit="1" customWidth="1"/>
    <col min="4" max="4" width="8" style="1" bestFit="1" customWidth="1"/>
    <col min="5" max="5" width="13.21875" style="1" bestFit="1" customWidth="1"/>
    <col min="6" max="6" width="147.5546875" bestFit="1" customWidth="1"/>
    <col min="7" max="7" width="149.6640625" bestFit="1" customWidth="1"/>
    <col min="8" max="8" width="33.44140625" style="111" bestFit="1" customWidth="1"/>
    <col min="9" max="9" width="33.77734375" style="111" bestFit="1" customWidth="1"/>
    <col min="10" max="10" width="18.6640625" style="1" customWidth="1"/>
    <col min="11" max="11" width="15.109375" style="10" bestFit="1" customWidth="1"/>
    <col min="12" max="12" width="28" bestFit="1" customWidth="1"/>
    <col min="13" max="13" width="80.44140625" bestFit="1" customWidth="1"/>
  </cols>
  <sheetData>
    <row r="1" spans="1:13" x14ac:dyDescent="0.3">
      <c r="A1" s="391" t="s">
        <v>51</v>
      </c>
      <c r="B1" s="391" t="s">
        <v>1419</v>
      </c>
      <c r="C1" s="391" t="s">
        <v>1010</v>
      </c>
      <c r="D1" s="391"/>
      <c r="E1" s="391"/>
      <c r="F1" s="391" t="s">
        <v>1420</v>
      </c>
      <c r="G1" s="391" t="s">
        <v>1421</v>
      </c>
      <c r="H1" s="390" t="s">
        <v>1422</v>
      </c>
      <c r="I1" s="390" t="s">
        <v>1423</v>
      </c>
      <c r="J1" s="391" t="s">
        <v>1424</v>
      </c>
      <c r="K1" s="391" t="s">
        <v>1425</v>
      </c>
      <c r="L1" s="391" t="s">
        <v>1426</v>
      </c>
      <c r="M1" s="391" t="s">
        <v>1477</v>
      </c>
    </row>
    <row r="2" spans="1:13" x14ac:dyDescent="0.3">
      <c r="A2" s="391"/>
      <c r="B2" s="391"/>
      <c r="C2" s="2" t="s">
        <v>1427</v>
      </c>
      <c r="D2" s="2" t="s">
        <v>488</v>
      </c>
      <c r="E2" s="2" t="s">
        <v>1428</v>
      </c>
      <c r="F2" s="391"/>
      <c r="G2" s="391"/>
      <c r="H2" s="390"/>
      <c r="I2" s="390"/>
      <c r="J2" s="391"/>
      <c r="K2" s="391"/>
      <c r="L2" s="391"/>
      <c r="M2" s="391"/>
    </row>
    <row r="3" spans="1:13" x14ac:dyDescent="0.3">
      <c r="A3" s="33">
        <v>1</v>
      </c>
      <c r="B3" s="30" t="s">
        <v>1429</v>
      </c>
      <c r="C3" s="33"/>
      <c r="D3" s="33" t="s">
        <v>1016</v>
      </c>
      <c r="E3" s="33"/>
      <c r="F3" s="30" t="s">
        <v>1430</v>
      </c>
      <c r="G3" s="30" t="s">
        <v>1431</v>
      </c>
      <c r="H3" s="109">
        <v>44545</v>
      </c>
      <c r="I3" s="109">
        <v>46371</v>
      </c>
      <c r="J3" s="33">
        <v>5</v>
      </c>
      <c r="K3" s="3" t="s">
        <v>1432</v>
      </c>
      <c r="L3" s="30" t="s">
        <v>1433</v>
      </c>
      <c r="M3" s="34" t="s">
        <v>2259</v>
      </c>
    </row>
    <row r="4" spans="1:13" x14ac:dyDescent="0.3">
      <c r="A4" s="33">
        <v>2</v>
      </c>
      <c r="B4" s="30" t="s">
        <v>1434</v>
      </c>
      <c r="C4" s="33"/>
      <c r="D4" s="33" t="s">
        <v>1016</v>
      </c>
      <c r="E4" s="33"/>
      <c r="F4" s="30" t="s">
        <v>1435</v>
      </c>
      <c r="G4" s="30" t="s">
        <v>1436</v>
      </c>
      <c r="H4" s="109">
        <v>44754</v>
      </c>
      <c r="I4" s="109">
        <v>45850</v>
      </c>
      <c r="J4" s="33">
        <v>3</v>
      </c>
      <c r="K4" s="3" t="s">
        <v>1432</v>
      </c>
      <c r="L4" s="30" t="s">
        <v>1433</v>
      </c>
      <c r="M4" s="34" t="s">
        <v>2260</v>
      </c>
    </row>
    <row r="5" spans="1:13" x14ac:dyDescent="0.3">
      <c r="A5" s="33">
        <v>3</v>
      </c>
      <c r="B5" s="30" t="s">
        <v>1434</v>
      </c>
      <c r="C5" s="33"/>
      <c r="D5" s="33" t="s">
        <v>1016</v>
      </c>
      <c r="E5" s="33"/>
      <c r="F5" s="30" t="s">
        <v>1437</v>
      </c>
      <c r="G5" s="30" t="s">
        <v>1436</v>
      </c>
      <c r="H5" s="109">
        <v>44754</v>
      </c>
      <c r="I5" s="109">
        <v>45850</v>
      </c>
      <c r="J5" s="33">
        <v>3</v>
      </c>
      <c r="K5" s="3" t="s">
        <v>1432</v>
      </c>
      <c r="L5" s="30" t="s">
        <v>1433</v>
      </c>
      <c r="M5" s="34" t="s">
        <v>2260</v>
      </c>
    </row>
    <row r="6" spans="1:13" x14ac:dyDescent="0.3">
      <c r="A6" s="33">
        <v>4</v>
      </c>
      <c r="B6" s="30" t="s">
        <v>1438</v>
      </c>
      <c r="C6" s="33"/>
      <c r="D6" s="33" t="s">
        <v>1016</v>
      </c>
      <c r="E6" s="33"/>
      <c r="F6" s="30" t="s">
        <v>1439</v>
      </c>
      <c r="G6" s="30" t="s">
        <v>1440</v>
      </c>
      <c r="H6" s="109">
        <v>42852</v>
      </c>
      <c r="I6" s="109">
        <v>44678</v>
      </c>
      <c r="J6" s="33">
        <v>5</v>
      </c>
      <c r="K6" s="3" t="s">
        <v>1432</v>
      </c>
      <c r="L6" s="30" t="s">
        <v>1433</v>
      </c>
      <c r="M6" s="34" t="s">
        <v>2261</v>
      </c>
    </row>
    <row r="7" spans="1:13" x14ac:dyDescent="0.3">
      <c r="A7" s="33">
        <v>5</v>
      </c>
      <c r="B7" s="30" t="s">
        <v>1438</v>
      </c>
      <c r="C7" s="33"/>
      <c r="D7" s="33" t="s">
        <v>1016</v>
      </c>
      <c r="E7" s="33"/>
      <c r="F7" s="30" t="s">
        <v>1435</v>
      </c>
      <c r="G7" s="30" t="s">
        <v>1441</v>
      </c>
      <c r="H7" s="109">
        <v>42852</v>
      </c>
      <c r="I7" s="109">
        <v>44678</v>
      </c>
      <c r="J7" s="33">
        <v>5</v>
      </c>
      <c r="K7" s="3" t="s">
        <v>1432</v>
      </c>
      <c r="L7" s="30" t="s">
        <v>1433</v>
      </c>
      <c r="M7" s="34" t="s">
        <v>2262</v>
      </c>
    </row>
    <row r="8" spans="1:13" x14ac:dyDescent="0.3">
      <c r="A8" s="33">
        <v>6</v>
      </c>
      <c r="B8" s="30" t="s">
        <v>1442</v>
      </c>
      <c r="C8" s="33"/>
      <c r="D8" s="33" t="s">
        <v>1016</v>
      </c>
      <c r="E8" s="33"/>
      <c r="F8" s="30" t="s">
        <v>1435</v>
      </c>
      <c r="G8" s="30" t="s">
        <v>1441</v>
      </c>
      <c r="H8" s="109">
        <v>44270</v>
      </c>
      <c r="I8" s="109">
        <v>46096</v>
      </c>
      <c r="J8" s="33">
        <v>5</v>
      </c>
      <c r="K8" s="3" t="s">
        <v>1432</v>
      </c>
      <c r="L8" s="30" t="s">
        <v>1433</v>
      </c>
      <c r="M8" s="34" t="s">
        <v>2263</v>
      </c>
    </row>
    <row r="9" spans="1:13" x14ac:dyDescent="0.3">
      <c r="A9" s="33">
        <v>7</v>
      </c>
      <c r="B9" s="30" t="s">
        <v>1443</v>
      </c>
      <c r="C9" s="33"/>
      <c r="D9" s="33" t="s">
        <v>1016</v>
      </c>
      <c r="E9" s="33"/>
      <c r="F9" s="30" t="s">
        <v>1435</v>
      </c>
      <c r="G9" s="30" t="s">
        <v>1441</v>
      </c>
      <c r="H9" s="109">
        <v>42877</v>
      </c>
      <c r="I9" s="109">
        <v>44703</v>
      </c>
      <c r="J9" s="33">
        <v>5</v>
      </c>
      <c r="K9" s="3" t="s">
        <v>1432</v>
      </c>
      <c r="L9" s="30" t="s">
        <v>1433</v>
      </c>
      <c r="M9" s="34" t="s">
        <v>2264</v>
      </c>
    </row>
    <row r="10" spans="1:13" x14ac:dyDescent="0.3">
      <c r="A10" s="33">
        <v>8</v>
      </c>
      <c r="B10" s="30" t="s">
        <v>1443</v>
      </c>
      <c r="C10" s="33"/>
      <c r="D10" s="33" t="s">
        <v>1016</v>
      </c>
      <c r="E10" s="33"/>
      <c r="F10" s="30" t="s">
        <v>1444</v>
      </c>
      <c r="G10" s="30" t="s">
        <v>1445</v>
      </c>
      <c r="H10" s="109">
        <v>42877</v>
      </c>
      <c r="I10" s="109">
        <v>44703</v>
      </c>
      <c r="J10" s="33">
        <v>5</v>
      </c>
      <c r="K10" s="3" t="s">
        <v>1432</v>
      </c>
      <c r="L10" s="30" t="s">
        <v>1433</v>
      </c>
      <c r="M10" s="34" t="s">
        <v>2264</v>
      </c>
    </row>
    <row r="11" spans="1:13" x14ac:dyDescent="0.3">
      <c r="A11" s="33">
        <v>9</v>
      </c>
      <c r="B11" s="30" t="s">
        <v>1446</v>
      </c>
      <c r="C11" s="33"/>
      <c r="D11" s="33" t="s">
        <v>1016</v>
      </c>
      <c r="E11" s="33"/>
      <c r="F11" s="30" t="s">
        <v>1447</v>
      </c>
      <c r="G11" s="30" t="s">
        <v>1441</v>
      </c>
      <c r="H11" s="109">
        <v>42843</v>
      </c>
      <c r="I11" s="109">
        <v>43939</v>
      </c>
      <c r="J11" s="33">
        <v>3</v>
      </c>
      <c r="K11" s="3" t="s">
        <v>1432</v>
      </c>
      <c r="L11" s="30" t="s">
        <v>1433</v>
      </c>
      <c r="M11" s="34" t="s">
        <v>1478</v>
      </c>
    </row>
    <row r="12" spans="1:13" x14ac:dyDescent="0.3">
      <c r="A12" s="33">
        <v>10</v>
      </c>
      <c r="B12" s="30" t="s">
        <v>1446</v>
      </c>
      <c r="C12" s="33"/>
      <c r="D12" s="33" t="s">
        <v>1016</v>
      </c>
      <c r="E12" s="33"/>
      <c r="F12" s="30" t="s">
        <v>1448</v>
      </c>
      <c r="G12" s="30" t="s">
        <v>1441</v>
      </c>
      <c r="H12" s="109">
        <v>42843</v>
      </c>
      <c r="I12" s="109">
        <v>43939</v>
      </c>
      <c r="J12" s="33">
        <v>3</v>
      </c>
      <c r="K12" s="3" t="s">
        <v>1432</v>
      </c>
      <c r="L12" s="30" t="s">
        <v>1433</v>
      </c>
      <c r="M12" s="34" t="s">
        <v>1478</v>
      </c>
    </row>
    <row r="13" spans="1:13" x14ac:dyDescent="0.3">
      <c r="A13" s="33">
        <v>11</v>
      </c>
      <c r="B13" s="30" t="s">
        <v>1449</v>
      </c>
      <c r="C13" s="33"/>
      <c r="D13" s="33" t="s">
        <v>1016</v>
      </c>
      <c r="E13" s="33"/>
      <c r="F13" s="30" t="s">
        <v>1450</v>
      </c>
      <c r="G13" s="30" t="s">
        <v>1441</v>
      </c>
      <c r="H13" s="109">
        <v>42219</v>
      </c>
      <c r="I13" s="109">
        <v>45872</v>
      </c>
      <c r="J13" s="33">
        <v>10</v>
      </c>
      <c r="K13" s="3" t="s">
        <v>1432</v>
      </c>
      <c r="L13" s="30" t="s">
        <v>1433</v>
      </c>
      <c r="M13" s="34" t="s">
        <v>2265</v>
      </c>
    </row>
    <row r="14" spans="1:13" x14ac:dyDescent="0.3">
      <c r="A14" s="33">
        <v>12</v>
      </c>
      <c r="B14" s="30" t="s">
        <v>1451</v>
      </c>
      <c r="C14" s="33"/>
      <c r="D14" s="33" t="s">
        <v>1016</v>
      </c>
      <c r="E14" s="33"/>
      <c r="F14" s="30" t="s">
        <v>1452</v>
      </c>
      <c r="G14" s="30" t="s">
        <v>1441</v>
      </c>
      <c r="H14" s="109">
        <v>44981</v>
      </c>
      <c r="I14" s="109">
        <v>46807</v>
      </c>
      <c r="J14" s="33">
        <v>5</v>
      </c>
      <c r="K14" s="3" t="s">
        <v>1432</v>
      </c>
      <c r="L14" s="30" t="s">
        <v>1433</v>
      </c>
      <c r="M14" s="34" t="s">
        <v>2266</v>
      </c>
    </row>
    <row r="15" spans="1:13" x14ac:dyDescent="0.3">
      <c r="A15" s="33">
        <v>13</v>
      </c>
      <c r="B15" s="30" t="s">
        <v>1449</v>
      </c>
      <c r="C15" s="33"/>
      <c r="D15" s="33" t="s">
        <v>1016</v>
      </c>
      <c r="E15" s="33"/>
      <c r="F15" s="30" t="s">
        <v>1453</v>
      </c>
      <c r="G15" s="30" t="s">
        <v>1441</v>
      </c>
      <c r="H15" s="109">
        <v>42219</v>
      </c>
      <c r="I15" s="109">
        <v>45872</v>
      </c>
      <c r="J15" s="33">
        <v>10</v>
      </c>
      <c r="K15" s="3" t="s">
        <v>1432</v>
      </c>
      <c r="L15" s="30" t="s">
        <v>1433</v>
      </c>
      <c r="M15" s="34" t="s">
        <v>2267</v>
      </c>
    </row>
    <row r="16" spans="1:13" x14ac:dyDescent="0.3">
      <c r="A16" s="33">
        <v>14</v>
      </c>
      <c r="B16" s="30" t="s">
        <v>1449</v>
      </c>
      <c r="C16" s="33"/>
      <c r="D16" s="33" t="s">
        <v>1016</v>
      </c>
      <c r="E16" s="33"/>
      <c r="F16" s="30" t="s">
        <v>1454</v>
      </c>
      <c r="G16" s="30" t="s">
        <v>1441</v>
      </c>
      <c r="H16" s="109">
        <v>42219</v>
      </c>
      <c r="I16" s="109">
        <v>45872</v>
      </c>
      <c r="J16" s="33">
        <v>10</v>
      </c>
      <c r="K16" s="3" t="s">
        <v>1432</v>
      </c>
      <c r="L16" s="30" t="s">
        <v>1433</v>
      </c>
      <c r="M16" s="34" t="s">
        <v>2268</v>
      </c>
    </row>
    <row r="17" spans="1:13" x14ac:dyDescent="0.3">
      <c r="A17" s="33">
        <v>15</v>
      </c>
      <c r="B17" s="30" t="s">
        <v>1455</v>
      </c>
      <c r="C17" s="33"/>
      <c r="D17" s="33" t="s">
        <v>1016</v>
      </c>
      <c r="E17" s="33"/>
      <c r="F17" s="30" t="s">
        <v>1456</v>
      </c>
      <c r="G17" s="30" t="s">
        <v>1441</v>
      </c>
      <c r="H17" s="109">
        <v>42508</v>
      </c>
      <c r="I17" s="109">
        <v>44334</v>
      </c>
      <c r="J17" s="33">
        <v>5</v>
      </c>
      <c r="K17" s="3" t="s">
        <v>1432</v>
      </c>
      <c r="L17" s="30" t="s">
        <v>1433</v>
      </c>
      <c r="M17" s="34" t="s">
        <v>1479</v>
      </c>
    </row>
    <row r="18" spans="1:13" x14ac:dyDescent="0.3">
      <c r="A18" s="33">
        <v>16</v>
      </c>
      <c r="B18" s="30" t="s">
        <v>1446</v>
      </c>
      <c r="C18" s="33"/>
      <c r="D18" s="33" t="s">
        <v>1016</v>
      </c>
      <c r="E18" s="33"/>
      <c r="F18" s="30" t="s">
        <v>1457</v>
      </c>
      <c r="G18" s="30" t="s">
        <v>1441</v>
      </c>
      <c r="H18" s="109">
        <v>42843</v>
      </c>
      <c r="I18" s="109">
        <v>43939</v>
      </c>
      <c r="J18" s="33">
        <v>3</v>
      </c>
      <c r="K18" s="3" t="s">
        <v>1432</v>
      </c>
      <c r="L18" s="30" t="s">
        <v>1433</v>
      </c>
      <c r="M18" s="34" t="s">
        <v>2269</v>
      </c>
    </row>
    <row r="19" spans="1:13" x14ac:dyDescent="0.3">
      <c r="A19" s="33">
        <v>17</v>
      </c>
      <c r="B19" s="30" t="s">
        <v>1449</v>
      </c>
      <c r="C19" s="33"/>
      <c r="D19" s="33" t="s">
        <v>1016</v>
      </c>
      <c r="E19" s="33"/>
      <c r="F19" s="30" t="s">
        <v>1458</v>
      </c>
      <c r="G19" s="30" t="s">
        <v>1441</v>
      </c>
      <c r="H19" s="109">
        <v>42219</v>
      </c>
      <c r="I19" s="109">
        <v>45872</v>
      </c>
      <c r="J19" s="33">
        <v>10</v>
      </c>
      <c r="K19" s="3" t="s">
        <v>1432</v>
      </c>
      <c r="L19" s="30" t="s">
        <v>1433</v>
      </c>
      <c r="M19" s="34" t="s">
        <v>2270</v>
      </c>
    </row>
    <row r="20" spans="1:13" x14ac:dyDescent="0.3">
      <c r="A20" s="33">
        <v>18</v>
      </c>
      <c r="B20" s="30" t="s">
        <v>1459</v>
      </c>
      <c r="C20" s="33"/>
      <c r="D20" s="33" t="s">
        <v>1016</v>
      </c>
      <c r="E20" s="33"/>
      <c r="F20" s="30" t="s">
        <v>1460</v>
      </c>
      <c r="G20" s="30" t="s">
        <v>1441</v>
      </c>
      <c r="H20" s="109">
        <v>43340</v>
      </c>
      <c r="I20" s="109">
        <v>44071</v>
      </c>
      <c r="J20" s="33">
        <v>2</v>
      </c>
      <c r="K20" s="3" t="s">
        <v>1432</v>
      </c>
      <c r="L20" s="30" t="s">
        <v>1433</v>
      </c>
      <c r="M20" s="34" t="s">
        <v>2271</v>
      </c>
    </row>
    <row r="21" spans="1:13" x14ac:dyDescent="0.3">
      <c r="A21" s="33">
        <v>19</v>
      </c>
      <c r="B21" s="30" t="s">
        <v>1459</v>
      </c>
      <c r="C21" s="33"/>
      <c r="D21" s="33" t="s">
        <v>1016</v>
      </c>
      <c r="E21" s="33"/>
      <c r="F21" s="30" t="s">
        <v>1461</v>
      </c>
      <c r="G21" s="30" t="s">
        <v>1462</v>
      </c>
      <c r="H21" s="109">
        <v>43340</v>
      </c>
      <c r="I21" s="109">
        <v>44071</v>
      </c>
      <c r="J21" s="33">
        <v>2</v>
      </c>
      <c r="K21" s="3" t="s">
        <v>1432</v>
      </c>
      <c r="L21" s="30" t="s">
        <v>1433</v>
      </c>
      <c r="M21" s="34" t="s">
        <v>2271</v>
      </c>
    </row>
    <row r="22" spans="1:13" x14ac:dyDescent="0.3">
      <c r="A22" s="33">
        <v>20</v>
      </c>
      <c r="B22" s="30" t="s">
        <v>1463</v>
      </c>
      <c r="C22" s="33" t="s">
        <v>1016</v>
      </c>
      <c r="D22" s="33"/>
      <c r="E22" s="33"/>
      <c r="F22" s="30" t="s">
        <v>1464</v>
      </c>
      <c r="G22" s="30" t="s">
        <v>1465</v>
      </c>
      <c r="H22" s="109">
        <v>44886</v>
      </c>
      <c r="I22" s="109">
        <v>45982</v>
      </c>
      <c r="J22" s="33">
        <v>3</v>
      </c>
      <c r="K22" s="3" t="s">
        <v>1432</v>
      </c>
      <c r="L22" s="30" t="s">
        <v>1433</v>
      </c>
      <c r="M22" s="34" t="s">
        <v>1480</v>
      </c>
    </row>
    <row r="23" spans="1:13" x14ac:dyDescent="0.3">
      <c r="A23" s="33">
        <v>21</v>
      </c>
      <c r="B23" s="30" t="s">
        <v>1466</v>
      </c>
      <c r="C23" s="33"/>
      <c r="D23" s="33" t="s">
        <v>1016</v>
      </c>
      <c r="E23" s="33"/>
      <c r="F23" s="30" t="s">
        <v>1467</v>
      </c>
      <c r="G23" s="30" t="s">
        <v>1468</v>
      </c>
      <c r="H23" s="109">
        <v>44798</v>
      </c>
      <c r="I23" s="109">
        <v>46624</v>
      </c>
      <c r="J23" s="33">
        <v>5</v>
      </c>
      <c r="K23" s="3" t="s">
        <v>1432</v>
      </c>
      <c r="L23" s="30" t="s">
        <v>1433</v>
      </c>
      <c r="M23" s="34" t="s">
        <v>2117</v>
      </c>
    </row>
    <row r="24" spans="1:13" x14ac:dyDescent="0.3">
      <c r="A24" s="33">
        <v>22</v>
      </c>
      <c r="B24" s="30" t="s">
        <v>1469</v>
      </c>
      <c r="C24" s="33"/>
      <c r="D24" s="33" t="s">
        <v>1016</v>
      </c>
      <c r="E24" s="33"/>
      <c r="F24" s="30" t="s">
        <v>1470</v>
      </c>
      <c r="G24" s="30" t="s">
        <v>1468</v>
      </c>
      <c r="H24" s="109">
        <v>44893</v>
      </c>
      <c r="I24" s="109">
        <v>46719</v>
      </c>
      <c r="J24" s="33">
        <v>5</v>
      </c>
      <c r="K24" s="3" t="s">
        <v>1432</v>
      </c>
      <c r="L24" s="30" t="s">
        <v>1433</v>
      </c>
      <c r="M24" s="34" t="s">
        <v>2140</v>
      </c>
    </row>
    <row r="25" spans="1:13" x14ac:dyDescent="0.3">
      <c r="A25" s="33">
        <v>23</v>
      </c>
      <c r="B25" s="30" t="s">
        <v>1471</v>
      </c>
      <c r="C25" s="33"/>
      <c r="D25" s="33" t="s">
        <v>1016</v>
      </c>
      <c r="E25" s="33"/>
      <c r="F25" s="30" t="s">
        <v>1472</v>
      </c>
      <c r="G25" s="30" t="s">
        <v>1473</v>
      </c>
      <c r="H25" s="109">
        <v>45061</v>
      </c>
      <c r="I25" s="109">
        <v>46157</v>
      </c>
      <c r="J25" s="33">
        <v>3</v>
      </c>
      <c r="K25" s="3" t="s">
        <v>1432</v>
      </c>
      <c r="L25" s="30" t="s">
        <v>1433</v>
      </c>
      <c r="M25" s="34" t="s">
        <v>1481</v>
      </c>
    </row>
    <row r="26" spans="1:13" x14ac:dyDescent="0.3">
      <c r="A26" s="33">
        <v>24</v>
      </c>
      <c r="B26" s="30" t="s">
        <v>1474</v>
      </c>
      <c r="C26" s="33" t="s">
        <v>1016</v>
      </c>
      <c r="D26" s="33"/>
      <c r="E26" s="33"/>
      <c r="F26" s="30" t="s">
        <v>1475</v>
      </c>
      <c r="G26" s="30" t="s">
        <v>1445</v>
      </c>
      <c r="H26" s="109">
        <v>42339</v>
      </c>
      <c r="I26" s="109">
        <v>44166</v>
      </c>
      <c r="J26" s="33">
        <v>5</v>
      </c>
      <c r="K26" s="3" t="s">
        <v>1432</v>
      </c>
      <c r="L26" s="30" t="s">
        <v>1433</v>
      </c>
      <c r="M26" s="34" t="s">
        <v>1482</v>
      </c>
    </row>
    <row r="27" spans="1:13" x14ac:dyDescent="0.3">
      <c r="A27" s="33">
        <v>25</v>
      </c>
      <c r="B27" s="30" t="s">
        <v>1476</v>
      </c>
      <c r="C27" s="33"/>
      <c r="D27" s="33" t="s">
        <v>1016</v>
      </c>
      <c r="E27" s="33"/>
      <c r="F27" s="30" t="s">
        <v>1475</v>
      </c>
      <c r="G27" s="30" t="s">
        <v>1445</v>
      </c>
      <c r="H27" s="109">
        <v>42041</v>
      </c>
      <c r="I27" s="109">
        <v>43867</v>
      </c>
      <c r="J27" s="33">
        <v>5</v>
      </c>
      <c r="K27" s="3" t="s">
        <v>1432</v>
      </c>
      <c r="L27" s="30" t="s">
        <v>1433</v>
      </c>
      <c r="M27" s="34" t="s">
        <v>2272</v>
      </c>
    </row>
    <row r="28" spans="1:13" x14ac:dyDescent="0.3">
      <c r="A28" s="33">
        <v>26</v>
      </c>
      <c r="B28" s="30" t="s">
        <v>1515</v>
      </c>
      <c r="C28" s="33" t="s">
        <v>1016</v>
      </c>
      <c r="D28" s="33"/>
      <c r="E28" s="33"/>
      <c r="F28" s="30" t="s">
        <v>1435</v>
      </c>
      <c r="G28" s="30" t="s">
        <v>1441</v>
      </c>
      <c r="H28" s="109">
        <v>44046</v>
      </c>
      <c r="I28" s="109">
        <v>45141</v>
      </c>
      <c r="J28" s="33">
        <v>3</v>
      </c>
      <c r="K28" s="3" t="s">
        <v>1432</v>
      </c>
      <c r="L28" s="30" t="s">
        <v>1433</v>
      </c>
      <c r="M28" s="34" t="s">
        <v>2273</v>
      </c>
    </row>
    <row r="29" spans="1:13" x14ac:dyDescent="0.3">
      <c r="A29" s="33">
        <v>27</v>
      </c>
      <c r="B29" s="30" t="s">
        <v>1516</v>
      </c>
      <c r="C29" s="33" t="s">
        <v>1016</v>
      </c>
      <c r="D29" s="33"/>
      <c r="E29" s="33"/>
      <c r="F29" s="30" t="s">
        <v>1435</v>
      </c>
      <c r="G29" s="30" t="s">
        <v>1441</v>
      </c>
      <c r="H29" s="109">
        <v>44046</v>
      </c>
      <c r="I29" s="109">
        <v>45141</v>
      </c>
      <c r="J29" s="33">
        <v>3</v>
      </c>
      <c r="K29" s="3" t="s">
        <v>1432</v>
      </c>
      <c r="L29" s="30" t="s">
        <v>1433</v>
      </c>
      <c r="M29" s="34" t="s">
        <v>2274</v>
      </c>
    </row>
    <row r="30" spans="1:13" x14ac:dyDescent="0.3">
      <c r="A30" s="203">
        <v>28</v>
      </c>
      <c r="B30" s="204" t="s">
        <v>1517</v>
      </c>
      <c r="C30" s="203" t="s">
        <v>1016</v>
      </c>
      <c r="D30" s="203"/>
      <c r="E30" s="203"/>
      <c r="F30" s="204" t="s">
        <v>1435</v>
      </c>
      <c r="G30" s="204" t="s">
        <v>1441</v>
      </c>
      <c r="H30" s="280">
        <v>44046</v>
      </c>
      <c r="I30" s="280">
        <v>45141</v>
      </c>
      <c r="J30" s="203">
        <v>3</v>
      </c>
      <c r="K30" s="42" t="s">
        <v>1432</v>
      </c>
      <c r="L30" s="204" t="s">
        <v>1433</v>
      </c>
      <c r="M30" s="206" t="s">
        <v>2275</v>
      </c>
    </row>
    <row r="31" spans="1:13" x14ac:dyDescent="0.3">
      <c r="A31" s="33">
        <v>29</v>
      </c>
      <c r="B31" s="30" t="s">
        <v>3906</v>
      </c>
      <c r="C31" s="33"/>
      <c r="D31" s="33" t="s">
        <v>1016</v>
      </c>
      <c r="E31" s="33"/>
      <c r="F31" s="30" t="s">
        <v>3907</v>
      </c>
      <c r="G31" s="30" t="s">
        <v>3908</v>
      </c>
      <c r="H31" s="281">
        <v>44478</v>
      </c>
      <c r="I31" s="281">
        <v>45574</v>
      </c>
      <c r="J31" s="33">
        <v>3</v>
      </c>
      <c r="K31" s="3" t="s">
        <v>1432</v>
      </c>
      <c r="L31" s="112" t="s">
        <v>3921</v>
      </c>
      <c r="M31" s="34" t="s">
        <v>3923</v>
      </c>
    </row>
    <row r="32" spans="1:13" x14ac:dyDescent="0.3">
      <c r="A32" s="33">
        <v>30</v>
      </c>
      <c r="B32" s="30" t="s">
        <v>1446</v>
      </c>
      <c r="C32" s="33"/>
      <c r="D32" s="33" t="s">
        <v>1016</v>
      </c>
      <c r="E32" s="33"/>
      <c r="F32" s="30" t="s">
        <v>3909</v>
      </c>
      <c r="G32" s="30" t="s">
        <v>3910</v>
      </c>
      <c r="H32" s="281" t="s">
        <v>3917</v>
      </c>
      <c r="I32" s="281" t="s">
        <v>3918</v>
      </c>
      <c r="J32" s="33">
        <v>3</v>
      </c>
      <c r="K32" s="3" t="s">
        <v>1432</v>
      </c>
      <c r="L32" s="112" t="s">
        <v>3921</v>
      </c>
      <c r="M32" s="34" t="s">
        <v>3945</v>
      </c>
    </row>
    <row r="33" spans="1:13" x14ac:dyDescent="0.3">
      <c r="A33" s="33">
        <v>31</v>
      </c>
      <c r="B33" s="30" t="s">
        <v>3911</v>
      </c>
      <c r="C33" s="33" t="s">
        <v>1016</v>
      </c>
      <c r="D33" s="33"/>
      <c r="E33" s="33"/>
      <c r="F33" s="30" t="s">
        <v>3912</v>
      </c>
      <c r="G33" s="30" t="s">
        <v>3913</v>
      </c>
      <c r="H33" s="281">
        <v>43898</v>
      </c>
      <c r="I33" s="281">
        <v>44993</v>
      </c>
      <c r="J33" s="33">
        <v>3</v>
      </c>
      <c r="K33" s="3" t="s">
        <v>1432</v>
      </c>
      <c r="L33" s="112" t="s">
        <v>3921</v>
      </c>
      <c r="M33" s="34" t="s">
        <v>3946</v>
      </c>
    </row>
    <row r="34" spans="1:13" x14ac:dyDescent="0.3">
      <c r="A34" s="33">
        <v>32</v>
      </c>
      <c r="B34" s="30" t="s">
        <v>3914</v>
      </c>
      <c r="C34" s="33"/>
      <c r="D34" s="33" t="s">
        <v>1016</v>
      </c>
      <c r="E34" s="33"/>
      <c r="F34" s="30" t="s">
        <v>3915</v>
      </c>
      <c r="G34" s="30" t="s">
        <v>3916</v>
      </c>
      <c r="H34" s="110" t="s">
        <v>3919</v>
      </c>
      <c r="I34" s="110" t="s">
        <v>3920</v>
      </c>
      <c r="J34" s="33">
        <v>1</v>
      </c>
      <c r="K34" s="3" t="s">
        <v>1432</v>
      </c>
      <c r="L34" s="112" t="s">
        <v>3921</v>
      </c>
      <c r="M34" s="34" t="s">
        <v>3922</v>
      </c>
    </row>
    <row r="37" spans="1:13" ht="23.4" x14ac:dyDescent="0.3">
      <c r="B37" s="312" t="s">
        <v>4039</v>
      </c>
    </row>
  </sheetData>
  <protectedRanges>
    <protectedRange sqref="L31" name="Range1"/>
    <protectedRange sqref="L32" name="Range1_1"/>
    <protectedRange sqref="L33" name="Range1_4"/>
    <protectedRange sqref="L34" name="Range1_5"/>
  </protectedRanges>
  <autoFilter ref="A1:M30" xr:uid="{33A6BD4A-E400-45C4-BDD3-D7AF6F80EBF5}">
    <filterColumn colId="2" showButton="0"/>
    <filterColumn colId="3" showButton="0"/>
  </autoFilter>
  <mergeCells count="11">
    <mergeCell ref="H1:H2"/>
    <mergeCell ref="A1:A2"/>
    <mergeCell ref="B1:B2"/>
    <mergeCell ref="C1:E1"/>
    <mergeCell ref="F1:F2"/>
    <mergeCell ref="G1:G2"/>
    <mergeCell ref="I1:I2"/>
    <mergeCell ref="J1:J2"/>
    <mergeCell ref="K1:K2"/>
    <mergeCell ref="L1:L2"/>
    <mergeCell ref="M1:M2"/>
  </mergeCells>
  <dataValidations count="2">
    <dataValidation type="custom" allowBlank="1" showDropDown="1" showInputMessage="1" showErrorMessage="1" prompt="Masukan data yang valid. Contoh tanggal : 29 Desember 2021, maka input yang valid adalah 29/12/2021. Data TS pada sheet 'Menu' harus diisi" sqref="H3:I30" xr:uid="{6C30A2E1-1ADD-41FE-A37C-09B62098996F}">
      <formula1>OR(NOT(ISERROR(DATEVALUE(H3))), AND(ISNUMBER(H3), LEFT(CELL("format", H3))="D"))</formula1>
    </dataValidation>
    <dataValidation type="list" allowBlank="1" showErrorMessage="1" sqref="L31:L34" xr:uid="{EC1920B7-C2D2-432E-9B2E-3A0BB954BA26}">
      <formula1>$L$3:$L$6</formula1>
    </dataValidation>
  </dataValidations>
  <hyperlinks>
    <hyperlink ref="M4" r:id="rId1" xr:uid="{38A76825-BE54-436B-9E6F-87A2E65B9E4C}"/>
    <hyperlink ref="M5" r:id="rId2" xr:uid="{D91673B7-702A-48CB-AE71-FCE2C0C58069}"/>
    <hyperlink ref="M6" r:id="rId3" xr:uid="{C0E33B74-1855-4AC9-AAE3-899C0D796398}"/>
    <hyperlink ref="M7" r:id="rId4" xr:uid="{827863A0-0635-4F65-9729-2CFBD859D502}"/>
    <hyperlink ref="M8" r:id="rId5" xr:uid="{38208653-948E-44BD-AA37-D35163FCA663}"/>
    <hyperlink ref="M18" r:id="rId6" xr:uid="{BE9531F6-5B21-4C4C-BB01-72456D8A08A4}"/>
    <hyperlink ref="M20" r:id="rId7" xr:uid="{1AD1ABE4-4EC5-4A8E-88FE-3447C4FF6F9C}"/>
    <hyperlink ref="M21" r:id="rId8" xr:uid="{4A558D0B-33E8-4E96-8C1F-1D181E2DE385}"/>
    <hyperlink ref="M22" r:id="rId9" xr:uid="{39B5D1D3-554C-436C-B754-DDA61686578F}"/>
    <hyperlink ref="M25" r:id="rId10" xr:uid="{E020C891-D6E4-4B58-B921-6E34D3AFE0A7}"/>
    <hyperlink ref="M26" r:id="rId11" xr:uid="{2D549049-FD45-42CA-83DE-E75124C6A24E}"/>
    <hyperlink ref="M27" r:id="rId12" xr:uid="{2AACE61D-769D-496F-9B6B-EA88061053BD}"/>
    <hyperlink ref="M28" r:id="rId13" xr:uid="{E1300E9E-BC6D-4144-90D7-509F0F27E96E}"/>
    <hyperlink ref="M29" r:id="rId14" xr:uid="{61C75821-330B-47D1-9B27-054472D4E584}"/>
    <hyperlink ref="M30" r:id="rId15" xr:uid="{250AC7D7-874B-4818-AAB5-6D499AC7342C}"/>
    <hyperlink ref="M23" r:id="rId16" xr:uid="{E2CAD59C-E03C-445A-90FA-118B818BD56D}"/>
    <hyperlink ref="M24" r:id="rId17" xr:uid="{86326822-F24D-435E-8E48-5B4ADF58EA8A}"/>
    <hyperlink ref="M3" r:id="rId18" xr:uid="{F9DC3E8E-676F-45B1-8E29-64870963E46F}"/>
    <hyperlink ref="M10" r:id="rId19" xr:uid="{60BD5610-4B41-4636-BA7F-682D102317B9}"/>
    <hyperlink ref="M9" r:id="rId20" xr:uid="{6E80DD6A-C55F-453A-BD5F-FF11A23022C4}"/>
    <hyperlink ref="M11" r:id="rId21" xr:uid="{98C42DCC-C4CB-4F7E-A7E9-6FB15A7D74C1}"/>
    <hyperlink ref="M12" r:id="rId22" xr:uid="{2C13A309-8C97-4153-9E24-139683D5764E}"/>
    <hyperlink ref="M13" r:id="rId23" xr:uid="{5742DD6F-9953-476F-ABD0-D3C7F942D86B}"/>
    <hyperlink ref="M14" r:id="rId24" xr:uid="{5D09AF9F-7F96-494D-A72E-4C44F8CA5EF5}"/>
    <hyperlink ref="M15" r:id="rId25" xr:uid="{651EEB2F-F9CE-485D-8D1E-32D4DFA39797}"/>
    <hyperlink ref="M16" r:id="rId26" xr:uid="{2A57B572-BC6A-436B-9F82-6AE10EC68FDF}"/>
    <hyperlink ref="M17" r:id="rId27" xr:uid="{86642DA8-C0CD-4A7F-9163-07E05D7AC414}"/>
    <hyperlink ref="M19" r:id="rId28" xr:uid="{D86A98F0-0A01-4F10-BD0A-DA523C65DBE6}"/>
    <hyperlink ref="M34" r:id="rId29" xr:uid="{580E883D-B36C-42DF-9DBD-552BA8670804}"/>
    <hyperlink ref="M31" r:id="rId30" xr:uid="{B939B60D-C693-4DD7-B5F6-13EA5852F310}"/>
    <hyperlink ref="M32" r:id="rId31" xr:uid="{1A185959-1D28-41E4-89BB-007535E202CF}"/>
    <hyperlink ref="M33" r:id="rId32" xr:uid="{62DC315D-73BE-42FE-B5CF-EC4CB8245F56}"/>
    <hyperlink ref="B37" location="'Daftar Sheet'!A1" display="&lt;&lt;&lt; Daftar Sheet" xr:uid="{29A91793-2DDB-4344-AC57-FCB834B82CF5}"/>
  </hyperlinks>
  <pageMargins left="0.7" right="0.7" top="0.75" bottom="0.75" header="0.3" footer="0.3"/>
  <pageSetup paperSize="224" orientation="portrait" horizontalDpi="300" verticalDpi="300" r:id="rId3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F3187-88AC-464D-80E1-502FB57932B8}">
  <dimension ref="A1:M33"/>
  <sheetViews>
    <sheetView workbookViewId="0">
      <pane xSplit="1" ySplit="2" topLeftCell="G18" activePane="bottomRight" state="frozen"/>
      <selection activeCell="M12" sqref="M12"/>
      <selection pane="topRight" activeCell="M12" sqref="M12"/>
      <selection pane="bottomLeft" activeCell="M12" sqref="M12"/>
      <selection pane="bottomRight" activeCell="G24" sqref="G24"/>
    </sheetView>
  </sheetViews>
  <sheetFormatPr defaultRowHeight="14.4" x14ac:dyDescent="0.3"/>
  <cols>
    <col min="1" max="1" width="3.77734375" style="1" bestFit="1" customWidth="1"/>
    <col min="2" max="2" width="113.44140625" bestFit="1" customWidth="1"/>
    <col min="3" max="3" width="12.44140625" style="1" bestFit="1" customWidth="1"/>
    <col min="4" max="4" width="8" style="1" bestFit="1" customWidth="1"/>
    <col min="5" max="5" width="13.21875" style="1" bestFit="1" customWidth="1"/>
    <col min="6" max="6" width="147.5546875" bestFit="1" customWidth="1"/>
    <col min="7" max="7" width="149.6640625" bestFit="1" customWidth="1"/>
    <col min="8" max="8" width="33.44140625" style="111" bestFit="1" customWidth="1"/>
    <col min="9" max="9" width="33.77734375" style="111" bestFit="1" customWidth="1"/>
    <col min="10" max="10" width="18.6640625" style="1" customWidth="1"/>
    <col min="11" max="11" width="15.109375" style="10" bestFit="1" customWidth="1"/>
    <col min="12" max="12" width="28" bestFit="1" customWidth="1"/>
    <col min="13" max="13" width="80.44140625" bestFit="1" customWidth="1"/>
  </cols>
  <sheetData>
    <row r="1" spans="1:13" x14ac:dyDescent="0.3">
      <c r="A1" s="391" t="s">
        <v>51</v>
      </c>
      <c r="B1" s="391" t="s">
        <v>1419</v>
      </c>
      <c r="C1" s="391" t="s">
        <v>1010</v>
      </c>
      <c r="D1" s="391"/>
      <c r="E1" s="391"/>
      <c r="F1" s="391" t="s">
        <v>1420</v>
      </c>
      <c r="G1" s="391" t="s">
        <v>1421</v>
      </c>
      <c r="H1" s="390" t="s">
        <v>1422</v>
      </c>
      <c r="I1" s="390" t="s">
        <v>1423</v>
      </c>
      <c r="J1" s="391" t="s">
        <v>1424</v>
      </c>
      <c r="K1" s="391" t="s">
        <v>1425</v>
      </c>
      <c r="L1" s="391" t="s">
        <v>1426</v>
      </c>
      <c r="M1" s="391" t="s">
        <v>1477</v>
      </c>
    </row>
    <row r="2" spans="1:13" x14ac:dyDescent="0.3">
      <c r="A2" s="391"/>
      <c r="B2" s="391"/>
      <c r="C2" s="2" t="s">
        <v>1427</v>
      </c>
      <c r="D2" s="2" t="s">
        <v>488</v>
      </c>
      <c r="E2" s="2" t="s">
        <v>1428</v>
      </c>
      <c r="F2" s="391"/>
      <c r="G2" s="391"/>
      <c r="H2" s="390"/>
      <c r="I2" s="390"/>
      <c r="J2" s="391"/>
      <c r="K2" s="391"/>
      <c r="L2" s="391"/>
      <c r="M2" s="391"/>
    </row>
    <row r="3" spans="1:13" x14ac:dyDescent="0.3">
      <c r="A3" s="33">
        <v>1</v>
      </c>
      <c r="B3" s="30" t="s">
        <v>1434</v>
      </c>
      <c r="C3" s="33"/>
      <c r="D3" s="33" t="s">
        <v>1016</v>
      </c>
      <c r="E3" s="33"/>
      <c r="F3" s="30" t="s">
        <v>1435</v>
      </c>
      <c r="G3" s="30" t="s">
        <v>1436</v>
      </c>
      <c r="H3" s="109">
        <v>44754</v>
      </c>
      <c r="I3" s="109">
        <v>45850</v>
      </c>
      <c r="J3" s="33">
        <v>3</v>
      </c>
      <c r="K3" s="3" t="s">
        <v>1432</v>
      </c>
      <c r="L3" s="30" t="s">
        <v>1433</v>
      </c>
      <c r="M3" s="34" t="s">
        <v>2276</v>
      </c>
    </row>
    <row r="4" spans="1:13" x14ac:dyDescent="0.3">
      <c r="A4" s="33">
        <v>2</v>
      </c>
      <c r="B4" s="30" t="s">
        <v>1434</v>
      </c>
      <c r="C4" s="33"/>
      <c r="D4" s="33" t="s">
        <v>1016</v>
      </c>
      <c r="E4" s="33"/>
      <c r="F4" s="30" t="s">
        <v>1437</v>
      </c>
      <c r="G4" s="30" t="s">
        <v>1436</v>
      </c>
      <c r="H4" s="109">
        <v>44754</v>
      </c>
      <c r="I4" s="109">
        <v>45850</v>
      </c>
      <c r="J4" s="33">
        <v>3</v>
      </c>
      <c r="K4" s="3" t="s">
        <v>1432</v>
      </c>
      <c r="L4" s="30" t="s">
        <v>1433</v>
      </c>
      <c r="M4" s="34" t="s">
        <v>2276</v>
      </c>
    </row>
    <row r="5" spans="1:13" x14ac:dyDescent="0.3">
      <c r="A5" s="33">
        <v>3</v>
      </c>
      <c r="B5" s="30" t="s">
        <v>1438</v>
      </c>
      <c r="C5" s="33"/>
      <c r="D5" s="33" t="s">
        <v>1016</v>
      </c>
      <c r="E5" s="33"/>
      <c r="F5" s="30" t="s">
        <v>1435</v>
      </c>
      <c r="G5" s="30" t="s">
        <v>1441</v>
      </c>
      <c r="H5" s="109">
        <v>42852</v>
      </c>
      <c r="I5" s="109">
        <v>44678</v>
      </c>
      <c r="J5" s="33">
        <v>5</v>
      </c>
      <c r="K5" s="3" t="s">
        <v>1432</v>
      </c>
      <c r="L5" s="30" t="s">
        <v>1433</v>
      </c>
      <c r="M5" s="34" t="s">
        <v>2277</v>
      </c>
    </row>
    <row r="6" spans="1:13" x14ac:dyDescent="0.3">
      <c r="A6" s="33">
        <v>4</v>
      </c>
      <c r="B6" s="30" t="s">
        <v>1442</v>
      </c>
      <c r="C6" s="33"/>
      <c r="D6" s="33" t="s">
        <v>1016</v>
      </c>
      <c r="E6" s="33"/>
      <c r="F6" s="30" t="s">
        <v>1483</v>
      </c>
      <c r="G6" s="30" t="s">
        <v>1484</v>
      </c>
      <c r="H6" s="109">
        <v>44270</v>
      </c>
      <c r="I6" s="109">
        <v>46096</v>
      </c>
      <c r="J6" s="33">
        <v>5</v>
      </c>
      <c r="K6" s="3" t="s">
        <v>1432</v>
      </c>
      <c r="L6" s="30" t="s">
        <v>1433</v>
      </c>
      <c r="M6" s="34" t="s">
        <v>2278</v>
      </c>
    </row>
    <row r="7" spans="1:13" x14ac:dyDescent="0.3">
      <c r="A7" s="33">
        <v>5</v>
      </c>
      <c r="B7" s="30" t="s">
        <v>1443</v>
      </c>
      <c r="C7" s="33"/>
      <c r="D7" s="33" t="s">
        <v>1016</v>
      </c>
      <c r="E7" s="33"/>
      <c r="F7" s="30" t="s">
        <v>1435</v>
      </c>
      <c r="G7" s="30" t="s">
        <v>1441</v>
      </c>
      <c r="H7" s="109">
        <v>42877</v>
      </c>
      <c r="I7" s="109">
        <v>44703</v>
      </c>
      <c r="J7" s="33">
        <v>5</v>
      </c>
      <c r="K7" s="3" t="s">
        <v>1432</v>
      </c>
      <c r="L7" s="30" t="s">
        <v>1433</v>
      </c>
      <c r="M7" s="34" t="s">
        <v>2279</v>
      </c>
    </row>
    <row r="8" spans="1:13" x14ac:dyDescent="0.3">
      <c r="A8" s="33">
        <v>6</v>
      </c>
      <c r="B8" s="30" t="s">
        <v>1446</v>
      </c>
      <c r="C8" s="33"/>
      <c r="D8" s="33" t="s">
        <v>1016</v>
      </c>
      <c r="E8" s="33"/>
      <c r="F8" s="30" t="s">
        <v>1447</v>
      </c>
      <c r="G8" s="30" t="s">
        <v>1441</v>
      </c>
      <c r="H8" s="109">
        <v>42843</v>
      </c>
      <c r="I8" s="109">
        <v>43939</v>
      </c>
      <c r="J8" s="33">
        <v>3</v>
      </c>
      <c r="K8" s="3" t="s">
        <v>1432</v>
      </c>
      <c r="L8" s="30" t="s">
        <v>1433</v>
      </c>
      <c r="M8" s="34" t="s">
        <v>1505</v>
      </c>
    </row>
    <row r="9" spans="1:13" x14ac:dyDescent="0.3">
      <c r="A9" s="33">
        <v>7</v>
      </c>
      <c r="B9" s="30" t="s">
        <v>1446</v>
      </c>
      <c r="C9" s="33"/>
      <c r="D9" s="33" t="s">
        <v>1016</v>
      </c>
      <c r="E9" s="33"/>
      <c r="F9" s="30" t="s">
        <v>1448</v>
      </c>
      <c r="G9" s="30" t="s">
        <v>1441</v>
      </c>
      <c r="H9" s="109">
        <v>42843</v>
      </c>
      <c r="I9" s="109">
        <v>43939</v>
      </c>
      <c r="J9" s="33">
        <v>3</v>
      </c>
      <c r="K9" s="3" t="s">
        <v>1432</v>
      </c>
      <c r="L9" s="30" t="s">
        <v>1433</v>
      </c>
      <c r="M9" s="34" t="s">
        <v>1505</v>
      </c>
    </row>
    <row r="10" spans="1:13" x14ac:dyDescent="0.3">
      <c r="A10" s="33">
        <v>8</v>
      </c>
      <c r="B10" s="30" t="s">
        <v>1449</v>
      </c>
      <c r="C10" s="33"/>
      <c r="D10" s="33" t="s">
        <v>1016</v>
      </c>
      <c r="E10" s="33"/>
      <c r="F10" s="30" t="s">
        <v>1450</v>
      </c>
      <c r="G10" s="30" t="s">
        <v>1441</v>
      </c>
      <c r="H10" s="109">
        <v>42219</v>
      </c>
      <c r="I10" s="109">
        <v>45872</v>
      </c>
      <c r="J10" s="33">
        <v>10</v>
      </c>
      <c r="K10" s="3" t="s">
        <v>1432</v>
      </c>
      <c r="L10" s="30" t="s">
        <v>1433</v>
      </c>
      <c r="M10" s="34" t="s">
        <v>2280</v>
      </c>
    </row>
    <row r="11" spans="1:13" x14ac:dyDescent="0.3">
      <c r="A11" s="33">
        <v>9</v>
      </c>
      <c r="B11" s="30" t="s">
        <v>1451</v>
      </c>
      <c r="C11" s="33"/>
      <c r="D11" s="33" t="s">
        <v>1016</v>
      </c>
      <c r="E11" s="33"/>
      <c r="F11" s="30" t="s">
        <v>1452</v>
      </c>
      <c r="G11" s="30" t="s">
        <v>1441</v>
      </c>
      <c r="H11" s="109">
        <v>44981</v>
      </c>
      <c r="I11" s="109">
        <v>46807</v>
      </c>
      <c r="J11" s="33">
        <v>5</v>
      </c>
      <c r="K11" s="3" t="s">
        <v>1432</v>
      </c>
      <c r="L11" s="30" t="s">
        <v>1433</v>
      </c>
      <c r="M11" s="34" t="s">
        <v>2281</v>
      </c>
    </row>
    <row r="12" spans="1:13" x14ac:dyDescent="0.3">
      <c r="A12" s="33">
        <v>10</v>
      </c>
      <c r="B12" s="30" t="s">
        <v>1449</v>
      </c>
      <c r="C12" s="33"/>
      <c r="D12" s="33" t="s">
        <v>1016</v>
      </c>
      <c r="E12" s="33"/>
      <c r="F12" s="30" t="s">
        <v>1453</v>
      </c>
      <c r="G12" s="30" t="s">
        <v>1441</v>
      </c>
      <c r="H12" s="109">
        <v>42219</v>
      </c>
      <c r="I12" s="109">
        <v>45872</v>
      </c>
      <c r="J12" s="33">
        <v>10</v>
      </c>
      <c r="K12" s="3" t="s">
        <v>1432</v>
      </c>
      <c r="L12" s="30" t="s">
        <v>1433</v>
      </c>
      <c r="M12" s="34" t="s">
        <v>2282</v>
      </c>
    </row>
    <row r="13" spans="1:13" x14ac:dyDescent="0.3">
      <c r="A13" s="33">
        <v>11</v>
      </c>
      <c r="B13" s="30" t="s">
        <v>1449</v>
      </c>
      <c r="C13" s="33"/>
      <c r="D13" s="33" t="s">
        <v>1016</v>
      </c>
      <c r="E13" s="33"/>
      <c r="F13" s="30" t="s">
        <v>1454</v>
      </c>
      <c r="G13" s="30" t="s">
        <v>1441</v>
      </c>
      <c r="H13" s="109">
        <v>42219</v>
      </c>
      <c r="I13" s="109">
        <v>45872</v>
      </c>
      <c r="J13" s="33">
        <v>10</v>
      </c>
      <c r="K13" s="3" t="s">
        <v>1432</v>
      </c>
      <c r="L13" s="30" t="s">
        <v>1433</v>
      </c>
      <c r="M13" s="34" t="s">
        <v>2283</v>
      </c>
    </row>
    <row r="14" spans="1:13" x14ac:dyDescent="0.3">
      <c r="A14" s="33">
        <v>12</v>
      </c>
      <c r="B14" s="30" t="s">
        <v>1455</v>
      </c>
      <c r="C14" s="33"/>
      <c r="D14" s="33" t="s">
        <v>1016</v>
      </c>
      <c r="E14" s="33"/>
      <c r="F14" s="30" t="s">
        <v>1456</v>
      </c>
      <c r="G14" s="30" t="s">
        <v>1441</v>
      </c>
      <c r="H14" s="109">
        <v>42508</v>
      </c>
      <c r="I14" s="109">
        <v>44334</v>
      </c>
      <c r="J14" s="33">
        <v>5</v>
      </c>
      <c r="K14" s="3" t="s">
        <v>1432</v>
      </c>
      <c r="L14" s="30" t="s">
        <v>1433</v>
      </c>
      <c r="M14" s="34" t="s">
        <v>1506</v>
      </c>
    </row>
    <row r="15" spans="1:13" x14ac:dyDescent="0.3">
      <c r="A15" s="33">
        <v>13</v>
      </c>
      <c r="B15" s="30" t="s">
        <v>1446</v>
      </c>
      <c r="C15" s="33"/>
      <c r="D15" s="33" t="s">
        <v>1016</v>
      </c>
      <c r="E15" s="33"/>
      <c r="F15" s="30" t="s">
        <v>1457</v>
      </c>
      <c r="G15" s="30" t="s">
        <v>1441</v>
      </c>
      <c r="H15" s="109">
        <v>42843</v>
      </c>
      <c r="I15" s="109">
        <v>43939</v>
      </c>
      <c r="J15" s="33">
        <v>3</v>
      </c>
      <c r="K15" s="3" t="s">
        <v>1432</v>
      </c>
      <c r="L15" s="30" t="s">
        <v>1433</v>
      </c>
      <c r="M15" s="34" t="s">
        <v>2284</v>
      </c>
    </row>
    <row r="16" spans="1:13" x14ac:dyDescent="0.3">
      <c r="A16" s="33">
        <v>14</v>
      </c>
      <c r="B16" s="30" t="s">
        <v>1449</v>
      </c>
      <c r="C16" s="33"/>
      <c r="D16" s="33" t="s">
        <v>1016</v>
      </c>
      <c r="E16" s="33"/>
      <c r="F16" s="30" t="s">
        <v>1458</v>
      </c>
      <c r="G16" s="30" t="s">
        <v>1441</v>
      </c>
      <c r="H16" s="109">
        <v>42219</v>
      </c>
      <c r="I16" s="109">
        <v>45872</v>
      </c>
      <c r="J16" s="33">
        <v>10</v>
      </c>
      <c r="K16" s="3" t="s">
        <v>1432</v>
      </c>
      <c r="L16" s="30" t="s">
        <v>1433</v>
      </c>
      <c r="M16" s="34" t="s">
        <v>2285</v>
      </c>
    </row>
    <row r="17" spans="1:13" x14ac:dyDescent="0.3">
      <c r="A17" s="33">
        <v>15</v>
      </c>
      <c r="B17" s="30" t="s">
        <v>1459</v>
      </c>
      <c r="C17" s="33"/>
      <c r="D17" s="33" t="s">
        <v>1016</v>
      </c>
      <c r="E17" s="33"/>
      <c r="F17" s="30" t="s">
        <v>1460</v>
      </c>
      <c r="G17" s="30" t="s">
        <v>1441</v>
      </c>
      <c r="H17" s="109">
        <v>43340</v>
      </c>
      <c r="I17" s="109">
        <v>44071</v>
      </c>
      <c r="J17" s="33">
        <v>2</v>
      </c>
      <c r="K17" s="3" t="s">
        <v>1432</v>
      </c>
      <c r="L17" s="30" t="s">
        <v>1433</v>
      </c>
      <c r="M17" s="34" t="s">
        <v>2286</v>
      </c>
    </row>
    <row r="18" spans="1:13" x14ac:dyDescent="0.3">
      <c r="A18" s="33">
        <v>16</v>
      </c>
      <c r="B18" s="30" t="s">
        <v>1459</v>
      </c>
      <c r="C18" s="33"/>
      <c r="D18" s="33" t="s">
        <v>1016</v>
      </c>
      <c r="E18" s="33"/>
      <c r="F18" s="30" t="s">
        <v>1461</v>
      </c>
      <c r="G18" s="30" t="s">
        <v>1462</v>
      </c>
      <c r="H18" s="109">
        <v>43340</v>
      </c>
      <c r="I18" s="109">
        <v>44071</v>
      </c>
      <c r="J18" s="33">
        <v>2</v>
      </c>
      <c r="K18" s="3" t="s">
        <v>1432</v>
      </c>
      <c r="L18" s="30" t="s">
        <v>1433</v>
      </c>
      <c r="M18" s="34" t="s">
        <v>2286</v>
      </c>
    </row>
    <row r="19" spans="1:13" x14ac:dyDescent="0.3">
      <c r="A19" s="33">
        <v>17</v>
      </c>
      <c r="B19" s="30" t="s">
        <v>1476</v>
      </c>
      <c r="C19" s="33"/>
      <c r="D19" s="33" t="s">
        <v>1016</v>
      </c>
      <c r="E19" s="33"/>
      <c r="F19" s="30" t="s">
        <v>1485</v>
      </c>
      <c r="G19" s="30" t="s">
        <v>1486</v>
      </c>
      <c r="H19" s="109">
        <v>42041</v>
      </c>
      <c r="I19" s="109">
        <v>43867</v>
      </c>
      <c r="J19" s="33">
        <v>5</v>
      </c>
      <c r="K19" s="3" t="s">
        <v>1432</v>
      </c>
      <c r="L19" s="30" t="s">
        <v>1433</v>
      </c>
      <c r="M19" s="34" t="s">
        <v>2287</v>
      </c>
    </row>
    <row r="20" spans="1:13" x14ac:dyDescent="0.3">
      <c r="A20" s="33">
        <v>18</v>
      </c>
      <c r="B20" s="30" t="s">
        <v>1487</v>
      </c>
      <c r="C20" s="33"/>
      <c r="D20" s="33"/>
      <c r="E20" s="33" t="s">
        <v>1099</v>
      </c>
      <c r="F20" s="30" t="s">
        <v>1488</v>
      </c>
      <c r="G20" s="30" t="s">
        <v>1489</v>
      </c>
      <c r="H20" s="109">
        <v>44214</v>
      </c>
      <c r="I20" s="109">
        <v>44944</v>
      </c>
      <c r="J20" s="33">
        <v>2</v>
      </c>
      <c r="K20" s="3" t="s">
        <v>1432</v>
      </c>
      <c r="L20" s="30" t="s">
        <v>1433</v>
      </c>
      <c r="M20" s="34" t="s">
        <v>1507</v>
      </c>
    </row>
    <row r="21" spans="1:13" x14ac:dyDescent="0.3">
      <c r="A21" s="33">
        <v>19</v>
      </c>
      <c r="B21" s="30" t="s">
        <v>1490</v>
      </c>
      <c r="C21" s="33"/>
      <c r="D21" s="33" t="s">
        <v>1016</v>
      </c>
      <c r="E21" s="33"/>
      <c r="F21" s="30" t="s">
        <v>1491</v>
      </c>
      <c r="G21" s="30" t="s">
        <v>1492</v>
      </c>
      <c r="H21" s="109">
        <v>44615</v>
      </c>
      <c r="I21" s="109">
        <v>44765</v>
      </c>
      <c r="J21" s="33">
        <v>0</v>
      </c>
      <c r="K21" s="3" t="s">
        <v>1432</v>
      </c>
      <c r="L21" s="30" t="s">
        <v>1433</v>
      </c>
      <c r="M21" s="34" t="s">
        <v>1508</v>
      </c>
    </row>
    <row r="22" spans="1:13" x14ac:dyDescent="0.3">
      <c r="A22" s="33">
        <v>20</v>
      </c>
      <c r="B22" s="30" t="s">
        <v>1493</v>
      </c>
      <c r="C22" s="33"/>
      <c r="D22" s="33" t="s">
        <v>1099</v>
      </c>
      <c r="E22" s="33"/>
      <c r="F22" s="30" t="s">
        <v>1494</v>
      </c>
      <c r="G22" s="30" t="s">
        <v>1495</v>
      </c>
      <c r="H22" s="109">
        <v>43598</v>
      </c>
      <c r="I22" s="109">
        <v>43964</v>
      </c>
      <c r="J22" s="33">
        <v>1</v>
      </c>
      <c r="K22" s="3" t="s">
        <v>1432</v>
      </c>
      <c r="L22" s="30" t="s">
        <v>1433</v>
      </c>
      <c r="M22" s="34" t="s">
        <v>1509</v>
      </c>
    </row>
    <row r="23" spans="1:13" x14ac:dyDescent="0.3">
      <c r="A23" s="33">
        <v>21</v>
      </c>
      <c r="B23" s="30" t="s">
        <v>1496</v>
      </c>
      <c r="C23" s="33"/>
      <c r="D23" s="33" t="s">
        <v>1016</v>
      </c>
      <c r="E23" s="33"/>
      <c r="F23" s="30" t="s">
        <v>1497</v>
      </c>
      <c r="G23" s="30" t="s">
        <v>1486</v>
      </c>
      <c r="H23" s="109">
        <v>43350</v>
      </c>
      <c r="I23" s="109">
        <v>44446</v>
      </c>
      <c r="J23" s="33">
        <v>3</v>
      </c>
      <c r="K23" s="3" t="s">
        <v>1432</v>
      </c>
      <c r="L23" s="30" t="s">
        <v>1433</v>
      </c>
      <c r="M23" s="34" t="s">
        <v>1510</v>
      </c>
    </row>
    <row r="24" spans="1:13" x14ac:dyDescent="0.3">
      <c r="A24" s="33">
        <v>22</v>
      </c>
      <c r="B24" s="30" t="s">
        <v>1463</v>
      </c>
      <c r="C24" s="33" t="s">
        <v>1016</v>
      </c>
      <c r="D24" s="33"/>
      <c r="E24" s="33"/>
      <c r="F24" s="30" t="s">
        <v>1498</v>
      </c>
      <c r="G24" s="30" t="s">
        <v>1465</v>
      </c>
      <c r="H24" s="109">
        <v>44886</v>
      </c>
      <c r="I24" s="109">
        <v>45982</v>
      </c>
      <c r="J24" s="33">
        <v>3</v>
      </c>
      <c r="K24" s="3" t="s">
        <v>1432</v>
      </c>
      <c r="L24" s="30" t="s">
        <v>1433</v>
      </c>
      <c r="M24" s="34" t="s">
        <v>1511</v>
      </c>
    </row>
    <row r="25" spans="1:13" x14ac:dyDescent="0.3">
      <c r="A25" s="33">
        <v>23</v>
      </c>
      <c r="B25" s="30" t="s">
        <v>1471</v>
      </c>
      <c r="C25" s="33"/>
      <c r="D25" s="33" t="s">
        <v>1016</v>
      </c>
      <c r="E25" s="33"/>
      <c r="F25" s="30" t="s">
        <v>1499</v>
      </c>
      <c r="G25" s="30" t="s">
        <v>1473</v>
      </c>
      <c r="H25" s="109">
        <v>45061</v>
      </c>
      <c r="I25" s="109">
        <v>46157</v>
      </c>
      <c r="J25" s="33">
        <v>3</v>
      </c>
      <c r="K25" s="3" t="s">
        <v>1432</v>
      </c>
      <c r="L25" s="30" t="s">
        <v>1433</v>
      </c>
      <c r="M25" s="34" t="s">
        <v>1512</v>
      </c>
    </row>
    <row r="26" spans="1:13" x14ac:dyDescent="0.3">
      <c r="A26" s="33">
        <v>24</v>
      </c>
      <c r="B26" s="30" t="s">
        <v>1500</v>
      </c>
      <c r="C26" s="33"/>
      <c r="D26" s="33"/>
      <c r="E26" s="33" t="s">
        <v>1099</v>
      </c>
      <c r="F26" s="30" t="s">
        <v>1501</v>
      </c>
      <c r="G26" s="30" t="s">
        <v>1502</v>
      </c>
      <c r="H26" s="109">
        <v>44141</v>
      </c>
      <c r="I26" s="109">
        <v>45236</v>
      </c>
      <c r="J26" s="33">
        <v>3</v>
      </c>
      <c r="K26" s="3" t="s">
        <v>1432</v>
      </c>
      <c r="L26" s="30" t="s">
        <v>1433</v>
      </c>
      <c r="M26" s="34" t="s">
        <v>1513</v>
      </c>
    </row>
    <row r="27" spans="1:13" x14ac:dyDescent="0.3">
      <c r="A27" s="33">
        <v>25</v>
      </c>
      <c r="B27" s="30" t="s">
        <v>1515</v>
      </c>
      <c r="C27" s="33" t="s">
        <v>1016</v>
      </c>
      <c r="D27" s="33"/>
      <c r="E27" s="33"/>
      <c r="F27" s="30" t="s">
        <v>1435</v>
      </c>
      <c r="G27" s="30" t="s">
        <v>1441</v>
      </c>
      <c r="H27" s="109">
        <v>44046</v>
      </c>
      <c r="I27" s="109">
        <v>45141</v>
      </c>
      <c r="J27" s="33">
        <v>3</v>
      </c>
      <c r="K27" s="3" t="s">
        <v>1432</v>
      </c>
      <c r="L27" s="30" t="s">
        <v>1433</v>
      </c>
      <c r="M27" s="34" t="s">
        <v>2288</v>
      </c>
    </row>
    <row r="28" spans="1:13" x14ac:dyDescent="0.3">
      <c r="A28" s="33">
        <v>26</v>
      </c>
      <c r="B28" s="30" t="s">
        <v>1516</v>
      </c>
      <c r="C28" s="33" t="s">
        <v>1016</v>
      </c>
      <c r="D28" s="33"/>
      <c r="E28" s="33"/>
      <c r="F28" s="30" t="s">
        <v>1435</v>
      </c>
      <c r="G28" s="30" t="s">
        <v>1441</v>
      </c>
      <c r="H28" s="109">
        <v>44046</v>
      </c>
      <c r="I28" s="109">
        <v>45141</v>
      </c>
      <c r="J28" s="33">
        <v>3</v>
      </c>
      <c r="K28" s="3" t="s">
        <v>1432</v>
      </c>
      <c r="L28" s="30" t="s">
        <v>1433</v>
      </c>
      <c r="M28" s="34" t="s">
        <v>2289</v>
      </c>
    </row>
    <row r="29" spans="1:13" x14ac:dyDescent="0.3">
      <c r="A29" s="33">
        <v>27</v>
      </c>
      <c r="B29" s="30" t="s">
        <v>1517</v>
      </c>
      <c r="C29" s="33" t="s">
        <v>1016</v>
      </c>
      <c r="D29" s="33"/>
      <c r="E29" s="33"/>
      <c r="F29" s="30" t="s">
        <v>1435</v>
      </c>
      <c r="G29" s="30" t="s">
        <v>1441</v>
      </c>
      <c r="H29" s="109">
        <v>44046</v>
      </c>
      <c r="I29" s="109">
        <v>45141</v>
      </c>
      <c r="J29" s="33">
        <v>3</v>
      </c>
      <c r="K29" s="3" t="s">
        <v>1432</v>
      </c>
      <c r="L29" s="30" t="s">
        <v>1433</v>
      </c>
      <c r="M29" s="34" t="s">
        <v>2290</v>
      </c>
    </row>
    <row r="30" spans="1:13" x14ac:dyDescent="0.3">
      <c r="A30" s="203">
        <v>28</v>
      </c>
      <c r="B30" s="204" t="s">
        <v>1449</v>
      </c>
      <c r="C30" s="203"/>
      <c r="D30" s="203" t="s">
        <v>1016</v>
      </c>
      <c r="E30" s="203"/>
      <c r="F30" s="204" t="s">
        <v>1503</v>
      </c>
      <c r="G30" s="204" t="s">
        <v>1504</v>
      </c>
      <c r="H30" s="280">
        <v>42219</v>
      </c>
      <c r="I30" s="280">
        <v>45872</v>
      </c>
      <c r="J30" s="203">
        <v>10</v>
      </c>
      <c r="K30" s="42" t="s">
        <v>1432</v>
      </c>
      <c r="L30" s="204" t="s">
        <v>1433</v>
      </c>
      <c r="M30" s="206" t="s">
        <v>1514</v>
      </c>
    </row>
    <row r="31" spans="1:13" x14ac:dyDescent="0.3">
      <c r="A31" s="33">
        <v>29</v>
      </c>
      <c r="B31" s="319" t="s">
        <v>4103</v>
      </c>
      <c r="C31" s="148"/>
      <c r="D31" s="148" t="s">
        <v>1016</v>
      </c>
      <c r="E31" s="148"/>
      <c r="F31" s="319" t="s">
        <v>4104</v>
      </c>
      <c r="G31" s="319"/>
      <c r="H31" s="320">
        <v>43951</v>
      </c>
      <c r="I31" s="320">
        <v>44384</v>
      </c>
      <c r="J31" s="321">
        <f t="shared" ref="J31" si="0">IF(OR(ISBLANK(H31),ISBLANK(I31)),"",DATEDIF(H31,I31,"Y"))</f>
        <v>1</v>
      </c>
      <c r="K31" s="3" t="s">
        <v>1432</v>
      </c>
      <c r="L31" s="319" t="s">
        <v>1433</v>
      </c>
      <c r="M31" s="34" t="s">
        <v>4105</v>
      </c>
    </row>
    <row r="33" spans="2:2" ht="23.4" x14ac:dyDescent="0.3">
      <c r="B33" s="312" t="s">
        <v>4039</v>
      </c>
    </row>
  </sheetData>
  <protectedRanges>
    <protectedRange sqref="H3:I30" name="Tabel 1.2"/>
    <protectedRange sqref="B31:I31 L31" name="Tabel 1.2_1"/>
  </protectedRanges>
  <autoFilter ref="A1:M30" xr:uid="{50AF3187-88AC-464D-80E1-502FB57932B8}">
    <filterColumn colId="2" showButton="0"/>
    <filterColumn colId="3" showButton="0"/>
  </autoFilter>
  <mergeCells count="11">
    <mergeCell ref="H1:H2"/>
    <mergeCell ref="A1:A2"/>
    <mergeCell ref="B1:B2"/>
    <mergeCell ref="C1:E1"/>
    <mergeCell ref="F1:F2"/>
    <mergeCell ref="G1:G2"/>
    <mergeCell ref="I1:I2"/>
    <mergeCell ref="J1:J2"/>
    <mergeCell ref="K1:K2"/>
    <mergeCell ref="L1:L2"/>
    <mergeCell ref="M1:M2"/>
  </mergeCells>
  <dataValidations count="2">
    <dataValidation type="custom" allowBlank="1" showDropDown="1" showInputMessage="1" showErrorMessage="1" prompt="Masukan data yang valid. Contoh tanggal : 29 Desember 2021, maka input yang valid adalah 29/12/2021. Data TS pada sheet 'Menu' harus diisi" sqref="H3:I31" xr:uid="{B1F2AD9D-E796-4D56-BA13-FA9C6BC6A0A0}">
      <formula1>OR(NOT(ISERROR(DATEVALUE(H3))), AND(ISNUMBER(H3), LEFT(CELL("format", H3))="D"))</formula1>
    </dataValidation>
    <dataValidation type="list" allowBlank="1" showInputMessage="1" showErrorMessage="1" prompt="Cell hanya dapat diisi tanda centang (V) atau dikosongkan" sqref="C31:E31" xr:uid="{6C989387-E785-482C-80B3-C6448F890DD8}">
      <formula1>$B$6:$B$7</formula1>
    </dataValidation>
  </dataValidations>
  <hyperlinks>
    <hyperlink ref="M3" r:id="rId1" xr:uid="{7B330B80-ED45-439C-976D-7F543A63D66F}"/>
    <hyperlink ref="M5" r:id="rId2" xr:uid="{301B07FB-60F4-45AD-B738-63DCD0FF8B14}"/>
    <hyperlink ref="M6" r:id="rId3" xr:uid="{94901A0F-A91C-4EDE-ACB4-D6EDA612F92D}"/>
    <hyperlink ref="M7" r:id="rId4" xr:uid="{11FCD0B8-B4FD-439F-9C8A-07BDCCBC78DC}"/>
    <hyperlink ref="M8" r:id="rId5" xr:uid="{1ECC4934-E422-417B-921A-64773996725B}"/>
    <hyperlink ref="M10" r:id="rId6" xr:uid="{9AEF6FC6-B33A-429E-909C-EC7CEACA0F24}"/>
    <hyperlink ref="M11" r:id="rId7" xr:uid="{495457DD-B289-4A94-AFE6-F3916B859715}"/>
    <hyperlink ref="M12" r:id="rId8" xr:uid="{F02F0513-FDC5-40B8-9262-36837AF07460}"/>
    <hyperlink ref="M13" r:id="rId9" xr:uid="{8D1F79A9-3AF6-4830-88FE-CAAFA0C4990C}"/>
    <hyperlink ref="M14" r:id="rId10" xr:uid="{F0DE735C-4E10-402C-B959-A616F52BD657}"/>
    <hyperlink ref="M16" r:id="rId11" xr:uid="{65810AD4-E0A7-4F77-BC55-17FC7B4E53A1}"/>
    <hyperlink ref="M17" r:id="rId12" xr:uid="{FA926236-DAE0-4321-A82C-4848139CEC20}"/>
    <hyperlink ref="M19" r:id="rId13" xr:uid="{942863E6-A1E4-42AB-89FE-BCE7C6B686C2}"/>
    <hyperlink ref="M20" r:id="rId14" xr:uid="{9DDA2C4E-5A2D-4DF0-84D1-5B8EDB039ECD}"/>
    <hyperlink ref="M21" r:id="rId15" xr:uid="{4B340FCE-E02A-4F8F-A865-B8C22AE64323}"/>
    <hyperlink ref="M22" r:id="rId16" xr:uid="{D5F8B572-72E3-4707-AF15-BBE1CE905D97}"/>
    <hyperlink ref="M23" r:id="rId17" xr:uid="{47851D2A-F69E-4004-A21F-8A1E91E3FDF1}"/>
    <hyperlink ref="M24" r:id="rId18" xr:uid="{2162E007-8832-4E3E-8980-D9D98DF2D6A7}"/>
    <hyperlink ref="M25" r:id="rId19" xr:uid="{E956D43D-12C8-41B2-9CC5-F66C1D443A9A}"/>
    <hyperlink ref="M26" r:id="rId20" xr:uid="{26A41EA4-38E4-40D5-936B-2982BA089FC8}"/>
    <hyperlink ref="M28" r:id="rId21" xr:uid="{7346676E-7C9C-4B07-90DA-B0B6BEBEF4EF}"/>
    <hyperlink ref="M4" r:id="rId22" xr:uid="{3E545D56-F894-43F8-AD74-0B3DB21FA907}"/>
    <hyperlink ref="M9" r:id="rId23" xr:uid="{0835F6A5-4DD0-44DA-BA21-814B1FC22E6A}"/>
    <hyperlink ref="M15" r:id="rId24" xr:uid="{6D5FE6CC-2067-40C1-BEA4-F011FB962F82}"/>
    <hyperlink ref="M18" r:id="rId25" xr:uid="{A25B92D1-72E2-4153-932B-1791D06F3E97}"/>
    <hyperlink ref="M27" r:id="rId26" xr:uid="{7821B4F2-7632-494D-88A7-6A8B0E0722C4}"/>
    <hyperlink ref="M29" r:id="rId27" xr:uid="{F3CBF99C-9CDB-4134-AED8-091EAA5A3D41}"/>
    <hyperlink ref="M30" r:id="rId28" xr:uid="{2D6C70D2-F2D9-4ADC-A56E-65FBBCF6D378}"/>
    <hyperlink ref="B33" location="'Daftar Sheet'!A1" display="&lt;&lt;&lt; Daftar Sheet" xr:uid="{BA63CF34-36E6-46C9-A699-05CF4E3EF00F}"/>
    <hyperlink ref="M31" r:id="rId29" xr:uid="{BBEA8B55-BF63-44E3-8AB5-19AB0F1E0F98}"/>
  </hyperlinks>
  <pageMargins left="0.7" right="0.7" top="0.75" bottom="0.75" header="0.3" footer="0.3"/>
  <pageSetup paperSize="224" orientation="portrait" horizontalDpi="300" verticalDpi="300" r:id="rId3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B0CD5-5700-462C-8F61-30B5EAFEAC2A}">
  <dimension ref="A1:L33"/>
  <sheetViews>
    <sheetView zoomScale="70" zoomScaleNormal="70" workbookViewId="0">
      <pane xSplit="1" ySplit="2" topLeftCell="B18" activePane="bottomRight" state="frozen"/>
      <selection activeCell="M12" sqref="M12"/>
      <selection pane="topRight" activeCell="M12" sqref="M12"/>
      <selection pane="bottomLeft" activeCell="M12" sqref="M12"/>
      <selection pane="bottomRight" activeCell="B33" sqref="B33"/>
    </sheetView>
  </sheetViews>
  <sheetFormatPr defaultRowHeight="14.4" x14ac:dyDescent="0.3"/>
  <cols>
    <col min="1" max="1" width="3.77734375" style="1" bestFit="1" customWidth="1"/>
    <col min="2" max="2" width="113.44140625" bestFit="1" customWidth="1"/>
    <col min="3" max="3" width="12.44140625" bestFit="1" customWidth="1"/>
    <col min="4" max="4" width="8" style="1" bestFit="1" customWidth="1"/>
    <col min="5" max="5" width="13.21875" bestFit="1" customWidth="1"/>
    <col min="6" max="6" width="147.5546875" bestFit="1" customWidth="1"/>
    <col min="7" max="7" width="149.6640625" bestFit="1" customWidth="1"/>
    <col min="8" max="8" width="33.44140625" style="111" bestFit="1" customWidth="1"/>
    <col min="9" max="9" width="33.77734375" style="111" bestFit="1" customWidth="1"/>
    <col min="10" max="10" width="18.6640625" style="1" customWidth="1"/>
    <col min="11" max="11" width="28" bestFit="1" customWidth="1"/>
    <col min="12" max="12" width="80.44140625" bestFit="1" customWidth="1"/>
  </cols>
  <sheetData>
    <row r="1" spans="1:12" x14ac:dyDescent="0.3">
      <c r="A1" s="391" t="s">
        <v>51</v>
      </c>
      <c r="B1" s="391" t="s">
        <v>1419</v>
      </c>
      <c r="C1" s="391" t="s">
        <v>1010</v>
      </c>
      <c r="D1" s="391"/>
      <c r="E1" s="391"/>
      <c r="F1" s="391" t="s">
        <v>1420</v>
      </c>
      <c r="G1" s="391" t="s">
        <v>1421</v>
      </c>
      <c r="H1" s="390" t="s">
        <v>1422</v>
      </c>
      <c r="I1" s="390" t="s">
        <v>1423</v>
      </c>
      <c r="J1" s="391" t="s">
        <v>1424</v>
      </c>
      <c r="K1" s="391" t="s">
        <v>1426</v>
      </c>
      <c r="L1" s="391" t="s">
        <v>1477</v>
      </c>
    </row>
    <row r="2" spans="1:12" x14ac:dyDescent="0.3">
      <c r="A2" s="391"/>
      <c r="B2" s="391"/>
      <c r="C2" s="46" t="s">
        <v>1427</v>
      </c>
      <c r="D2" s="2" t="s">
        <v>488</v>
      </c>
      <c r="E2" s="46" t="s">
        <v>1428</v>
      </c>
      <c r="F2" s="391"/>
      <c r="G2" s="391"/>
      <c r="H2" s="390"/>
      <c r="I2" s="390"/>
      <c r="J2" s="391"/>
      <c r="K2" s="391"/>
      <c r="L2" s="391"/>
    </row>
    <row r="3" spans="1:12" x14ac:dyDescent="0.3">
      <c r="A3" s="33">
        <v>1</v>
      </c>
      <c r="B3" s="112" t="s">
        <v>1443</v>
      </c>
      <c r="C3" s="113"/>
      <c r="D3" s="113" t="s">
        <v>1016</v>
      </c>
      <c r="E3" s="113"/>
      <c r="F3" s="112" t="s">
        <v>1444</v>
      </c>
      <c r="G3" s="112" t="s">
        <v>1445</v>
      </c>
      <c r="H3" s="107">
        <v>42877</v>
      </c>
      <c r="I3" s="107">
        <v>44703</v>
      </c>
      <c r="J3" s="114">
        <f t="shared" ref="J3:J19" si="0">IF(OR(ISBLANK(H3),ISBLANK(I3)),"",DATEDIF(H3,I3,"Y"))</f>
        <v>5</v>
      </c>
      <c r="K3" s="112" t="s">
        <v>1433</v>
      </c>
      <c r="L3" s="34" t="s">
        <v>1987</v>
      </c>
    </row>
    <row r="4" spans="1:12" x14ac:dyDescent="0.3">
      <c r="A4" s="33">
        <v>2</v>
      </c>
      <c r="B4" s="112" t="s">
        <v>1438</v>
      </c>
      <c r="C4" s="113"/>
      <c r="D4" s="113" t="s">
        <v>1016</v>
      </c>
      <c r="E4" s="113"/>
      <c r="F4" s="112" t="s">
        <v>1439</v>
      </c>
      <c r="G4" s="112" t="s">
        <v>1440</v>
      </c>
      <c r="H4" s="107">
        <v>42852</v>
      </c>
      <c r="I4" s="107">
        <v>44678</v>
      </c>
      <c r="J4" s="114">
        <f t="shared" si="0"/>
        <v>5</v>
      </c>
      <c r="K4" s="112" t="s">
        <v>1433</v>
      </c>
      <c r="L4" s="34" t="s">
        <v>2291</v>
      </c>
    </row>
    <row r="5" spans="1:12" x14ac:dyDescent="0.3">
      <c r="A5" s="33">
        <v>3</v>
      </c>
      <c r="B5" s="112" t="s">
        <v>1518</v>
      </c>
      <c r="C5" s="113"/>
      <c r="D5" s="113"/>
      <c r="E5" s="113" t="s">
        <v>1016</v>
      </c>
      <c r="F5" s="112" t="s">
        <v>1519</v>
      </c>
      <c r="G5" s="112" t="s">
        <v>1445</v>
      </c>
      <c r="H5" s="107">
        <v>42471</v>
      </c>
      <c r="I5" s="107">
        <v>44297</v>
      </c>
      <c r="J5" s="114">
        <f t="shared" si="0"/>
        <v>5</v>
      </c>
      <c r="K5" s="112" t="s">
        <v>1433</v>
      </c>
      <c r="L5" s="34" t="s">
        <v>1532</v>
      </c>
    </row>
    <row r="6" spans="1:12" x14ac:dyDescent="0.3">
      <c r="A6" s="33">
        <v>4</v>
      </c>
      <c r="B6" s="112" t="s">
        <v>1429</v>
      </c>
      <c r="C6" s="113"/>
      <c r="D6" s="113" t="s">
        <v>1016</v>
      </c>
      <c r="E6" s="113"/>
      <c r="F6" s="112" t="s">
        <v>1475</v>
      </c>
      <c r="G6" s="112" t="s">
        <v>1445</v>
      </c>
      <c r="H6" s="107">
        <v>44545</v>
      </c>
      <c r="I6" s="107">
        <v>46371</v>
      </c>
      <c r="J6" s="114">
        <f t="shared" si="0"/>
        <v>5</v>
      </c>
      <c r="K6" s="112" t="s">
        <v>1433</v>
      </c>
      <c r="L6" s="34" t="s">
        <v>2292</v>
      </c>
    </row>
    <row r="7" spans="1:12" x14ac:dyDescent="0.3">
      <c r="A7" s="33">
        <v>5</v>
      </c>
      <c r="B7" s="112" t="s">
        <v>1466</v>
      </c>
      <c r="C7" s="113"/>
      <c r="D7" s="113" t="s">
        <v>1016</v>
      </c>
      <c r="E7" s="113"/>
      <c r="F7" s="112" t="s">
        <v>1520</v>
      </c>
      <c r="G7" s="112" t="s">
        <v>1468</v>
      </c>
      <c r="H7" s="107">
        <v>44798</v>
      </c>
      <c r="I7" s="107">
        <v>46624</v>
      </c>
      <c r="J7" s="114">
        <f t="shared" si="0"/>
        <v>5</v>
      </c>
      <c r="K7" s="112" t="s">
        <v>1433</v>
      </c>
      <c r="L7" s="34" t="s">
        <v>2118</v>
      </c>
    </row>
    <row r="8" spans="1:12" x14ac:dyDescent="0.3">
      <c r="A8" s="33">
        <v>6</v>
      </c>
      <c r="B8" s="112" t="s">
        <v>1469</v>
      </c>
      <c r="C8" s="113"/>
      <c r="D8" s="113" t="s">
        <v>1016</v>
      </c>
      <c r="E8" s="113"/>
      <c r="F8" s="112" t="s">
        <v>1521</v>
      </c>
      <c r="G8" s="112" t="s">
        <v>1468</v>
      </c>
      <c r="H8" s="107">
        <v>44893</v>
      </c>
      <c r="I8" s="107">
        <v>46719</v>
      </c>
      <c r="J8" s="114">
        <f t="shared" si="0"/>
        <v>5</v>
      </c>
      <c r="K8" s="112" t="s">
        <v>1433</v>
      </c>
      <c r="L8" s="34" t="s">
        <v>2141</v>
      </c>
    </row>
    <row r="9" spans="1:12" x14ac:dyDescent="0.3">
      <c r="A9" s="33">
        <v>7</v>
      </c>
      <c r="B9" s="112" t="s">
        <v>1522</v>
      </c>
      <c r="C9" s="113"/>
      <c r="D9" s="113" t="s">
        <v>1016</v>
      </c>
      <c r="E9" s="113"/>
      <c r="F9" s="112" t="s">
        <v>1523</v>
      </c>
      <c r="G9" s="112" t="s">
        <v>1524</v>
      </c>
      <c r="H9" s="107">
        <v>44732</v>
      </c>
      <c r="I9" s="107">
        <v>45828</v>
      </c>
      <c r="J9" s="114">
        <f t="shared" si="0"/>
        <v>3</v>
      </c>
      <c r="K9" s="112" t="s">
        <v>1433</v>
      </c>
      <c r="L9" s="34" t="s">
        <v>2293</v>
      </c>
    </row>
    <row r="10" spans="1:12" x14ac:dyDescent="0.3">
      <c r="A10" s="33">
        <v>8</v>
      </c>
      <c r="B10" s="112" t="s">
        <v>1476</v>
      </c>
      <c r="C10" s="113"/>
      <c r="D10" s="113" t="s">
        <v>1016</v>
      </c>
      <c r="E10" s="113"/>
      <c r="F10" s="112" t="s">
        <v>1485</v>
      </c>
      <c r="G10" s="112" t="s">
        <v>1486</v>
      </c>
      <c r="H10" s="107">
        <v>42041</v>
      </c>
      <c r="I10" s="107">
        <v>43867</v>
      </c>
      <c r="J10" s="114">
        <f t="shared" si="0"/>
        <v>5</v>
      </c>
      <c r="K10" s="112" t="s">
        <v>1433</v>
      </c>
      <c r="L10" s="34" t="s">
        <v>2294</v>
      </c>
    </row>
    <row r="11" spans="1:12" x14ac:dyDescent="0.3">
      <c r="A11" s="33">
        <v>9</v>
      </c>
      <c r="B11" s="112" t="s">
        <v>1487</v>
      </c>
      <c r="C11" s="113"/>
      <c r="D11" s="113"/>
      <c r="E11" s="113" t="s">
        <v>1099</v>
      </c>
      <c r="F11" s="112" t="s">
        <v>1525</v>
      </c>
      <c r="G11" s="112" t="s">
        <v>1526</v>
      </c>
      <c r="H11" s="107">
        <v>44214</v>
      </c>
      <c r="I11" s="107">
        <v>44944</v>
      </c>
      <c r="J11" s="114">
        <f t="shared" si="0"/>
        <v>2</v>
      </c>
      <c r="K11" s="112" t="s">
        <v>1433</v>
      </c>
      <c r="L11" s="34" t="s">
        <v>1533</v>
      </c>
    </row>
    <row r="12" spans="1:12" x14ac:dyDescent="0.3">
      <c r="A12" s="33">
        <v>10</v>
      </c>
      <c r="B12" s="112" t="s">
        <v>1500</v>
      </c>
      <c r="C12" s="113"/>
      <c r="D12" s="113"/>
      <c r="E12" s="113" t="s">
        <v>1099</v>
      </c>
      <c r="F12" s="112" t="s">
        <v>1501</v>
      </c>
      <c r="G12" s="112" t="s">
        <v>1502</v>
      </c>
      <c r="H12" s="107">
        <v>44141</v>
      </c>
      <c r="I12" s="107">
        <v>45236</v>
      </c>
      <c r="J12" s="114">
        <f t="shared" si="0"/>
        <v>3</v>
      </c>
      <c r="K12" s="112" t="s">
        <v>1433</v>
      </c>
      <c r="L12" s="34" t="s">
        <v>1534</v>
      </c>
    </row>
    <row r="13" spans="1:12" x14ac:dyDescent="0.3">
      <c r="A13" s="33">
        <v>11</v>
      </c>
      <c r="B13" s="112" t="s">
        <v>1490</v>
      </c>
      <c r="C13" s="113"/>
      <c r="D13" s="113" t="s">
        <v>1016</v>
      </c>
      <c r="E13" s="113"/>
      <c r="F13" s="112" t="s">
        <v>1491</v>
      </c>
      <c r="G13" s="112" t="s">
        <v>1492</v>
      </c>
      <c r="H13" s="107">
        <v>44615</v>
      </c>
      <c r="I13" s="107">
        <v>44765</v>
      </c>
      <c r="J13" s="114">
        <f t="shared" si="0"/>
        <v>0</v>
      </c>
      <c r="K13" s="112" t="s">
        <v>1433</v>
      </c>
      <c r="L13" s="34" t="s">
        <v>1535</v>
      </c>
    </row>
    <row r="14" spans="1:12" x14ac:dyDescent="0.3">
      <c r="A14" s="33">
        <v>12</v>
      </c>
      <c r="B14" s="112" t="s">
        <v>1493</v>
      </c>
      <c r="C14" s="113"/>
      <c r="D14" s="113" t="s">
        <v>1099</v>
      </c>
      <c r="E14" s="113"/>
      <c r="F14" s="112" t="s">
        <v>1494</v>
      </c>
      <c r="G14" s="112" t="s">
        <v>1495</v>
      </c>
      <c r="H14" s="107">
        <v>43598</v>
      </c>
      <c r="I14" s="107">
        <v>43964</v>
      </c>
      <c r="J14" s="114">
        <f t="shared" si="0"/>
        <v>1</v>
      </c>
      <c r="K14" s="112" t="s">
        <v>1433</v>
      </c>
      <c r="L14" s="34" t="s">
        <v>1536</v>
      </c>
    </row>
    <row r="15" spans="1:12" s="26" customFormat="1" ht="28.8" x14ac:dyDescent="0.3">
      <c r="A15" s="3">
        <v>13</v>
      </c>
      <c r="B15" s="115" t="s">
        <v>1527</v>
      </c>
      <c r="C15" s="6"/>
      <c r="D15" s="6" t="s">
        <v>1099</v>
      </c>
      <c r="E15" s="6"/>
      <c r="F15" s="115" t="s">
        <v>1528</v>
      </c>
      <c r="G15" s="115" t="s">
        <v>1529</v>
      </c>
      <c r="H15" s="116">
        <v>44166</v>
      </c>
      <c r="I15" s="116">
        <v>45992</v>
      </c>
      <c r="J15" s="117">
        <f t="shared" si="0"/>
        <v>5</v>
      </c>
      <c r="K15" s="115" t="s">
        <v>1433</v>
      </c>
      <c r="L15" s="7" t="s">
        <v>1537</v>
      </c>
    </row>
    <row r="16" spans="1:12" x14ac:dyDescent="0.3">
      <c r="A16" s="33">
        <v>14</v>
      </c>
      <c r="B16" s="112" t="s">
        <v>1530</v>
      </c>
      <c r="C16" s="113"/>
      <c r="D16" s="113"/>
      <c r="E16" s="113" t="s">
        <v>1099</v>
      </c>
      <c r="F16" s="112" t="s">
        <v>1531</v>
      </c>
      <c r="G16" s="112" t="s">
        <v>1440</v>
      </c>
      <c r="H16" s="107">
        <v>44137</v>
      </c>
      <c r="I16" s="107">
        <v>45963</v>
      </c>
      <c r="J16" s="114">
        <f t="shared" si="0"/>
        <v>5</v>
      </c>
      <c r="K16" s="112" t="s">
        <v>1433</v>
      </c>
      <c r="L16" s="34" t="s">
        <v>1538</v>
      </c>
    </row>
    <row r="17" spans="1:12" x14ac:dyDescent="0.3">
      <c r="A17" s="33">
        <v>15</v>
      </c>
      <c r="B17" s="112" t="s">
        <v>1496</v>
      </c>
      <c r="C17" s="113"/>
      <c r="D17" s="113" t="s">
        <v>1016</v>
      </c>
      <c r="E17" s="113"/>
      <c r="F17" s="112" t="s">
        <v>1497</v>
      </c>
      <c r="G17" s="112" t="s">
        <v>1486</v>
      </c>
      <c r="H17" s="107">
        <v>43350</v>
      </c>
      <c r="I17" s="107">
        <v>44446</v>
      </c>
      <c r="J17" s="114">
        <f t="shared" si="0"/>
        <v>3</v>
      </c>
      <c r="K17" s="112" t="s">
        <v>1433</v>
      </c>
      <c r="L17" s="34" t="s">
        <v>1539</v>
      </c>
    </row>
    <row r="18" spans="1:12" x14ac:dyDescent="0.3">
      <c r="A18" s="33">
        <v>16</v>
      </c>
      <c r="B18" s="30" t="s">
        <v>3860</v>
      </c>
      <c r="C18" s="113" t="s">
        <v>1016</v>
      </c>
      <c r="D18" s="33"/>
      <c r="E18" s="30"/>
      <c r="F18" s="30" t="s">
        <v>3861</v>
      </c>
      <c r="G18" s="30" t="s">
        <v>3862</v>
      </c>
      <c r="H18" s="272">
        <v>44529</v>
      </c>
      <c r="I18" s="272">
        <v>44615</v>
      </c>
      <c r="J18" s="33">
        <f t="shared" si="0"/>
        <v>0</v>
      </c>
      <c r="K18" s="30" t="s">
        <v>1433</v>
      </c>
      <c r="L18" s="34" t="s">
        <v>3863</v>
      </c>
    </row>
    <row r="19" spans="1:12" ht="28.8" x14ac:dyDescent="0.3">
      <c r="A19" s="33">
        <v>17</v>
      </c>
      <c r="B19" s="4" t="s">
        <v>4107</v>
      </c>
      <c r="C19" s="6" t="s">
        <v>1016</v>
      </c>
      <c r="D19" s="3"/>
      <c r="E19" s="4"/>
      <c r="F19" s="115" t="s">
        <v>4110</v>
      </c>
      <c r="G19" s="112" t="s">
        <v>4109</v>
      </c>
      <c r="H19" s="272">
        <v>44905</v>
      </c>
      <c r="I19" s="272">
        <v>45117</v>
      </c>
      <c r="J19" s="3">
        <f t="shared" si="0"/>
        <v>0</v>
      </c>
      <c r="K19" s="115" t="s">
        <v>3921</v>
      </c>
      <c r="L19" s="7" t="s">
        <v>4106</v>
      </c>
    </row>
    <row r="20" spans="1:12" ht="28.8" x14ac:dyDescent="0.3">
      <c r="A20" s="33">
        <v>18</v>
      </c>
      <c r="B20" s="30" t="s">
        <v>4108</v>
      </c>
      <c r="C20" s="6" t="s">
        <v>1016</v>
      </c>
      <c r="D20" s="33"/>
      <c r="E20" s="30"/>
      <c r="F20" s="115" t="s">
        <v>4111</v>
      </c>
      <c r="G20" s="112" t="s">
        <v>4109</v>
      </c>
      <c r="H20" s="109">
        <v>44392</v>
      </c>
      <c r="I20" s="109">
        <v>44757</v>
      </c>
      <c r="J20" s="33">
        <v>1</v>
      </c>
      <c r="K20" s="115" t="s">
        <v>3921</v>
      </c>
      <c r="L20" s="34" t="s">
        <v>4112</v>
      </c>
    </row>
    <row r="21" spans="1:12" x14ac:dyDescent="0.3">
      <c r="A21" s="33">
        <v>19</v>
      </c>
      <c r="B21" s="30"/>
      <c r="C21" s="30"/>
      <c r="D21" s="33"/>
      <c r="E21" s="30"/>
      <c r="F21" s="30"/>
      <c r="G21" s="30"/>
      <c r="H21" s="109"/>
      <c r="I21" s="109"/>
      <c r="J21" s="33"/>
      <c r="K21" s="30"/>
      <c r="L21" s="34"/>
    </row>
    <row r="22" spans="1:12" x14ac:dyDescent="0.3">
      <c r="A22" s="33">
        <v>20</v>
      </c>
      <c r="B22" s="30"/>
      <c r="C22" s="30"/>
      <c r="D22" s="33"/>
      <c r="E22" s="30"/>
      <c r="F22" s="30"/>
      <c r="G22" s="30"/>
      <c r="H22" s="110"/>
      <c r="I22" s="110"/>
      <c r="J22" s="33"/>
      <c r="K22" s="30"/>
      <c r="L22" s="34"/>
    </row>
    <row r="23" spans="1:12" x14ac:dyDescent="0.3">
      <c r="A23" s="33">
        <v>21</v>
      </c>
      <c r="B23" s="30"/>
      <c r="C23" s="30"/>
      <c r="D23" s="33"/>
      <c r="E23" s="30"/>
      <c r="F23" s="30"/>
      <c r="G23" s="30"/>
      <c r="H23" s="110"/>
      <c r="I23" s="110"/>
      <c r="J23" s="33"/>
      <c r="K23" s="30"/>
      <c r="L23" s="34"/>
    </row>
    <row r="24" spans="1:12" x14ac:dyDescent="0.3">
      <c r="A24" s="33">
        <v>22</v>
      </c>
      <c r="B24" s="30"/>
      <c r="C24" s="30"/>
      <c r="D24" s="33"/>
      <c r="E24" s="30"/>
      <c r="F24" s="30"/>
      <c r="G24" s="30"/>
      <c r="H24" s="110"/>
      <c r="I24" s="110"/>
      <c r="J24" s="33"/>
      <c r="K24" s="30"/>
      <c r="L24" s="34"/>
    </row>
    <row r="25" spans="1:12" x14ac:dyDescent="0.3">
      <c r="A25" s="33">
        <v>23</v>
      </c>
      <c r="B25" s="30"/>
      <c r="C25" s="30"/>
      <c r="D25" s="33"/>
      <c r="E25" s="30"/>
      <c r="F25" s="30"/>
      <c r="G25" s="30"/>
      <c r="H25" s="110"/>
      <c r="I25" s="110"/>
      <c r="J25" s="33"/>
      <c r="K25" s="30"/>
      <c r="L25" s="34"/>
    </row>
    <row r="26" spans="1:12" x14ac:dyDescent="0.3">
      <c r="A26" s="33">
        <v>24</v>
      </c>
      <c r="B26" s="30"/>
      <c r="C26" s="30"/>
      <c r="D26" s="33"/>
      <c r="E26" s="30"/>
      <c r="F26" s="30"/>
      <c r="G26" s="30"/>
      <c r="H26" s="110"/>
      <c r="I26" s="110"/>
      <c r="J26" s="33"/>
      <c r="K26" s="30"/>
      <c r="L26" s="34"/>
    </row>
    <row r="27" spans="1:12" x14ac:dyDescent="0.3">
      <c r="A27" s="33">
        <v>25</v>
      </c>
      <c r="B27" s="30"/>
      <c r="C27" s="30"/>
      <c r="D27" s="33"/>
      <c r="E27" s="30"/>
      <c r="F27" s="30"/>
      <c r="G27" s="30"/>
      <c r="H27" s="110"/>
      <c r="I27" s="110"/>
      <c r="J27" s="33"/>
      <c r="K27" s="30"/>
      <c r="L27" s="34"/>
    </row>
    <row r="28" spans="1:12" x14ac:dyDescent="0.3">
      <c r="A28" s="33">
        <v>26</v>
      </c>
      <c r="B28" s="30"/>
      <c r="C28" s="30"/>
      <c r="D28" s="33"/>
      <c r="E28" s="30"/>
      <c r="F28" s="30"/>
      <c r="G28" s="30"/>
      <c r="H28" s="110"/>
      <c r="I28" s="110"/>
      <c r="J28" s="33"/>
      <c r="K28" s="30"/>
      <c r="L28" s="34"/>
    </row>
    <row r="29" spans="1:12" x14ac:dyDescent="0.3">
      <c r="A29" s="33">
        <v>27</v>
      </c>
      <c r="B29" s="30"/>
      <c r="C29" s="30"/>
      <c r="D29" s="33"/>
      <c r="E29" s="30"/>
      <c r="F29" s="30"/>
      <c r="G29" s="30"/>
      <c r="H29" s="110"/>
      <c r="I29" s="110"/>
      <c r="J29" s="33"/>
      <c r="K29" s="30"/>
      <c r="L29" s="34"/>
    </row>
    <row r="30" spans="1:12" x14ac:dyDescent="0.3">
      <c r="A30" s="33">
        <v>28</v>
      </c>
      <c r="B30" s="30"/>
      <c r="C30" s="30"/>
      <c r="D30" s="33"/>
      <c r="E30" s="30"/>
      <c r="F30" s="30"/>
      <c r="G30" s="30"/>
      <c r="H30" s="110"/>
      <c r="I30" s="110"/>
      <c r="J30" s="33"/>
      <c r="K30" s="30"/>
      <c r="L30" s="34"/>
    </row>
    <row r="33" spans="2:2" ht="23.4" x14ac:dyDescent="0.3">
      <c r="B33" s="312" t="s">
        <v>4039</v>
      </c>
    </row>
  </sheetData>
  <protectedRanges>
    <protectedRange sqref="H18:I21" name="Range1"/>
    <protectedRange sqref="B3:I17 K3:K17 C18:C20" name="Tabel 1.3"/>
    <protectedRange sqref="F19:F20" name="Tabel 1.3_2"/>
    <protectedRange sqref="K19:K20" name="Tabel 1.3_3"/>
    <protectedRange sqref="G19:G20" name="Tabel 1.3_5"/>
  </protectedRanges>
  <autoFilter ref="A1:L30" xr:uid="{7FBB0CD5-5700-462C-8F61-30B5EAFEAC2A}">
    <filterColumn colId="2" showButton="0"/>
    <filterColumn colId="3" showButton="0"/>
  </autoFilter>
  <mergeCells count="10">
    <mergeCell ref="I1:I2"/>
    <mergeCell ref="J1:J2"/>
    <mergeCell ref="K1:K2"/>
    <mergeCell ref="L1:L2"/>
    <mergeCell ref="A1:A2"/>
    <mergeCell ref="B1:B2"/>
    <mergeCell ref="C1:E1"/>
    <mergeCell ref="F1:F2"/>
    <mergeCell ref="G1:G2"/>
    <mergeCell ref="H1:H2"/>
  </mergeCells>
  <dataValidations count="2">
    <dataValidation type="custom" allowBlank="1" showDropDown="1" showInputMessage="1" showErrorMessage="1" prompt="Masukan data yang valid. Contoh tanggal : 29 Desember 2021, maka input yang valid adalah 29/12/2021. Data TS pada sheet 'Menu' harus diisi" sqref="H3:I21" xr:uid="{A2AF61D6-BF0D-42A8-A597-0331213D1BC6}">
      <formula1>OR(NOT(ISERROR(DATEVALUE(H3))), AND(ISNUMBER(H3), LEFT(CELL("format", H3))="D"))</formula1>
    </dataValidation>
    <dataValidation type="list" allowBlank="1" showInputMessage="1" showErrorMessage="1" prompt="Cell hanya dapat diisi tanda centang (V) atau dikosongkan" sqref="C3:E17 C18:C20" xr:uid="{2C0E0BD5-8987-468A-9100-66C68E8AF67F}">
      <formula1>$B$6:$B$7</formula1>
    </dataValidation>
  </dataValidations>
  <hyperlinks>
    <hyperlink ref="L4" r:id="rId1" xr:uid="{FC06D466-239B-43B8-B320-1E083B49A0DC}"/>
    <hyperlink ref="L5" r:id="rId2" xr:uid="{996F9704-27B2-4734-BBA6-51BC9A1D1991}"/>
    <hyperlink ref="L6" r:id="rId3" xr:uid="{9552BC26-BD35-4C5C-BCD6-1E62D0A2C000}"/>
    <hyperlink ref="L9" r:id="rId4" xr:uid="{5A4D1D85-FF66-4C54-8BCF-AFE9817F5992}"/>
    <hyperlink ref="L10" r:id="rId5" xr:uid="{077156AA-6AE7-424B-BF6C-CB5EE9D0FC02}"/>
    <hyperlink ref="L11" r:id="rId6" xr:uid="{06BBB270-FBE1-4CF2-A611-4DCF01830261}"/>
    <hyperlink ref="L12" r:id="rId7" xr:uid="{4E9D87F5-A72B-41D3-BF0A-62E8BB519505}"/>
    <hyperlink ref="L13" r:id="rId8" xr:uid="{120DF420-7617-4E93-85B2-04718F75390E}"/>
    <hyperlink ref="L14" r:id="rId9" xr:uid="{96BCF14E-F340-4894-B7A3-2227436A1996}"/>
    <hyperlink ref="L15" r:id="rId10" xr:uid="{87C04A6F-F31C-4242-843F-14E9E38DAE8E}"/>
    <hyperlink ref="L16" r:id="rId11" xr:uid="{2BAEB72E-FAA3-4F46-84D5-ECDA58AE181C}"/>
    <hyperlink ref="L17" r:id="rId12" xr:uid="{B3E427DA-C4B2-45C9-8A8F-C642FFC9546D}"/>
    <hyperlink ref="L3" r:id="rId13" xr:uid="{096A80FC-18C4-4AB5-AEC5-4CBE33B7E793}"/>
    <hyperlink ref="L7" r:id="rId14" xr:uid="{CA428BD1-4D06-48DF-83A3-A4BFD90D8875}"/>
    <hyperlink ref="L8" r:id="rId15" xr:uid="{3605EFB4-F798-47AA-A31C-55A700A8BFFE}"/>
    <hyperlink ref="L18" r:id="rId16" xr:uid="{21932C16-2B59-4B9F-B3BB-470463C2DB36}"/>
    <hyperlink ref="B33" location="'Daftar Sheet'!A1" display="&lt;&lt;&lt; Daftar Sheet" xr:uid="{91172370-62B6-434A-809A-80168C1F487A}"/>
    <hyperlink ref="L19" r:id="rId17" xr:uid="{F8A090DB-9FFE-4875-B2C2-8A577FA8CFE7}"/>
    <hyperlink ref="L20" r:id="rId18" xr:uid="{BC506341-0AFA-4A5D-A0E3-FCB1119F48F7}"/>
  </hyperlinks>
  <pageMargins left="0.7" right="0.7" top="0.75" bottom="0.75" header="0.3" footer="0.3"/>
  <pageSetup paperSize="224" orientation="portrait" horizontalDpi="300" verticalDpi="300" r:id="rId1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207FE-4E39-42E0-A943-CBCE8F68E5F2}">
  <dimension ref="A2:I12"/>
  <sheetViews>
    <sheetView workbookViewId="0">
      <selection activeCell="A12" sqref="A12"/>
    </sheetView>
  </sheetViews>
  <sheetFormatPr defaultRowHeight="14.4" x14ac:dyDescent="0.3"/>
  <cols>
    <col min="1" max="1" width="15.109375" style="10" bestFit="1" customWidth="1"/>
    <col min="2" max="2" width="13.33203125" style="10" bestFit="1" customWidth="1"/>
    <col min="3" max="3" width="22.6640625" style="10" bestFit="1" customWidth="1"/>
    <col min="4" max="4" width="11.77734375" style="10" bestFit="1" customWidth="1"/>
    <col min="5" max="5" width="21.21875" style="10" bestFit="1" customWidth="1"/>
    <col min="6" max="6" width="7.88671875" style="10" bestFit="1" customWidth="1"/>
    <col min="7" max="7" width="21.5546875" style="10" bestFit="1" customWidth="1"/>
    <col min="8" max="8" width="7.88671875" style="10" bestFit="1" customWidth="1"/>
    <col min="9" max="9" width="84.6640625" bestFit="1" customWidth="1"/>
  </cols>
  <sheetData>
    <row r="2" spans="1:9" x14ac:dyDescent="0.3">
      <c r="A2" s="369" t="s">
        <v>1540</v>
      </c>
      <c r="B2" s="369" t="s">
        <v>1541</v>
      </c>
      <c r="C2" s="371" t="s">
        <v>1542</v>
      </c>
      <c r="D2" s="373"/>
      <c r="E2" s="371" t="s">
        <v>1543</v>
      </c>
      <c r="F2" s="373"/>
      <c r="G2" s="371" t="s">
        <v>1544</v>
      </c>
      <c r="H2" s="373"/>
      <c r="I2" s="391" t="s">
        <v>137</v>
      </c>
    </row>
    <row r="3" spans="1:9" x14ac:dyDescent="0.3">
      <c r="A3" s="370"/>
      <c r="B3" s="370"/>
      <c r="C3" s="2" t="s">
        <v>1545</v>
      </c>
      <c r="D3" s="2" t="s">
        <v>1546</v>
      </c>
      <c r="E3" s="2" t="s">
        <v>1547</v>
      </c>
      <c r="F3" s="2" t="s">
        <v>1548</v>
      </c>
      <c r="G3" s="2" t="s">
        <v>1547</v>
      </c>
      <c r="H3" s="2" t="s">
        <v>1548</v>
      </c>
      <c r="I3" s="391"/>
    </row>
    <row r="4" spans="1:9" x14ac:dyDescent="0.3">
      <c r="A4" s="3" t="s">
        <v>1549</v>
      </c>
      <c r="B4" s="3">
        <v>160</v>
      </c>
      <c r="C4" s="3">
        <v>3324</v>
      </c>
      <c r="D4" s="3">
        <v>160</v>
      </c>
      <c r="E4" s="3">
        <v>150</v>
      </c>
      <c r="F4" s="3">
        <v>0</v>
      </c>
      <c r="G4" s="3">
        <v>652</v>
      </c>
      <c r="H4" s="3">
        <v>0</v>
      </c>
      <c r="I4" s="387" t="s">
        <v>1555</v>
      </c>
    </row>
    <row r="5" spans="1:9" x14ac:dyDescent="0.3">
      <c r="A5" s="3" t="s">
        <v>1550</v>
      </c>
      <c r="B5" s="3">
        <v>180</v>
      </c>
      <c r="C5" s="3">
        <v>2152</v>
      </c>
      <c r="D5" s="3">
        <v>180</v>
      </c>
      <c r="E5" s="3">
        <v>171</v>
      </c>
      <c r="F5" s="3">
        <v>0</v>
      </c>
      <c r="G5" s="3">
        <v>716</v>
      </c>
      <c r="H5" s="3">
        <v>0</v>
      </c>
      <c r="I5" s="382"/>
    </row>
    <row r="6" spans="1:9" x14ac:dyDescent="0.3">
      <c r="A6" s="3" t="s">
        <v>1551</v>
      </c>
      <c r="B6" s="3">
        <v>170</v>
      </c>
      <c r="C6" s="3">
        <v>2661</v>
      </c>
      <c r="D6" s="3">
        <v>170</v>
      </c>
      <c r="E6" s="3">
        <v>155</v>
      </c>
      <c r="F6" s="3">
        <v>0</v>
      </c>
      <c r="G6" s="3">
        <v>742</v>
      </c>
      <c r="H6" s="3">
        <v>0</v>
      </c>
      <c r="I6" s="382"/>
    </row>
    <row r="7" spans="1:9" x14ac:dyDescent="0.3">
      <c r="A7" s="3" t="s">
        <v>1552</v>
      </c>
      <c r="B7" s="3">
        <v>170</v>
      </c>
      <c r="C7" s="3">
        <v>2593</v>
      </c>
      <c r="D7" s="3">
        <v>181</v>
      </c>
      <c r="E7" s="3">
        <v>170</v>
      </c>
      <c r="F7" s="3">
        <v>0</v>
      </c>
      <c r="G7" s="3">
        <v>696</v>
      </c>
      <c r="H7" s="3">
        <v>0</v>
      </c>
      <c r="I7" s="382"/>
    </row>
    <row r="8" spans="1:9" x14ac:dyDescent="0.3">
      <c r="A8" s="3" t="s">
        <v>1553</v>
      </c>
      <c r="B8" s="3">
        <v>270</v>
      </c>
      <c r="C8" s="3">
        <v>2580</v>
      </c>
      <c r="D8" s="3">
        <v>243</v>
      </c>
      <c r="E8" s="3">
        <v>242</v>
      </c>
      <c r="F8" s="3">
        <v>0</v>
      </c>
      <c r="G8" s="3">
        <v>691</v>
      </c>
      <c r="H8" s="3">
        <v>0</v>
      </c>
      <c r="I8" s="382"/>
    </row>
    <row r="9" spans="1:9" x14ac:dyDescent="0.3">
      <c r="A9" s="106" t="s">
        <v>1554</v>
      </c>
      <c r="B9" s="106"/>
      <c r="C9" s="106">
        <v>13310</v>
      </c>
      <c r="D9" s="106">
        <v>934</v>
      </c>
      <c r="E9" s="106">
        <v>888</v>
      </c>
      <c r="F9" s="106">
        <v>0</v>
      </c>
      <c r="G9" s="392">
        <v>691</v>
      </c>
      <c r="H9" s="393"/>
      <c r="I9" s="383"/>
    </row>
    <row r="12" spans="1:9" ht="23.4" x14ac:dyDescent="0.3">
      <c r="A12" s="312" t="s">
        <v>4039</v>
      </c>
    </row>
  </sheetData>
  <mergeCells count="8">
    <mergeCell ref="A2:A3"/>
    <mergeCell ref="B2:B3"/>
    <mergeCell ref="I2:I3"/>
    <mergeCell ref="I4:I9"/>
    <mergeCell ref="G9:H9"/>
    <mergeCell ref="C2:D2"/>
    <mergeCell ref="E2:F2"/>
    <mergeCell ref="G2:H2"/>
  </mergeCells>
  <hyperlinks>
    <hyperlink ref="I4" r:id="rId1" xr:uid="{9D7D8E72-60F2-48B5-990D-3DD2FC76C741}"/>
    <hyperlink ref="A12" location="'Daftar Sheet'!A1" display="&lt;&lt;&lt; Daftar Sheet" xr:uid="{C38346A3-CBE9-47CF-BFFA-7E5689925785}"/>
  </hyperlinks>
  <pageMargins left="0.7" right="0.7" top="0.75" bottom="0.75" header="0.3" footer="0.3"/>
  <pageSetup paperSize="224" orientation="portrait" horizontalDpi="300" verticalDpi="30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EF5E1-F324-4121-BBF0-F2B9029306EB}">
  <dimension ref="A2:C10"/>
  <sheetViews>
    <sheetView workbookViewId="0">
      <selection activeCell="B10" sqref="B10"/>
    </sheetView>
  </sheetViews>
  <sheetFormatPr defaultRowHeight="14.4" x14ac:dyDescent="0.3"/>
  <cols>
    <col min="1" max="1" width="3.77734375" bestFit="1" customWidth="1"/>
    <col min="2" max="2" width="45.44140625" bestFit="1" customWidth="1"/>
    <col min="3" max="3" width="78.77734375" bestFit="1" customWidth="1"/>
  </cols>
  <sheetData>
    <row r="2" spans="1:3" x14ac:dyDescent="0.3">
      <c r="A2" s="118" t="s">
        <v>51</v>
      </c>
      <c r="B2" s="118" t="s">
        <v>1094</v>
      </c>
      <c r="C2" s="118" t="s">
        <v>137</v>
      </c>
    </row>
    <row r="3" spans="1:3" x14ac:dyDescent="0.3">
      <c r="A3" s="3">
        <v>1</v>
      </c>
      <c r="B3" s="68" t="s">
        <v>3829</v>
      </c>
      <c r="C3" s="250" t="s">
        <v>3831</v>
      </c>
    </row>
    <row r="4" spans="1:3" x14ac:dyDescent="0.3">
      <c r="A4" s="3">
        <v>2</v>
      </c>
      <c r="B4" s="68" t="s">
        <v>3830</v>
      </c>
      <c r="C4" s="250" t="s">
        <v>3832</v>
      </c>
    </row>
    <row r="5" spans="1:3" x14ac:dyDescent="0.3">
      <c r="A5" s="3"/>
      <c r="B5" s="3"/>
      <c r="C5" s="68"/>
    </row>
    <row r="6" spans="1:3" x14ac:dyDescent="0.3">
      <c r="A6" s="3"/>
      <c r="B6" s="3"/>
      <c r="C6" s="68"/>
    </row>
    <row r="7" spans="1:3" x14ac:dyDescent="0.3">
      <c r="A7" s="3"/>
      <c r="B7" s="3"/>
      <c r="C7" s="68"/>
    </row>
    <row r="10" spans="1:3" ht="23.4" x14ac:dyDescent="0.3">
      <c r="B10" s="312" t="s">
        <v>4039</v>
      </c>
    </row>
  </sheetData>
  <hyperlinks>
    <hyperlink ref="C3" r:id="rId1" xr:uid="{A4EDD0FF-706B-42FA-AFA6-6537F321B942}"/>
    <hyperlink ref="C4" r:id="rId2" xr:uid="{83631BA9-CE14-4A16-A87B-CD4402429718}"/>
    <hyperlink ref="B10" location="'Daftar Sheet'!A1" display="&lt;&lt;&lt; Daftar Sheet" xr:uid="{66055DC6-2E78-4B80-87C3-CEF2E024478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E461-ADD0-4FB3-8355-3242E4374926}">
  <sheetPr filterMode="1"/>
  <dimension ref="A1:H1606"/>
  <sheetViews>
    <sheetView topLeftCell="A1332" zoomScale="85" zoomScaleNormal="85" workbookViewId="0">
      <selection activeCell="A1606" sqref="A1606"/>
    </sheetView>
  </sheetViews>
  <sheetFormatPr defaultColWidth="8.77734375" defaultRowHeight="14.4" x14ac:dyDescent="0.3"/>
  <cols>
    <col min="1" max="1" width="16.77734375" style="262" customWidth="1"/>
    <col min="2" max="2" width="13" style="262" customWidth="1"/>
    <col min="3" max="4" width="52" style="262" customWidth="1"/>
    <col min="5" max="5" width="6" style="262" customWidth="1"/>
    <col min="6" max="6" width="48.21875" style="262" customWidth="1"/>
    <col min="7" max="7" width="39" style="262" customWidth="1"/>
    <col min="8" max="8" width="78.77734375" style="262" bestFit="1" customWidth="1"/>
    <col min="9" max="16384" width="8.77734375" style="262"/>
  </cols>
  <sheetData>
    <row r="1" spans="1:8" x14ac:dyDescent="0.3">
      <c r="A1" s="266" t="s">
        <v>2365</v>
      </c>
      <c r="B1" s="266" t="s">
        <v>2366</v>
      </c>
      <c r="C1" s="266" t="s">
        <v>2367</v>
      </c>
      <c r="D1" s="266" t="s">
        <v>135</v>
      </c>
      <c r="E1" s="266" t="s">
        <v>2368</v>
      </c>
      <c r="F1" s="266" t="s">
        <v>1613</v>
      </c>
      <c r="G1" s="266" t="s">
        <v>1595</v>
      </c>
      <c r="H1" s="266" t="s">
        <v>137</v>
      </c>
    </row>
    <row r="2" spans="1:8" ht="14.55" hidden="1" customHeight="1" x14ac:dyDescent="0.3">
      <c r="A2" s="262" t="s">
        <v>2369</v>
      </c>
      <c r="B2" s="262" t="s">
        <v>2370</v>
      </c>
      <c r="C2" s="262" t="s">
        <v>2371</v>
      </c>
      <c r="D2" s="262" t="s">
        <v>2372</v>
      </c>
      <c r="E2" s="263">
        <v>6</v>
      </c>
      <c r="F2" s="262" t="s">
        <v>2373</v>
      </c>
      <c r="G2" s="262" t="s">
        <v>2374</v>
      </c>
    </row>
    <row r="3" spans="1:8" ht="14.55" hidden="1" customHeight="1" x14ac:dyDescent="0.3">
      <c r="A3" s="262" t="s">
        <v>2369</v>
      </c>
      <c r="B3" s="262" t="s">
        <v>2370</v>
      </c>
      <c r="C3" s="262" t="s">
        <v>2371</v>
      </c>
      <c r="D3" s="262" t="s">
        <v>2375</v>
      </c>
      <c r="E3" s="263">
        <v>6</v>
      </c>
      <c r="F3" s="262" t="s">
        <v>2376</v>
      </c>
      <c r="G3" s="262" t="s">
        <v>2377</v>
      </c>
    </row>
    <row r="4" spans="1:8" x14ac:dyDescent="0.3">
      <c r="A4" s="264" t="s">
        <v>2369</v>
      </c>
      <c r="B4" s="264" t="s">
        <v>2370</v>
      </c>
      <c r="C4" s="264" t="s">
        <v>2371</v>
      </c>
      <c r="D4" s="264" t="s">
        <v>2378</v>
      </c>
      <c r="E4" s="265">
        <v>6</v>
      </c>
      <c r="F4" s="264" t="s">
        <v>2379</v>
      </c>
      <c r="G4" s="264" t="s">
        <v>2402</v>
      </c>
      <c r="H4" s="394" t="s">
        <v>3812</v>
      </c>
    </row>
    <row r="5" spans="1:8" ht="14.55" hidden="1" customHeight="1" x14ac:dyDescent="0.3">
      <c r="A5" s="262" t="s">
        <v>2369</v>
      </c>
      <c r="B5" s="262" t="s">
        <v>2380</v>
      </c>
      <c r="C5" s="262" t="s">
        <v>2371</v>
      </c>
      <c r="D5" s="262" t="s">
        <v>2381</v>
      </c>
      <c r="E5" s="263">
        <v>6</v>
      </c>
      <c r="F5" s="262" t="s">
        <v>2373</v>
      </c>
      <c r="G5" s="262" t="s">
        <v>2374</v>
      </c>
      <c r="H5" s="395"/>
    </row>
    <row r="6" spans="1:8" ht="14.55" hidden="1" customHeight="1" x14ac:dyDescent="0.3">
      <c r="A6" s="262" t="s">
        <v>2369</v>
      </c>
      <c r="B6" s="262" t="s">
        <v>2370</v>
      </c>
      <c r="C6" s="262" t="s">
        <v>2371</v>
      </c>
      <c r="D6" s="262" t="s">
        <v>2382</v>
      </c>
      <c r="E6" s="263">
        <v>4</v>
      </c>
      <c r="F6" s="262" t="s">
        <v>2379</v>
      </c>
      <c r="G6" s="262" t="s">
        <v>2383</v>
      </c>
      <c r="H6" s="395"/>
    </row>
    <row r="7" spans="1:8" ht="14.55" hidden="1" customHeight="1" x14ac:dyDescent="0.3">
      <c r="A7" s="262" t="s">
        <v>2369</v>
      </c>
      <c r="B7" s="262" t="s">
        <v>2380</v>
      </c>
      <c r="C7" s="262" t="s">
        <v>2371</v>
      </c>
      <c r="D7" s="262" t="s">
        <v>2384</v>
      </c>
      <c r="E7" s="263">
        <v>4</v>
      </c>
      <c r="F7" s="262" t="s">
        <v>2373</v>
      </c>
      <c r="G7" s="262" t="s">
        <v>2374</v>
      </c>
      <c r="H7" s="395"/>
    </row>
    <row r="8" spans="1:8" ht="14.55" hidden="1" customHeight="1" x14ac:dyDescent="0.3">
      <c r="A8" s="262" t="s">
        <v>2369</v>
      </c>
      <c r="B8" s="262" t="s">
        <v>2370</v>
      </c>
      <c r="C8" s="262" t="s">
        <v>2371</v>
      </c>
      <c r="D8" s="262" t="s">
        <v>2385</v>
      </c>
      <c r="E8" s="263">
        <v>6</v>
      </c>
      <c r="F8" s="262" t="s">
        <v>2376</v>
      </c>
      <c r="G8" s="262" t="s">
        <v>2386</v>
      </c>
      <c r="H8" s="395"/>
    </row>
    <row r="9" spans="1:8" ht="14.55" hidden="1" customHeight="1" x14ac:dyDescent="0.3">
      <c r="A9" s="262" t="s">
        <v>2369</v>
      </c>
      <c r="B9" s="262" t="s">
        <v>2370</v>
      </c>
      <c r="C9" s="262" t="s">
        <v>2371</v>
      </c>
      <c r="D9" s="262" t="s">
        <v>2387</v>
      </c>
      <c r="E9" s="263">
        <v>8</v>
      </c>
      <c r="F9" s="262" t="s">
        <v>2376</v>
      </c>
      <c r="G9" s="262" t="s">
        <v>2377</v>
      </c>
      <c r="H9" s="395"/>
    </row>
    <row r="10" spans="1:8" ht="14.55" hidden="1" customHeight="1" x14ac:dyDescent="0.3">
      <c r="A10" s="262" t="s">
        <v>2369</v>
      </c>
      <c r="B10" s="262" t="s">
        <v>2370</v>
      </c>
      <c r="C10" s="262" t="s">
        <v>2371</v>
      </c>
      <c r="D10" s="262" t="s">
        <v>2388</v>
      </c>
      <c r="E10" s="263">
        <v>6</v>
      </c>
      <c r="F10" s="262" t="s">
        <v>2389</v>
      </c>
      <c r="G10" s="262" t="s">
        <v>2390</v>
      </c>
      <c r="H10" s="395"/>
    </row>
    <row r="11" spans="1:8" ht="14.55" hidden="1" customHeight="1" x14ac:dyDescent="0.3">
      <c r="A11" s="262" t="s">
        <v>2369</v>
      </c>
      <c r="B11" s="262" t="s">
        <v>2370</v>
      </c>
      <c r="C11" s="262" t="s">
        <v>2371</v>
      </c>
      <c r="D11" s="262" t="s">
        <v>2391</v>
      </c>
      <c r="E11" s="263">
        <v>6</v>
      </c>
      <c r="F11" s="262" t="s">
        <v>2373</v>
      </c>
      <c r="G11" s="262" t="s">
        <v>2392</v>
      </c>
      <c r="H11" s="395"/>
    </row>
    <row r="12" spans="1:8" ht="14.55" hidden="1" customHeight="1" x14ac:dyDescent="0.3">
      <c r="A12" s="262" t="s">
        <v>2369</v>
      </c>
      <c r="B12" s="262" t="s">
        <v>2380</v>
      </c>
      <c r="C12" s="262" t="s">
        <v>2371</v>
      </c>
      <c r="D12" s="262" t="s">
        <v>2393</v>
      </c>
      <c r="E12" s="263">
        <v>8</v>
      </c>
      <c r="F12" s="262" t="s">
        <v>2376</v>
      </c>
      <c r="G12" s="262" t="s">
        <v>2394</v>
      </c>
      <c r="H12" s="395"/>
    </row>
    <row r="13" spans="1:8" ht="14.55" hidden="1" customHeight="1" x14ac:dyDescent="0.3">
      <c r="A13" s="262" t="s">
        <v>2369</v>
      </c>
      <c r="B13" s="262" t="s">
        <v>2370</v>
      </c>
      <c r="C13" s="262" t="s">
        <v>2371</v>
      </c>
      <c r="D13" s="262" t="s">
        <v>2395</v>
      </c>
      <c r="E13" s="263">
        <v>6</v>
      </c>
      <c r="F13" s="262" t="s">
        <v>2379</v>
      </c>
      <c r="G13" s="262" t="s">
        <v>2396</v>
      </c>
      <c r="H13" s="395"/>
    </row>
    <row r="14" spans="1:8" ht="14.55" hidden="1" customHeight="1" x14ac:dyDescent="0.3">
      <c r="A14" s="262" t="s">
        <v>2369</v>
      </c>
      <c r="B14" s="262" t="s">
        <v>2370</v>
      </c>
      <c r="C14" s="262" t="s">
        <v>2371</v>
      </c>
      <c r="D14" s="262" t="s">
        <v>2397</v>
      </c>
      <c r="E14" s="263">
        <v>4</v>
      </c>
      <c r="F14" s="262" t="s">
        <v>2373</v>
      </c>
      <c r="G14" s="262" t="s">
        <v>2392</v>
      </c>
      <c r="H14" s="395"/>
    </row>
    <row r="15" spans="1:8" ht="14.55" hidden="1" customHeight="1" x14ac:dyDescent="0.3">
      <c r="A15" s="262" t="s">
        <v>2369</v>
      </c>
      <c r="B15" s="262" t="s">
        <v>2370</v>
      </c>
      <c r="C15" s="262" t="s">
        <v>2371</v>
      </c>
      <c r="D15" s="262" t="s">
        <v>2398</v>
      </c>
      <c r="E15" s="263">
        <v>4</v>
      </c>
      <c r="F15" s="262" t="s">
        <v>2373</v>
      </c>
      <c r="G15" s="262" t="s">
        <v>2392</v>
      </c>
      <c r="H15" s="395"/>
    </row>
    <row r="16" spans="1:8" ht="14.55" hidden="1" customHeight="1" x14ac:dyDescent="0.3">
      <c r="A16" s="262" t="s">
        <v>2369</v>
      </c>
      <c r="B16" s="262" t="s">
        <v>2370</v>
      </c>
      <c r="C16" s="262" t="s">
        <v>2371</v>
      </c>
      <c r="D16" s="262" t="s">
        <v>2399</v>
      </c>
      <c r="E16" s="263">
        <v>6</v>
      </c>
      <c r="F16" s="262" t="s">
        <v>2379</v>
      </c>
      <c r="G16" s="262" t="s">
        <v>2396</v>
      </c>
      <c r="H16" s="395"/>
    </row>
    <row r="17" spans="1:8" ht="14.55" hidden="1" customHeight="1" x14ac:dyDescent="0.3">
      <c r="A17" s="262" t="s">
        <v>2369</v>
      </c>
      <c r="B17" s="262" t="s">
        <v>2380</v>
      </c>
      <c r="C17" s="262" t="s">
        <v>2371</v>
      </c>
      <c r="D17" s="262" t="s">
        <v>2400</v>
      </c>
      <c r="E17" s="263">
        <v>8</v>
      </c>
      <c r="F17" s="262" t="s">
        <v>2373</v>
      </c>
      <c r="G17" s="262" t="s">
        <v>2374</v>
      </c>
      <c r="H17" s="395"/>
    </row>
    <row r="18" spans="1:8" x14ac:dyDescent="0.3">
      <c r="A18" s="264" t="s">
        <v>2369</v>
      </c>
      <c r="B18" s="264" t="s">
        <v>2370</v>
      </c>
      <c r="C18" s="264" t="s">
        <v>2371</v>
      </c>
      <c r="D18" s="264" t="s">
        <v>2401</v>
      </c>
      <c r="E18" s="265">
        <v>4</v>
      </c>
      <c r="F18" s="264" t="s">
        <v>2379</v>
      </c>
      <c r="G18" s="264" t="s">
        <v>2402</v>
      </c>
      <c r="H18" s="396"/>
    </row>
    <row r="19" spans="1:8" ht="14.55" hidden="1" customHeight="1" x14ac:dyDescent="0.3">
      <c r="A19" s="262" t="s">
        <v>2369</v>
      </c>
      <c r="B19" s="262" t="s">
        <v>2370</v>
      </c>
      <c r="C19" s="262" t="s">
        <v>2371</v>
      </c>
      <c r="D19" s="262" t="s">
        <v>2403</v>
      </c>
      <c r="E19" s="263">
        <v>6</v>
      </c>
      <c r="F19" s="262" t="s">
        <v>2379</v>
      </c>
      <c r="G19" s="262" t="s">
        <v>2396</v>
      </c>
      <c r="H19" s="395"/>
    </row>
    <row r="20" spans="1:8" ht="14.55" hidden="1" customHeight="1" x14ac:dyDescent="0.3">
      <c r="A20" s="262" t="s">
        <v>2369</v>
      </c>
      <c r="B20" s="262" t="s">
        <v>2370</v>
      </c>
      <c r="C20" s="262" t="s">
        <v>2371</v>
      </c>
      <c r="D20" s="262" t="s">
        <v>2404</v>
      </c>
      <c r="E20" s="263">
        <v>6</v>
      </c>
      <c r="F20" s="262" t="s">
        <v>2389</v>
      </c>
      <c r="G20" s="262" t="s">
        <v>2390</v>
      </c>
      <c r="H20" s="395"/>
    </row>
    <row r="21" spans="1:8" ht="14.55" hidden="1" customHeight="1" x14ac:dyDescent="0.3">
      <c r="A21" s="262" t="s">
        <v>2369</v>
      </c>
      <c r="B21" s="262" t="s">
        <v>2370</v>
      </c>
      <c r="C21" s="262" t="s">
        <v>2371</v>
      </c>
      <c r="D21" s="262" t="s">
        <v>2405</v>
      </c>
      <c r="E21" s="263">
        <v>8</v>
      </c>
      <c r="F21" s="262" t="s">
        <v>2376</v>
      </c>
      <c r="G21" s="262" t="s">
        <v>2406</v>
      </c>
      <c r="H21" s="395"/>
    </row>
    <row r="22" spans="1:8" ht="14.55" hidden="1" customHeight="1" x14ac:dyDescent="0.3">
      <c r="A22" s="262" t="s">
        <v>2369</v>
      </c>
      <c r="B22" s="262" t="s">
        <v>2380</v>
      </c>
      <c r="C22" s="262" t="s">
        <v>2371</v>
      </c>
      <c r="D22" s="262" t="s">
        <v>2407</v>
      </c>
      <c r="E22" s="263">
        <v>4</v>
      </c>
      <c r="F22" s="262" t="s">
        <v>2389</v>
      </c>
      <c r="G22" s="262" t="s">
        <v>2408</v>
      </c>
      <c r="H22" s="395"/>
    </row>
    <row r="23" spans="1:8" ht="14.55" hidden="1" customHeight="1" x14ac:dyDescent="0.3">
      <c r="A23" s="262" t="s">
        <v>2369</v>
      </c>
      <c r="B23" s="262" t="s">
        <v>2370</v>
      </c>
      <c r="C23" s="262" t="s">
        <v>2371</v>
      </c>
      <c r="D23" s="262" t="s">
        <v>2409</v>
      </c>
      <c r="E23" s="263">
        <v>6</v>
      </c>
      <c r="F23" s="262" t="s">
        <v>2379</v>
      </c>
      <c r="G23" s="262" t="s">
        <v>2396</v>
      </c>
      <c r="H23" s="395"/>
    </row>
    <row r="24" spans="1:8" x14ac:dyDescent="0.3">
      <c r="A24" s="264" t="s">
        <v>2369</v>
      </c>
      <c r="B24" s="264" t="s">
        <v>2370</v>
      </c>
      <c r="C24" s="264" t="s">
        <v>2371</v>
      </c>
      <c r="D24" s="264" t="s">
        <v>2410</v>
      </c>
      <c r="E24" s="265">
        <v>4</v>
      </c>
      <c r="F24" s="264" t="s">
        <v>2379</v>
      </c>
      <c r="G24" s="264" t="s">
        <v>2402</v>
      </c>
      <c r="H24" s="396"/>
    </row>
    <row r="25" spans="1:8" ht="14.55" hidden="1" customHeight="1" x14ac:dyDescent="0.3">
      <c r="A25" s="262" t="s">
        <v>2369</v>
      </c>
      <c r="B25" s="262" t="s">
        <v>2370</v>
      </c>
      <c r="C25" s="262" t="s">
        <v>2371</v>
      </c>
      <c r="D25" s="262" t="s">
        <v>2411</v>
      </c>
      <c r="E25" s="263">
        <v>6</v>
      </c>
      <c r="F25" s="262" t="s">
        <v>2376</v>
      </c>
      <c r="G25" s="262" t="s">
        <v>2394</v>
      </c>
      <c r="H25" s="395"/>
    </row>
    <row r="26" spans="1:8" ht="14.55" hidden="1" customHeight="1" x14ac:dyDescent="0.3">
      <c r="A26" s="262" t="s">
        <v>2369</v>
      </c>
      <c r="B26" s="262" t="s">
        <v>2370</v>
      </c>
      <c r="C26" s="262" t="s">
        <v>2371</v>
      </c>
      <c r="D26" s="262" t="s">
        <v>2412</v>
      </c>
      <c r="E26" s="263">
        <v>6</v>
      </c>
      <c r="F26" s="262" t="s">
        <v>2379</v>
      </c>
      <c r="G26" s="262" t="s">
        <v>2396</v>
      </c>
      <c r="H26" s="395"/>
    </row>
    <row r="27" spans="1:8" ht="14.55" hidden="1" customHeight="1" x14ac:dyDescent="0.3">
      <c r="A27" s="262" t="s">
        <v>2413</v>
      </c>
      <c r="B27" s="262" t="s">
        <v>2370</v>
      </c>
      <c r="C27" s="262" t="s">
        <v>2371</v>
      </c>
      <c r="D27" s="262" t="s">
        <v>2414</v>
      </c>
      <c r="E27" s="263">
        <v>8</v>
      </c>
      <c r="F27" s="262" t="s">
        <v>2379</v>
      </c>
      <c r="G27" s="262" t="s">
        <v>2396</v>
      </c>
      <c r="H27" s="395"/>
    </row>
    <row r="28" spans="1:8" ht="14.55" hidden="1" customHeight="1" x14ac:dyDescent="0.3">
      <c r="A28" s="262" t="s">
        <v>2413</v>
      </c>
      <c r="B28" s="262" t="s">
        <v>2370</v>
      </c>
      <c r="C28" s="262" t="s">
        <v>2371</v>
      </c>
      <c r="D28" s="262" t="s">
        <v>2415</v>
      </c>
      <c r="E28" s="263">
        <v>8</v>
      </c>
      <c r="F28" s="262" t="s">
        <v>2376</v>
      </c>
      <c r="G28" s="262" t="s">
        <v>2416</v>
      </c>
      <c r="H28" s="395"/>
    </row>
    <row r="29" spans="1:8" ht="14.55" hidden="1" customHeight="1" x14ac:dyDescent="0.3">
      <c r="A29" s="262" t="s">
        <v>2413</v>
      </c>
      <c r="B29" s="262" t="s">
        <v>2370</v>
      </c>
      <c r="C29" s="262" t="s">
        <v>2371</v>
      </c>
      <c r="D29" s="262" t="s">
        <v>2417</v>
      </c>
      <c r="E29" s="263">
        <v>6</v>
      </c>
      <c r="F29" s="262" t="s">
        <v>2376</v>
      </c>
      <c r="G29" s="262" t="s">
        <v>2394</v>
      </c>
      <c r="H29" s="395"/>
    </row>
    <row r="30" spans="1:8" ht="14.55" hidden="1" customHeight="1" x14ac:dyDescent="0.3">
      <c r="A30" s="262" t="s">
        <v>2413</v>
      </c>
      <c r="B30" s="262" t="s">
        <v>2380</v>
      </c>
      <c r="C30" s="262" t="s">
        <v>2371</v>
      </c>
      <c r="D30" s="262" t="s">
        <v>2418</v>
      </c>
      <c r="E30" s="263">
        <v>6</v>
      </c>
      <c r="F30" s="262" t="s">
        <v>2419</v>
      </c>
      <c r="G30" s="262" t="s">
        <v>2420</v>
      </c>
      <c r="H30" s="395"/>
    </row>
    <row r="31" spans="1:8" ht="14.55" hidden="1" customHeight="1" x14ac:dyDescent="0.3">
      <c r="A31" s="262" t="s">
        <v>2413</v>
      </c>
      <c r="B31" s="262" t="s">
        <v>2370</v>
      </c>
      <c r="C31" s="262" t="s">
        <v>2371</v>
      </c>
      <c r="D31" s="262" t="s">
        <v>2421</v>
      </c>
      <c r="E31" s="263">
        <v>6</v>
      </c>
      <c r="F31" s="262" t="s">
        <v>2373</v>
      </c>
      <c r="G31" s="262" t="s">
        <v>2374</v>
      </c>
      <c r="H31" s="395"/>
    </row>
    <row r="32" spans="1:8" ht="14.55" hidden="1" customHeight="1" x14ac:dyDescent="0.3">
      <c r="A32" s="262" t="s">
        <v>2413</v>
      </c>
      <c r="B32" s="262" t="s">
        <v>2370</v>
      </c>
      <c r="C32" s="262" t="s">
        <v>2371</v>
      </c>
      <c r="D32" s="262" t="s">
        <v>2422</v>
      </c>
      <c r="E32" s="263">
        <v>6</v>
      </c>
      <c r="F32" s="262" t="s">
        <v>2373</v>
      </c>
      <c r="G32" s="262" t="s">
        <v>2374</v>
      </c>
      <c r="H32" s="395"/>
    </row>
    <row r="33" spans="1:8" ht="14.55" hidden="1" customHeight="1" x14ac:dyDescent="0.3">
      <c r="A33" s="262" t="s">
        <v>2413</v>
      </c>
      <c r="B33" s="262" t="s">
        <v>2370</v>
      </c>
      <c r="C33" s="262" t="s">
        <v>2371</v>
      </c>
      <c r="D33" s="262" t="s">
        <v>2423</v>
      </c>
      <c r="E33" s="263">
        <v>8</v>
      </c>
      <c r="F33" s="262" t="s">
        <v>2376</v>
      </c>
      <c r="G33" s="262" t="s">
        <v>2377</v>
      </c>
      <c r="H33" s="395"/>
    </row>
    <row r="34" spans="1:8" x14ac:dyDescent="0.3">
      <c r="A34" s="264" t="s">
        <v>2413</v>
      </c>
      <c r="B34" s="264" t="s">
        <v>2370</v>
      </c>
      <c r="C34" s="264" t="s">
        <v>2371</v>
      </c>
      <c r="D34" s="264" t="s">
        <v>2424</v>
      </c>
      <c r="E34" s="265">
        <v>8</v>
      </c>
      <c r="F34" s="264" t="s">
        <v>2379</v>
      </c>
      <c r="G34" s="264" t="s">
        <v>2402</v>
      </c>
      <c r="H34" s="396"/>
    </row>
    <row r="35" spans="1:8" ht="14.55" hidden="1" customHeight="1" x14ac:dyDescent="0.3">
      <c r="A35" s="262" t="s">
        <v>2413</v>
      </c>
      <c r="B35" s="262" t="s">
        <v>2370</v>
      </c>
      <c r="C35" s="262" t="s">
        <v>2371</v>
      </c>
      <c r="D35" s="262" t="s">
        <v>2425</v>
      </c>
      <c r="E35" s="263">
        <v>4</v>
      </c>
      <c r="F35" s="262" t="s">
        <v>2389</v>
      </c>
      <c r="G35" s="262" t="s">
        <v>2408</v>
      </c>
      <c r="H35" s="395"/>
    </row>
    <row r="36" spans="1:8" ht="14.55" hidden="1" customHeight="1" x14ac:dyDescent="0.3">
      <c r="A36" s="262" t="s">
        <v>2413</v>
      </c>
      <c r="B36" s="262" t="s">
        <v>2370</v>
      </c>
      <c r="C36" s="262" t="s">
        <v>2371</v>
      </c>
      <c r="D36" s="262" t="s">
        <v>2426</v>
      </c>
      <c r="E36" s="263">
        <v>8</v>
      </c>
      <c r="F36" s="262" t="s">
        <v>2376</v>
      </c>
      <c r="G36" s="262" t="s">
        <v>2406</v>
      </c>
      <c r="H36" s="395"/>
    </row>
    <row r="37" spans="1:8" ht="14.55" hidden="1" customHeight="1" x14ac:dyDescent="0.3">
      <c r="A37" s="262" t="s">
        <v>2413</v>
      </c>
      <c r="B37" s="262" t="s">
        <v>2370</v>
      </c>
      <c r="C37" s="262" t="s">
        <v>2371</v>
      </c>
      <c r="D37" s="262" t="s">
        <v>2427</v>
      </c>
      <c r="E37" s="263">
        <v>6</v>
      </c>
      <c r="F37" s="262" t="s">
        <v>2389</v>
      </c>
      <c r="G37" s="262" t="s">
        <v>2428</v>
      </c>
      <c r="H37" s="395"/>
    </row>
    <row r="38" spans="1:8" ht="14.55" hidden="1" customHeight="1" x14ac:dyDescent="0.3">
      <c r="A38" s="262" t="s">
        <v>2413</v>
      </c>
      <c r="B38" s="262" t="s">
        <v>2370</v>
      </c>
      <c r="C38" s="262" t="s">
        <v>2371</v>
      </c>
      <c r="D38" s="262" t="s">
        <v>2429</v>
      </c>
      <c r="E38" s="263">
        <v>8</v>
      </c>
      <c r="F38" s="262" t="s">
        <v>2379</v>
      </c>
      <c r="G38" s="262" t="s">
        <v>2383</v>
      </c>
      <c r="H38" s="395"/>
    </row>
    <row r="39" spans="1:8" ht="14.55" hidden="1" customHeight="1" x14ac:dyDescent="0.3">
      <c r="A39" s="262" t="s">
        <v>2413</v>
      </c>
      <c r="B39" s="262" t="s">
        <v>2370</v>
      </c>
      <c r="C39" s="262" t="s">
        <v>2371</v>
      </c>
      <c r="D39" s="262" t="s">
        <v>2430</v>
      </c>
      <c r="E39" s="263">
        <v>6</v>
      </c>
      <c r="F39" s="262" t="s">
        <v>2379</v>
      </c>
      <c r="G39" s="262" t="s">
        <v>2396</v>
      </c>
      <c r="H39" s="395"/>
    </row>
    <row r="40" spans="1:8" ht="14.55" hidden="1" customHeight="1" x14ac:dyDescent="0.3">
      <c r="A40" s="262" t="s">
        <v>2413</v>
      </c>
      <c r="B40" s="262" t="s">
        <v>2370</v>
      </c>
      <c r="C40" s="262" t="s">
        <v>2371</v>
      </c>
      <c r="D40" s="262" t="s">
        <v>2431</v>
      </c>
      <c r="E40" s="263">
        <v>8</v>
      </c>
      <c r="F40" s="262" t="s">
        <v>2419</v>
      </c>
      <c r="G40" s="262" t="s">
        <v>2432</v>
      </c>
      <c r="H40" s="395"/>
    </row>
    <row r="41" spans="1:8" ht="14.55" hidden="1" customHeight="1" x14ac:dyDescent="0.3">
      <c r="A41" s="262" t="s">
        <v>2413</v>
      </c>
      <c r="B41" s="262" t="s">
        <v>2370</v>
      </c>
      <c r="C41" s="262" t="s">
        <v>2371</v>
      </c>
      <c r="D41" s="262" t="s">
        <v>2433</v>
      </c>
      <c r="E41" s="263">
        <v>6</v>
      </c>
      <c r="F41" s="262" t="s">
        <v>2389</v>
      </c>
      <c r="G41" s="262" t="s">
        <v>2428</v>
      </c>
      <c r="H41" s="395"/>
    </row>
    <row r="42" spans="1:8" ht="14.55" hidden="1" customHeight="1" x14ac:dyDescent="0.3">
      <c r="A42" s="262" t="s">
        <v>2413</v>
      </c>
      <c r="B42" s="262" t="s">
        <v>2370</v>
      </c>
      <c r="C42" s="262" t="s">
        <v>2371</v>
      </c>
      <c r="D42" s="262" t="s">
        <v>2434</v>
      </c>
      <c r="E42" s="263">
        <v>4</v>
      </c>
      <c r="F42" s="262" t="s">
        <v>2376</v>
      </c>
      <c r="G42" s="262" t="s">
        <v>2377</v>
      </c>
      <c r="H42" s="395"/>
    </row>
    <row r="43" spans="1:8" ht="14.55" hidden="1" customHeight="1" x14ac:dyDescent="0.3">
      <c r="A43" s="262" t="s">
        <v>2413</v>
      </c>
      <c r="B43" s="262" t="s">
        <v>2380</v>
      </c>
      <c r="C43" s="262" t="s">
        <v>2371</v>
      </c>
      <c r="D43" s="262" t="s">
        <v>2435</v>
      </c>
      <c r="E43" s="263">
        <v>8</v>
      </c>
      <c r="F43" s="262" t="s">
        <v>2376</v>
      </c>
      <c r="G43" s="262" t="s">
        <v>2394</v>
      </c>
      <c r="H43" s="395"/>
    </row>
    <row r="44" spans="1:8" ht="14.55" hidden="1" customHeight="1" x14ac:dyDescent="0.3">
      <c r="A44" s="262" t="s">
        <v>2413</v>
      </c>
      <c r="B44" s="262" t="s">
        <v>2370</v>
      </c>
      <c r="C44" s="262" t="s">
        <v>2371</v>
      </c>
      <c r="D44" s="262" t="s">
        <v>2436</v>
      </c>
      <c r="E44" s="263">
        <v>6</v>
      </c>
      <c r="F44" s="262" t="s">
        <v>2373</v>
      </c>
      <c r="G44" s="262" t="s">
        <v>2392</v>
      </c>
      <c r="H44" s="395"/>
    </row>
    <row r="45" spans="1:8" ht="14.55" hidden="1" customHeight="1" x14ac:dyDescent="0.3">
      <c r="A45" s="262" t="s">
        <v>2413</v>
      </c>
      <c r="B45" s="262" t="s">
        <v>2380</v>
      </c>
      <c r="C45" s="262" t="s">
        <v>2371</v>
      </c>
      <c r="D45" s="262" t="s">
        <v>2437</v>
      </c>
      <c r="E45" s="263">
        <v>8</v>
      </c>
      <c r="F45" s="262" t="s">
        <v>2373</v>
      </c>
      <c r="G45" s="262" t="s">
        <v>2374</v>
      </c>
      <c r="H45" s="395"/>
    </row>
    <row r="46" spans="1:8" ht="14.55" hidden="1" customHeight="1" x14ac:dyDescent="0.3">
      <c r="A46" s="262" t="s">
        <v>2413</v>
      </c>
      <c r="B46" s="262" t="s">
        <v>2370</v>
      </c>
      <c r="C46" s="262" t="s">
        <v>2371</v>
      </c>
      <c r="D46" s="262" t="s">
        <v>2438</v>
      </c>
      <c r="E46" s="263">
        <v>6</v>
      </c>
      <c r="F46" s="262" t="s">
        <v>2379</v>
      </c>
      <c r="G46" s="262" t="s">
        <v>2396</v>
      </c>
      <c r="H46" s="395"/>
    </row>
    <row r="47" spans="1:8" ht="14.55" hidden="1" customHeight="1" x14ac:dyDescent="0.3">
      <c r="A47" s="262" t="s">
        <v>2413</v>
      </c>
      <c r="B47" s="262" t="s">
        <v>2370</v>
      </c>
      <c r="C47" s="262" t="s">
        <v>2371</v>
      </c>
      <c r="D47" s="262" t="s">
        <v>2439</v>
      </c>
      <c r="E47" s="263">
        <v>8</v>
      </c>
      <c r="F47" s="262" t="s">
        <v>2376</v>
      </c>
      <c r="G47" s="262" t="s">
        <v>2406</v>
      </c>
      <c r="H47" s="395"/>
    </row>
    <row r="48" spans="1:8" ht="14.55" hidden="1" customHeight="1" x14ac:dyDescent="0.3">
      <c r="A48" s="262" t="s">
        <v>2413</v>
      </c>
      <c r="B48" s="262" t="s">
        <v>2370</v>
      </c>
      <c r="C48" s="262" t="s">
        <v>2371</v>
      </c>
      <c r="D48" s="262" t="s">
        <v>2440</v>
      </c>
      <c r="E48" s="263">
        <v>6</v>
      </c>
      <c r="F48" s="262" t="s">
        <v>2379</v>
      </c>
      <c r="G48" s="262" t="s">
        <v>2383</v>
      </c>
      <c r="H48" s="395"/>
    </row>
    <row r="49" spans="1:8" ht="14.55" hidden="1" customHeight="1" x14ac:dyDescent="0.3">
      <c r="A49" s="262" t="s">
        <v>2413</v>
      </c>
      <c r="B49" s="262" t="s">
        <v>2370</v>
      </c>
      <c r="C49" s="262" t="s">
        <v>2371</v>
      </c>
      <c r="D49" s="262" t="s">
        <v>2441</v>
      </c>
      <c r="E49" s="263">
        <v>8</v>
      </c>
      <c r="F49" s="262" t="s">
        <v>2376</v>
      </c>
      <c r="G49" s="262" t="s">
        <v>2377</v>
      </c>
      <c r="H49" s="395"/>
    </row>
    <row r="50" spans="1:8" ht="14.55" hidden="1" customHeight="1" x14ac:dyDescent="0.3">
      <c r="A50" s="262" t="s">
        <v>2413</v>
      </c>
      <c r="B50" s="262" t="s">
        <v>2370</v>
      </c>
      <c r="C50" s="262" t="s">
        <v>2371</v>
      </c>
      <c r="D50" s="262" t="s">
        <v>2442</v>
      </c>
      <c r="E50" s="263">
        <v>6</v>
      </c>
      <c r="F50" s="262" t="s">
        <v>2389</v>
      </c>
      <c r="G50" s="262" t="s">
        <v>2428</v>
      </c>
      <c r="H50" s="395"/>
    </row>
    <row r="51" spans="1:8" ht="14.55" hidden="1" customHeight="1" x14ac:dyDescent="0.3">
      <c r="A51" s="262" t="s">
        <v>2413</v>
      </c>
      <c r="B51" s="262" t="s">
        <v>2370</v>
      </c>
      <c r="C51" s="262" t="s">
        <v>2371</v>
      </c>
      <c r="D51" s="262" t="s">
        <v>2443</v>
      </c>
      <c r="E51" s="263">
        <v>6</v>
      </c>
      <c r="F51" s="262" t="s">
        <v>2379</v>
      </c>
      <c r="G51" s="262" t="s">
        <v>2396</v>
      </c>
      <c r="H51" s="395"/>
    </row>
    <row r="52" spans="1:8" ht="14.55" hidden="1" customHeight="1" x14ac:dyDescent="0.3">
      <c r="A52" s="262" t="s">
        <v>2413</v>
      </c>
      <c r="B52" s="262" t="s">
        <v>2380</v>
      </c>
      <c r="C52" s="262" t="s">
        <v>2371</v>
      </c>
      <c r="D52" s="262" t="s">
        <v>2444</v>
      </c>
      <c r="E52" s="263">
        <v>6</v>
      </c>
      <c r="F52" s="262" t="s">
        <v>2376</v>
      </c>
      <c r="G52" s="262" t="s">
        <v>2394</v>
      </c>
      <c r="H52" s="395"/>
    </row>
    <row r="53" spans="1:8" ht="14.55" hidden="1" customHeight="1" x14ac:dyDescent="0.3">
      <c r="A53" s="262" t="s">
        <v>2413</v>
      </c>
      <c r="B53" s="262" t="s">
        <v>2370</v>
      </c>
      <c r="C53" s="262" t="s">
        <v>2371</v>
      </c>
      <c r="D53" s="262" t="s">
        <v>2445</v>
      </c>
      <c r="E53" s="263">
        <v>4</v>
      </c>
      <c r="F53" s="262" t="s">
        <v>2389</v>
      </c>
      <c r="G53" s="262" t="s">
        <v>2408</v>
      </c>
      <c r="H53" s="395"/>
    </row>
    <row r="54" spans="1:8" ht="14.55" hidden="1" customHeight="1" x14ac:dyDescent="0.3">
      <c r="A54" s="262" t="s">
        <v>2413</v>
      </c>
      <c r="B54" s="262" t="s">
        <v>2370</v>
      </c>
      <c r="C54" s="262" t="s">
        <v>2371</v>
      </c>
      <c r="D54" s="262" t="s">
        <v>2446</v>
      </c>
      <c r="E54" s="263">
        <v>4</v>
      </c>
      <c r="F54" s="262" t="s">
        <v>2376</v>
      </c>
      <c r="G54" s="262" t="s">
        <v>2406</v>
      </c>
      <c r="H54" s="395"/>
    </row>
    <row r="55" spans="1:8" ht="14.55" hidden="1" customHeight="1" x14ac:dyDescent="0.3">
      <c r="A55" s="262" t="s">
        <v>2413</v>
      </c>
      <c r="B55" s="262" t="s">
        <v>2370</v>
      </c>
      <c r="C55" s="262" t="s">
        <v>2371</v>
      </c>
      <c r="D55" s="262" t="s">
        <v>2447</v>
      </c>
      <c r="E55" s="263">
        <v>6</v>
      </c>
      <c r="F55" s="262" t="s">
        <v>2373</v>
      </c>
      <c r="G55" s="262" t="s">
        <v>2374</v>
      </c>
      <c r="H55" s="395"/>
    </row>
    <row r="56" spans="1:8" ht="14.55" hidden="1" customHeight="1" x14ac:dyDescent="0.3">
      <c r="A56" s="262" t="s">
        <v>2413</v>
      </c>
      <c r="B56" s="262" t="s">
        <v>2380</v>
      </c>
      <c r="C56" s="262" t="s">
        <v>2371</v>
      </c>
      <c r="D56" s="262" t="s">
        <v>2448</v>
      </c>
      <c r="E56" s="263">
        <v>6</v>
      </c>
      <c r="F56" s="262" t="s">
        <v>2373</v>
      </c>
      <c r="G56" s="262" t="s">
        <v>2449</v>
      </c>
      <c r="H56" s="395"/>
    </row>
    <row r="57" spans="1:8" ht="14.55" hidden="1" customHeight="1" x14ac:dyDescent="0.3">
      <c r="A57" s="262" t="s">
        <v>2413</v>
      </c>
      <c r="B57" s="262" t="s">
        <v>2370</v>
      </c>
      <c r="C57" s="262" t="s">
        <v>2371</v>
      </c>
      <c r="D57" s="262" t="s">
        <v>2450</v>
      </c>
      <c r="E57" s="263">
        <v>8</v>
      </c>
      <c r="F57" s="262" t="s">
        <v>2376</v>
      </c>
      <c r="G57" s="262" t="s">
        <v>2451</v>
      </c>
      <c r="H57" s="395"/>
    </row>
    <row r="58" spans="1:8" ht="14.55" hidden="1" customHeight="1" x14ac:dyDescent="0.3">
      <c r="A58" s="262" t="s">
        <v>2413</v>
      </c>
      <c r="B58" s="262" t="s">
        <v>2370</v>
      </c>
      <c r="C58" s="262" t="s">
        <v>2371</v>
      </c>
      <c r="D58" s="262" t="s">
        <v>2452</v>
      </c>
      <c r="E58" s="263">
        <v>6</v>
      </c>
      <c r="F58" s="262" t="s">
        <v>2373</v>
      </c>
      <c r="G58" s="262" t="s">
        <v>2453</v>
      </c>
      <c r="H58" s="395"/>
    </row>
    <row r="59" spans="1:8" ht="14.55" hidden="1" customHeight="1" x14ac:dyDescent="0.3">
      <c r="A59" s="262" t="s">
        <v>2413</v>
      </c>
      <c r="B59" s="262" t="s">
        <v>2370</v>
      </c>
      <c r="C59" s="262" t="s">
        <v>2371</v>
      </c>
      <c r="D59" s="262" t="s">
        <v>2454</v>
      </c>
      <c r="E59" s="263">
        <v>6</v>
      </c>
      <c r="F59" s="262" t="s">
        <v>2373</v>
      </c>
      <c r="G59" s="262" t="s">
        <v>2392</v>
      </c>
      <c r="H59" s="395"/>
    </row>
    <row r="60" spans="1:8" ht="14.55" hidden="1" customHeight="1" x14ac:dyDescent="0.3">
      <c r="A60" s="262" t="s">
        <v>2413</v>
      </c>
      <c r="B60" s="262" t="s">
        <v>2370</v>
      </c>
      <c r="C60" s="262" t="s">
        <v>2371</v>
      </c>
      <c r="D60" s="262" t="s">
        <v>2455</v>
      </c>
      <c r="E60" s="263">
        <v>4</v>
      </c>
      <c r="F60" s="262" t="s">
        <v>2373</v>
      </c>
      <c r="G60" s="262" t="s">
        <v>2456</v>
      </c>
      <c r="H60" s="395"/>
    </row>
    <row r="61" spans="1:8" ht="14.55" hidden="1" customHeight="1" x14ac:dyDescent="0.3">
      <c r="A61" s="262" t="s">
        <v>2413</v>
      </c>
      <c r="B61" s="262" t="s">
        <v>2370</v>
      </c>
      <c r="C61" s="262" t="s">
        <v>2371</v>
      </c>
      <c r="D61" s="262" t="s">
        <v>2457</v>
      </c>
      <c r="E61" s="263">
        <v>6</v>
      </c>
      <c r="F61" s="262" t="s">
        <v>2389</v>
      </c>
      <c r="G61" s="262" t="s">
        <v>2408</v>
      </c>
      <c r="H61" s="395"/>
    </row>
    <row r="62" spans="1:8" ht="14.55" hidden="1" customHeight="1" x14ac:dyDescent="0.3">
      <c r="A62" s="262" t="s">
        <v>2413</v>
      </c>
      <c r="B62" s="262" t="s">
        <v>2370</v>
      </c>
      <c r="C62" s="262" t="s">
        <v>2371</v>
      </c>
      <c r="D62" s="262" t="s">
        <v>2458</v>
      </c>
      <c r="E62" s="263">
        <v>6</v>
      </c>
      <c r="F62" s="262" t="s">
        <v>2379</v>
      </c>
      <c r="G62" s="262" t="s">
        <v>2396</v>
      </c>
      <c r="H62" s="395"/>
    </row>
    <row r="63" spans="1:8" ht="14.55" hidden="1" customHeight="1" x14ac:dyDescent="0.3">
      <c r="A63" s="262" t="s">
        <v>2413</v>
      </c>
      <c r="B63" s="262" t="s">
        <v>2380</v>
      </c>
      <c r="C63" s="262" t="s">
        <v>2371</v>
      </c>
      <c r="D63" s="262" t="s">
        <v>2459</v>
      </c>
      <c r="E63" s="263">
        <v>8</v>
      </c>
      <c r="F63" s="262" t="s">
        <v>2379</v>
      </c>
      <c r="G63" s="262" t="s">
        <v>2396</v>
      </c>
      <c r="H63" s="395"/>
    </row>
    <row r="64" spans="1:8" ht="14.55" hidden="1" customHeight="1" x14ac:dyDescent="0.3">
      <c r="A64" s="262" t="s">
        <v>2413</v>
      </c>
      <c r="B64" s="262" t="s">
        <v>2370</v>
      </c>
      <c r="C64" s="262" t="s">
        <v>2371</v>
      </c>
      <c r="D64" s="262" t="s">
        <v>2460</v>
      </c>
      <c r="E64" s="263">
        <v>8</v>
      </c>
      <c r="F64" s="262" t="s">
        <v>2376</v>
      </c>
      <c r="G64" s="262" t="s">
        <v>2406</v>
      </c>
      <c r="H64" s="395"/>
    </row>
    <row r="65" spans="1:8" ht="14.55" hidden="1" customHeight="1" x14ac:dyDescent="0.3">
      <c r="A65" s="262" t="s">
        <v>2413</v>
      </c>
      <c r="B65" s="262" t="s">
        <v>2380</v>
      </c>
      <c r="C65" s="262" t="s">
        <v>2371</v>
      </c>
      <c r="D65" s="262" t="s">
        <v>2461</v>
      </c>
      <c r="E65" s="263">
        <v>8</v>
      </c>
      <c r="F65" s="262" t="s">
        <v>2376</v>
      </c>
      <c r="G65" s="262" t="s">
        <v>2394</v>
      </c>
      <c r="H65" s="395"/>
    </row>
    <row r="66" spans="1:8" ht="14.55" hidden="1" customHeight="1" x14ac:dyDescent="0.3">
      <c r="A66" s="262" t="s">
        <v>2413</v>
      </c>
      <c r="B66" s="262" t="s">
        <v>2370</v>
      </c>
      <c r="C66" s="262" t="s">
        <v>2371</v>
      </c>
      <c r="D66" s="262" t="s">
        <v>2462</v>
      </c>
      <c r="E66" s="263">
        <v>6</v>
      </c>
      <c r="F66" s="262" t="s">
        <v>2379</v>
      </c>
      <c r="G66" s="262" t="s">
        <v>2463</v>
      </c>
      <c r="H66" s="395"/>
    </row>
    <row r="67" spans="1:8" ht="14.55" hidden="1" customHeight="1" x14ac:dyDescent="0.3">
      <c r="A67" s="262" t="s">
        <v>2413</v>
      </c>
      <c r="B67" s="262" t="s">
        <v>2370</v>
      </c>
      <c r="C67" s="262" t="s">
        <v>2371</v>
      </c>
      <c r="D67" s="262" t="s">
        <v>2464</v>
      </c>
      <c r="E67" s="263">
        <v>4</v>
      </c>
      <c r="F67" s="262" t="s">
        <v>2389</v>
      </c>
      <c r="G67" s="262" t="s">
        <v>2428</v>
      </c>
      <c r="H67" s="395"/>
    </row>
    <row r="68" spans="1:8" ht="14.55" hidden="1" customHeight="1" x14ac:dyDescent="0.3">
      <c r="A68" s="262" t="s">
        <v>2413</v>
      </c>
      <c r="B68" s="262" t="s">
        <v>2370</v>
      </c>
      <c r="C68" s="262" t="s">
        <v>2371</v>
      </c>
      <c r="D68" s="262" t="s">
        <v>2465</v>
      </c>
      <c r="E68" s="263">
        <v>6</v>
      </c>
      <c r="F68" s="262" t="s">
        <v>2379</v>
      </c>
      <c r="G68" s="262" t="s">
        <v>2396</v>
      </c>
      <c r="H68" s="395"/>
    </row>
    <row r="69" spans="1:8" ht="14.55" hidden="1" customHeight="1" x14ac:dyDescent="0.3">
      <c r="A69" s="262" t="s">
        <v>2413</v>
      </c>
      <c r="B69" s="262" t="s">
        <v>2380</v>
      </c>
      <c r="C69" s="262" t="s">
        <v>2371</v>
      </c>
      <c r="D69" s="262" t="s">
        <v>2466</v>
      </c>
      <c r="E69" s="263">
        <v>6</v>
      </c>
      <c r="F69" s="262" t="s">
        <v>2419</v>
      </c>
      <c r="G69" s="262" t="s">
        <v>2432</v>
      </c>
      <c r="H69" s="395"/>
    </row>
    <row r="70" spans="1:8" ht="14.55" hidden="1" customHeight="1" x14ac:dyDescent="0.3">
      <c r="A70" s="262" t="s">
        <v>2413</v>
      </c>
      <c r="B70" s="262" t="s">
        <v>2370</v>
      </c>
      <c r="C70" s="262" t="s">
        <v>2371</v>
      </c>
      <c r="D70" s="262" t="s">
        <v>2467</v>
      </c>
      <c r="E70" s="263">
        <v>6</v>
      </c>
      <c r="F70" s="262" t="s">
        <v>2373</v>
      </c>
      <c r="G70" s="262" t="s">
        <v>2374</v>
      </c>
      <c r="H70" s="395"/>
    </row>
    <row r="71" spans="1:8" ht="14.55" hidden="1" customHeight="1" x14ac:dyDescent="0.3">
      <c r="A71" s="262" t="s">
        <v>2413</v>
      </c>
      <c r="B71" s="262" t="s">
        <v>2370</v>
      </c>
      <c r="C71" s="262" t="s">
        <v>2371</v>
      </c>
      <c r="D71" s="262" t="s">
        <v>2468</v>
      </c>
      <c r="E71" s="263">
        <v>4</v>
      </c>
      <c r="F71" s="262" t="s">
        <v>2419</v>
      </c>
      <c r="G71" s="262" t="s">
        <v>2432</v>
      </c>
      <c r="H71" s="395"/>
    </row>
    <row r="72" spans="1:8" ht="14.55" hidden="1" customHeight="1" x14ac:dyDescent="0.3">
      <c r="A72" s="262" t="s">
        <v>2413</v>
      </c>
      <c r="B72" s="262" t="s">
        <v>2370</v>
      </c>
      <c r="C72" s="262" t="s">
        <v>2371</v>
      </c>
      <c r="D72" s="262" t="s">
        <v>2469</v>
      </c>
      <c r="E72" s="263">
        <v>8</v>
      </c>
      <c r="F72" s="262" t="s">
        <v>2379</v>
      </c>
      <c r="G72" s="262" t="s">
        <v>2470</v>
      </c>
      <c r="H72" s="395"/>
    </row>
    <row r="73" spans="1:8" ht="14.55" hidden="1" customHeight="1" x14ac:dyDescent="0.3">
      <c r="A73" s="262" t="s">
        <v>2413</v>
      </c>
      <c r="B73" s="262" t="s">
        <v>2370</v>
      </c>
      <c r="C73" s="262" t="s">
        <v>2371</v>
      </c>
      <c r="D73" s="262" t="s">
        <v>2471</v>
      </c>
      <c r="E73" s="263">
        <v>8</v>
      </c>
      <c r="F73" s="262" t="s">
        <v>2379</v>
      </c>
      <c r="G73" s="262" t="s">
        <v>2470</v>
      </c>
      <c r="H73" s="395"/>
    </row>
    <row r="74" spans="1:8" ht="14.55" hidden="1" customHeight="1" x14ac:dyDescent="0.3">
      <c r="A74" s="262" t="s">
        <v>2413</v>
      </c>
      <c r="B74" s="262" t="s">
        <v>2370</v>
      </c>
      <c r="C74" s="262" t="s">
        <v>2371</v>
      </c>
      <c r="D74" s="262" t="s">
        <v>2472</v>
      </c>
      <c r="E74" s="263">
        <v>4</v>
      </c>
      <c r="F74" s="262" t="s">
        <v>2376</v>
      </c>
      <c r="G74" s="262" t="s">
        <v>2394</v>
      </c>
      <c r="H74" s="395"/>
    </row>
    <row r="75" spans="1:8" ht="14.55" hidden="1" customHeight="1" x14ac:dyDescent="0.3">
      <c r="A75" s="262" t="s">
        <v>2413</v>
      </c>
      <c r="B75" s="262" t="s">
        <v>2370</v>
      </c>
      <c r="C75" s="262" t="s">
        <v>2371</v>
      </c>
      <c r="D75" s="262" t="s">
        <v>2473</v>
      </c>
      <c r="E75" s="263">
        <v>6</v>
      </c>
      <c r="F75" s="262" t="s">
        <v>2379</v>
      </c>
      <c r="G75" s="262" t="s">
        <v>2396</v>
      </c>
      <c r="H75" s="395"/>
    </row>
    <row r="76" spans="1:8" ht="14.55" hidden="1" customHeight="1" x14ac:dyDescent="0.3">
      <c r="A76" s="262" t="s">
        <v>2413</v>
      </c>
      <c r="B76" s="262" t="s">
        <v>2370</v>
      </c>
      <c r="C76" s="262" t="s">
        <v>2371</v>
      </c>
      <c r="D76" s="262" t="s">
        <v>2474</v>
      </c>
      <c r="E76" s="263">
        <v>4</v>
      </c>
      <c r="F76" s="262" t="s">
        <v>2376</v>
      </c>
      <c r="G76" s="262" t="s">
        <v>2377</v>
      </c>
      <c r="H76" s="395"/>
    </row>
    <row r="77" spans="1:8" ht="14.55" hidden="1" customHeight="1" x14ac:dyDescent="0.3">
      <c r="A77" s="262" t="s">
        <v>2413</v>
      </c>
      <c r="B77" s="262" t="s">
        <v>2370</v>
      </c>
      <c r="C77" s="262" t="s">
        <v>2371</v>
      </c>
      <c r="D77" s="262" t="s">
        <v>2475</v>
      </c>
      <c r="E77" s="263">
        <v>4</v>
      </c>
      <c r="F77" s="262" t="s">
        <v>2389</v>
      </c>
      <c r="G77" s="262" t="s">
        <v>2476</v>
      </c>
      <c r="H77" s="395"/>
    </row>
    <row r="78" spans="1:8" ht="14.55" hidden="1" customHeight="1" x14ac:dyDescent="0.3">
      <c r="A78" s="262" t="s">
        <v>2413</v>
      </c>
      <c r="B78" s="262" t="s">
        <v>2370</v>
      </c>
      <c r="C78" s="262" t="s">
        <v>2371</v>
      </c>
      <c r="D78" s="262" t="s">
        <v>2477</v>
      </c>
      <c r="E78" s="263">
        <v>4</v>
      </c>
      <c r="F78" s="262" t="s">
        <v>2376</v>
      </c>
      <c r="G78" s="262" t="s">
        <v>2377</v>
      </c>
      <c r="H78" s="395"/>
    </row>
    <row r="79" spans="1:8" ht="14.55" hidden="1" customHeight="1" x14ac:dyDescent="0.3">
      <c r="A79" s="262" t="s">
        <v>2413</v>
      </c>
      <c r="B79" s="262" t="s">
        <v>2370</v>
      </c>
      <c r="C79" s="262" t="s">
        <v>2371</v>
      </c>
      <c r="D79" s="262" t="s">
        <v>2478</v>
      </c>
      <c r="E79" s="263">
        <v>6</v>
      </c>
      <c r="F79" s="262" t="s">
        <v>2373</v>
      </c>
      <c r="G79" s="262" t="s">
        <v>2392</v>
      </c>
      <c r="H79" s="395"/>
    </row>
    <row r="80" spans="1:8" ht="14.55" hidden="1" customHeight="1" x14ac:dyDescent="0.3">
      <c r="A80" s="262" t="s">
        <v>2413</v>
      </c>
      <c r="B80" s="262" t="s">
        <v>2370</v>
      </c>
      <c r="C80" s="262" t="s">
        <v>2371</v>
      </c>
      <c r="D80" s="262" t="s">
        <v>2479</v>
      </c>
      <c r="E80" s="263">
        <v>6</v>
      </c>
      <c r="F80" s="262" t="s">
        <v>2419</v>
      </c>
      <c r="G80" s="262" t="s">
        <v>2480</v>
      </c>
      <c r="H80" s="395"/>
    </row>
    <row r="81" spans="1:8" x14ac:dyDescent="0.3">
      <c r="A81" s="264" t="s">
        <v>2413</v>
      </c>
      <c r="B81" s="264" t="s">
        <v>2370</v>
      </c>
      <c r="C81" s="264" t="s">
        <v>2371</v>
      </c>
      <c r="D81" s="264" t="s">
        <v>2481</v>
      </c>
      <c r="E81" s="265">
        <v>4</v>
      </c>
      <c r="F81" s="264" t="s">
        <v>2379</v>
      </c>
      <c r="G81" s="264" t="s">
        <v>2402</v>
      </c>
      <c r="H81" s="396"/>
    </row>
    <row r="82" spans="1:8" ht="14.55" hidden="1" customHeight="1" x14ac:dyDescent="0.3">
      <c r="A82" s="262" t="s">
        <v>2413</v>
      </c>
      <c r="B82" s="262" t="s">
        <v>2380</v>
      </c>
      <c r="C82" s="262" t="s">
        <v>2371</v>
      </c>
      <c r="D82" s="262" t="s">
        <v>2482</v>
      </c>
      <c r="E82" s="263">
        <v>6</v>
      </c>
      <c r="F82" s="262" t="s">
        <v>2419</v>
      </c>
      <c r="G82" s="262" t="s">
        <v>2480</v>
      </c>
      <c r="H82" s="395"/>
    </row>
    <row r="83" spans="1:8" ht="14.55" hidden="1" customHeight="1" x14ac:dyDescent="0.3">
      <c r="A83" s="262" t="s">
        <v>2413</v>
      </c>
      <c r="B83" s="262" t="s">
        <v>2380</v>
      </c>
      <c r="C83" s="262" t="s">
        <v>2371</v>
      </c>
      <c r="D83" s="262" t="s">
        <v>2483</v>
      </c>
      <c r="E83" s="263">
        <v>6</v>
      </c>
      <c r="F83" s="262" t="s">
        <v>2379</v>
      </c>
      <c r="G83" s="262" t="s">
        <v>2383</v>
      </c>
      <c r="H83" s="395"/>
    </row>
    <row r="84" spans="1:8" ht="14.55" hidden="1" customHeight="1" x14ac:dyDescent="0.3">
      <c r="A84" s="262" t="s">
        <v>2413</v>
      </c>
      <c r="B84" s="262" t="s">
        <v>2370</v>
      </c>
      <c r="C84" s="262" t="s">
        <v>2371</v>
      </c>
      <c r="D84" s="262" t="s">
        <v>2484</v>
      </c>
      <c r="E84" s="263">
        <v>4</v>
      </c>
      <c r="F84" s="262" t="s">
        <v>2376</v>
      </c>
      <c r="G84" s="262" t="s">
        <v>2377</v>
      </c>
      <c r="H84" s="395"/>
    </row>
    <row r="85" spans="1:8" ht="14.55" hidden="1" customHeight="1" x14ac:dyDescent="0.3">
      <c r="A85" s="262" t="s">
        <v>2413</v>
      </c>
      <c r="B85" s="262" t="s">
        <v>2370</v>
      </c>
      <c r="C85" s="262" t="s">
        <v>2371</v>
      </c>
      <c r="D85" s="262" t="s">
        <v>2485</v>
      </c>
      <c r="E85" s="263">
        <v>4</v>
      </c>
      <c r="F85" s="262" t="s">
        <v>2376</v>
      </c>
      <c r="G85" s="262" t="s">
        <v>2406</v>
      </c>
      <c r="H85" s="395"/>
    </row>
    <row r="86" spans="1:8" x14ac:dyDescent="0.3">
      <c r="A86" s="264" t="s">
        <v>2413</v>
      </c>
      <c r="B86" s="264" t="s">
        <v>2370</v>
      </c>
      <c r="C86" s="264" t="s">
        <v>2371</v>
      </c>
      <c r="D86" s="264" t="s">
        <v>2486</v>
      </c>
      <c r="E86" s="265">
        <v>6</v>
      </c>
      <c r="F86" s="264" t="s">
        <v>2379</v>
      </c>
      <c r="G86" s="264" t="s">
        <v>2402</v>
      </c>
      <c r="H86" s="396"/>
    </row>
    <row r="87" spans="1:8" ht="14.55" hidden="1" customHeight="1" x14ac:dyDescent="0.3">
      <c r="A87" s="262" t="s">
        <v>2413</v>
      </c>
      <c r="B87" s="262" t="s">
        <v>2370</v>
      </c>
      <c r="C87" s="262" t="s">
        <v>2371</v>
      </c>
      <c r="D87" s="262" t="s">
        <v>2487</v>
      </c>
      <c r="E87" s="263">
        <v>8</v>
      </c>
      <c r="F87" s="262" t="s">
        <v>2419</v>
      </c>
      <c r="G87" s="262" t="s">
        <v>2488</v>
      </c>
      <c r="H87" s="395"/>
    </row>
    <row r="88" spans="1:8" ht="14.55" hidden="1" customHeight="1" x14ac:dyDescent="0.3">
      <c r="A88" s="262" t="s">
        <v>2413</v>
      </c>
      <c r="B88" s="262" t="s">
        <v>2370</v>
      </c>
      <c r="C88" s="262" t="s">
        <v>2371</v>
      </c>
      <c r="D88" s="262" t="s">
        <v>2489</v>
      </c>
      <c r="E88" s="263">
        <v>6</v>
      </c>
      <c r="F88" s="262" t="s">
        <v>2376</v>
      </c>
      <c r="G88" s="262" t="s">
        <v>2394</v>
      </c>
      <c r="H88" s="395"/>
    </row>
    <row r="89" spans="1:8" ht="14.55" hidden="1" customHeight="1" x14ac:dyDescent="0.3">
      <c r="A89" s="262" t="s">
        <v>2413</v>
      </c>
      <c r="B89" s="262" t="s">
        <v>2370</v>
      </c>
      <c r="C89" s="262" t="s">
        <v>2371</v>
      </c>
      <c r="D89" s="262" t="s">
        <v>2490</v>
      </c>
      <c r="E89" s="263">
        <v>6</v>
      </c>
      <c r="F89" s="262" t="s">
        <v>2379</v>
      </c>
      <c r="G89" s="262" t="s">
        <v>2396</v>
      </c>
      <c r="H89" s="395"/>
    </row>
    <row r="90" spans="1:8" ht="14.55" hidden="1" customHeight="1" x14ac:dyDescent="0.3">
      <c r="A90" s="262" t="s">
        <v>2413</v>
      </c>
      <c r="B90" s="262" t="s">
        <v>2370</v>
      </c>
      <c r="C90" s="262" t="s">
        <v>2371</v>
      </c>
      <c r="D90" s="262" t="s">
        <v>2491</v>
      </c>
      <c r="E90" s="263">
        <v>6</v>
      </c>
      <c r="F90" s="262" t="s">
        <v>2389</v>
      </c>
      <c r="G90" s="262" t="s">
        <v>2408</v>
      </c>
      <c r="H90" s="395"/>
    </row>
    <row r="91" spans="1:8" ht="14.55" hidden="1" customHeight="1" x14ac:dyDescent="0.3">
      <c r="A91" s="262" t="s">
        <v>2413</v>
      </c>
      <c r="B91" s="262" t="s">
        <v>2370</v>
      </c>
      <c r="C91" s="262" t="s">
        <v>2371</v>
      </c>
      <c r="D91" s="262" t="s">
        <v>2492</v>
      </c>
      <c r="E91" s="263">
        <v>6</v>
      </c>
      <c r="F91" s="262" t="s">
        <v>2379</v>
      </c>
      <c r="G91" s="262" t="s">
        <v>2396</v>
      </c>
      <c r="H91" s="395"/>
    </row>
    <row r="92" spans="1:8" ht="14.55" hidden="1" customHeight="1" x14ac:dyDescent="0.3">
      <c r="A92" s="262" t="s">
        <v>2413</v>
      </c>
      <c r="B92" s="262" t="s">
        <v>2370</v>
      </c>
      <c r="C92" s="262" t="s">
        <v>2371</v>
      </c>
      <c r="D92" s="262" t="s">
        <v>2493</v>
      </c>
      <c r="E92" s="263">
        <v>8</v>
      </c>
      <c r="F92" s="262" t="s">
        <v>2379</v>
      </c>
      <c r="G92" s="262" t="s">
        <v>2470</v>
      </c>
      <c r="H92" s="395"/>
    </row>
    <row r="93" spans="1:8" ht="14.55" hidden="1" customHeight="1" x14ac:dyDescent="0.3">
      <c r="A93" s="262" t="s">
        <v>2413</v>
      </c>
      <c r="B93" s="262" t="s">
        <v>2370</v>
      </c>
      <c r="C93" s="262" t="s">
        <v>2371</v>
      </c>
      <c r="D93" s="262" t="s">
        <v>2494</v>
      </c>
      <c r="E93" s="263">
        <v>6</v>
      </c>
      <c r="F93" s="262" t="s">
        <v>2379</v>
      </c>
      <c r="G93" s="262" t="s">
        <v>2396</v>
      </c>
      <c r="H93" s="395"/>
    </row>
    <row r="94" spans="1:8" ht="14.55" hidden="1" customHeight="1" x14ac:dyDescent="0.3">
      <c r="A94" s="262" t="s">
        <v>2413</v>
      </c>
      <c r="B94" s="262" t="s">
        <v>2370</v>
      </c>
      <c r="C94" s="262" t="s">
        <v>2371</v>
      </c>
      <c r="D94" s="262" t="s">
        <v>2495</v>
      </c>
      <c r="E94" s="263">
        <v>4</v>
      </c>
      <c r="F94" s="262" t="s">
        <v>2389</v>
      </c>
      <c r="G94" s="262" t="s">
        <v>2496</v>
      </c>
      <c r="H94" s="395"/>
    </row>
    <row r="95" spans="1:8" ht="14.55" hidden="1" customHeight="1" x14ac:dyDescent="0.3">
      <c r="A95" s="262" t="s">
        <v>2413</v>
      </c>
      <c r="B95" s="262" t="s">
        <v>2370</v>
      </c>
      <c r="C95" s="262" t="s">
        <v>2371</v>
      </c>
      <c r="D95" s="262" t="s">
        <v>2497</v>
      </c>
      <c r="E95" s="263">
        <v>4</v>
      </c>
      <c r="F95" s="262" t="s">
        <v>2379</v>
      </c>
      <c r="G95" s="262" t="s">
        <v>2396</v>
      </c>
      <c r="H95" s="395"/>
    </row>
    <row r="96" spans="1:8" ht="14.55" hidden="1" customHeight="1" x14ac:dyDescent="0.3">
      <c r="A96" s="262" t="s">
        <v>2413</v>
      </c>
      <c r="B96" s="262" t="s">
        <v>2370</v>
      </c>
      <c r="C96" s="262" t="s">
        <v>2371</v>
      </c>
      <c r="D96" s="262" t="s">
        <v>2498</v>
      </c>
      <c r="E96" s="263">
        <v>6</v>
      </c>
      <c r="F96" s="262" t="s">
        <v>2376</v>
      </c>
      <c r="G96" s="262" t="s">
        <v>2406</v>
      </c>
      <c r="H96" s="395"/>
    </row>
    <row r="97" spans="1:8" ht="14.55" hidden="1" customHeight="1" x14ac:dyDescent="0.3">
      <c r="A97" s="262" t="s">
        <v>2413</v>
      </c>
      <c r="B97" s="262" t="s">
        <v>2380</v>
      </c>
      <c r="C97" s="262" t="s">
        <v>2371</v>
      </c>
      <c r="D97" s="262" t="s">
        <v>2499</v>
      </c>
      <c r="E97" s="263">
        <v>8</v>
      </c>
      <c r="F97" s="262" t="s">
        <v>2376</v>
      </c>
      <c r="G97" s="262" t="s">
        <v>2394</v>
      </c>
      <c r="H97" s="395"/>
    </row>
    <row r="98" spans="1:8" ht="14.55" hidden="1" customHeight="1" x14ac:dyDescent="0.3">
      <c r="A98" s="262" t="s">
        <v>2413</v>
      </c>
      <c r="B98" s="262" t="s">
        <v>2370</v>
      </c>
      <c r="C98" s="262" t="s">
        <v>2371</v>
      </c>
      <c r="D98" s="262" t="s">
        <v>2500</v>
      </c>
      <c r="E98" s="263">
        <v>6</v>
      </c>
      <c r="F98" s="262" t="s">
        <v>2373</v>
      </c>
      <c r="G98" s="262" t="s">
        <v>2501</v>
      </c>
      <c r="H98" s="395"/>
    </row>
    <row r="99" spans="1:8" ht="14.55" hidden="1" customHeight="1" x14ac:dyDescent="0.3">
      <c r="A99" s="262" t="s">
        <v>2413</v>
      </c>
      <c r="B99" s="262" t="s">
        <v>2370</v>
      </c>
      <c r="C99" s="262" t="s">
        <v>2371</v>
      </c>
      <c r="D99" s="262" t="s">
        <v>2502</v>
      </c>
      <c r="E99" s="263">
        <v>6</v>
      </c>
      <c r="F99" s="262" t="s">
        <v>2379</v>
      </c>
      <c r="G99" s="262" t="s">
        <v>2396</v>
      </c>
      <c r="H99" s="395"/>
    </row>
    <row r="100" spans="1:8" ht="14.55" hidden="1" customHeight="1" x14ac:dyDescent="0.3">
      <c r="A100" s="262" t="s">
        <v>2413</v>
      </c>
      <c r="B100" s="262" t="s">
        <v>2370</v>
      </c>
      <c r="C100" s="262" t="s">
        <v>2371</v>
      </c>
      <c r="D100" s="262" t="s">
        <v>2503</v>
      </c>
      <c r="E100" s="263">
        <v>6</v>
      </c>
      <c r="F100" s="262" t="s">
        <v>2379</v>
      </c>
      <c r="G100" s="262" t="s">
        <v>2396</v>
      </c>
      <c r="H100" s="395"/>
    </row>
    <row r="101" spans="1:8" ht="14.55" hidden="1" customHeight="1" x14ac:dyDescent="0.3">
      <c r="A101" s="262" t="s">
        <v>2413</v>
      </c>
      <c r="B101" s="262" t="s">
        <v>2370</v>
      </c>
      <c r="C101" s="262" t="s">
        <v>2371</v>
      </c>
      <c r="D101" s="262" t="s">
        <v>2504</v>
      </c>
      <c r="E101" s="263">
        <v>6</v>
      </c>
      <c r="F101" s="262" t="s">
        <v>2389</v>
      </c>
      <c r="G101" s="262" t="s">
        <v>2408</v>
      </c>
      <c r="H101" s="395"/>
    </row>
    <row r="102" spans="1:8" ht="14.55" hidden="1" customHeight="1" x14ac:dyDescent="0.3">
      <c r="A102" s="262" t="s">
        <v>2413</v>
      </c>
      <c r="B102" s="262" t="s">
        <v>2370</v>
      </c>
      <c r="C102" s="262" t="s">
        <v>2371</v>
      </c>
      <c r="D102" s="262" t="s">
        <v>2505</v>
      </c>
      <c r="E102" s="263">
        <v>6</v>
      </c>
      <c r="F102" s="262" t="s">
        <v>2376</v>
      </c>
      <c r="G102" s="262" t="s">
        <v>2394</v>
      </c>
      <c r="H102" s="395"/>
    </row>
    <row r="103" spans="1:8" ht="14.55" hidden="1" customHeight="1" x14ac:dyDescent="0.3">
      <c r="A103" s="262" t="s">
        <v>2413</v>
      </c>
      <c r="B103" s="262" t="s">
        <v>2380</v>
      </c>
      <c r="C103" s="262" t="s">
        <v>2371</v>
      </c>
      <c r="D103" s="262" t="s">
        <v>2506</v>
      </c>
      <c r="E103" s="263">
        <v>6</v>
      </c>
      <c r="F103" s="262" t="s">
        <v>2419</v>
      </c>
      <c r="G103" s="262" t="s">
        <v>2507</v>
      </c>
      <c r="H103" s="395"/>
    </row>
    <row r="104" spans="1:8" ht="14.55" hidden="1" customHeight="1" x14ac:dyDescent="0.3">
      <c r="A104" s="262" t="s">
        <v>2413</v>
      </c>
      <c r="B104" s="262" t="s">
        <v>2380</v>
      </c>
      <c r="C104" s="262" t="s">
        <v>2371</v>
      </c>
      <c r="D104" s="262" t="s">
        <v>2508</v>
      </c>
      <c r="E104" s="263">
        <v>8</v>
      </c>
      <c r="F104" s="262" t="s">
        <v>2373</v>
      </c>
      <c r="G104" s="262" t="s">
        <v>2374</v>
      </c>
      <c r="H104" s="395"/>
    </row>
    <row r="105" spans="1:8" ht="14.55" hidden="1" customHeight="1" x14ac:dyDescent="0.3">
      <c r="A105" s="262" t="s">
        <v>2413</v>
      </c>
      <c r="B105" s="262" t="s">
        <v>2370</v>
      </c>
      <c r="C105" s="262" t="s">
        <v>2371</v>
      </c>
      <c r="D105" s="262" t="s">
        <v>2509</v>
      </c>
      <c r="E105" s="263">
        <v>4</v>
      </c>
      <c r="F105" s="262" t="s">
        <v>2376</v>
      </c>
      <c r="G105" s="262" t="s">
        <v>2394</v>
      </c>
      <c r="H105" s="395"/>
    </row>
    <row r="106" spans="1:8" ht="14.55" hidden="1" customHeight="1" x14ac:dyDescent="0.3">
      <c r="A106" s="262" t="s">
        <v>2413</v>
      </c>
      <c r="B106" s="262" t="s">
        <v>2380</v>
      </c>
      <c r="C106" s="262" t="s">
        <v>2371</v>
      </c>
      <c r="D106" s="262" t="s">
        <v>2510</v>
      </c>
      <c r="E106" s="263">
        <v>8</v>
      </c>
      <c r="F106" s="262" t="s">
        <v>2373</v>
      </c>
      <c r="G106" s="262" t="s">
        <v>2374</v>
      </c>
      <c r="H106" s="395"/>
    </row>
    <row r="107" spans="1:8" ht="14.55" hidden="1" customHeight="1" x14ac:dyDescent="0.3">
      <c r="A107" s="262" t="s">
        <v>2413</v>
      </c>
      <c r="B107" s="262" t="s">
        <v>2380</v>
      </c>
      <c r="C107" s="262" t="s">
        <v>2371</v>
      </c>
      <c r="D107" s="262" t="s">
        <v>2511</v>
      </c>
      <c r="E107" s="263">
        <v>6</v>
      </c>
      <c r="F107" s="262" t="s">
        <v>2389</v>
      </c>
      <c r="G107" s="262" t="s">
        <v>2408</v>
      </c>
      <c r="H107" s="395"/>
    </row>
    <row r="108" spans="1:8" ht="14.55" hidden="1" customHeight="1" x14ac:dyDescent="0.3">
      <c r="A108" s="262" t="s">
        <v>2413</v>
      </c>
      <c r="B108" s="262" t="s">
        <v>2370</v>
      </c>
      <c r="C108" s="262" t="s">
        <v>2371</v>
      </c>
      <c r="D108" s="262" t="s">
        <v>2512</v>
      </c>
      <c r="E108" s="263">
        <v>6</v>
      </c>
      <c r="F108" s="262" t="s">
        <v>2379</v>
      </c>
      <c r="G108" s="262" t="s">
        <v>2396</v>
      </c>
      <c r="H108" s="395"/>
    </row>
    <row r="109" spans="1:8" ht="14.55" hidden="1" customHeight="1" x14ac:dyDescent="0.3">
      <c r="A109" s="262" t="s">
        <v>2413</v>
      </c>
      <c r="B109" s="262" t="s">
        <v>2370</v>
      </c>
      <c r="C109" s="262" t="s">
        <v>2371</v>
      </c>
      <c r="D109" s="262" t="s">
        <v>2513</v>
      </c>
      <c r="E109" s="263">
        <v>4</v>
      </c>
      <c r="F109" s="262" t="s">
        <v>2379</v>
      </c>
      <c r="G109" s="262" t="s">
        <v>2396</v>
      </c>
      <c r="H109" s="395"/>
    </row>
    <row r="110" spans="1:8" x14ac:dyDescent="0.3">
      <c r="A110" s="264" t="s">
        <v>2413</v>
      </c>
      <c r="B110" s="264" t="s">
        <v>2380</v>
      </c>
      <c r="C110" s="264" t="s">
        <v>2371</v>
      </c>
      <c r="D110" s="264" t="s">
        <v>2514</v>
      </c>
      <c r="E110" s="265">
        <v>6</v>
      </c>
      <c r="F110" s="264" t="s">
        <v>2379</v>
      </c>
      <c r="G110" s="264" t="s">
        <v>2402</v>
      </c>
      <c r="H110" s="396"/>
    </row>
    <row r="111" spans="1:8" ht="14.55" hidden="1" customHeight="1" x14ac:dyDescent="0.3">
      <c r="A111" s="262" t="s">
        <v>2413</v>
      </c>
      <c r="B111" s="262" t="s">
        <v>2370</v>
      </c>
      <c r="C111" s="262" t="s">
        <v>2371</v>
      </c>
      <c r="D111" s="262" t="s">
        <v>2515</v>
      </c>
      <c r="E111" s="263">
        <v>8</v>
      </c>
      <c r="F111" s="262" t="s">
        <v>2419</v>
      </c>
      <c r="G111" s="262" t="s">
        <v>2432</v>
      </c>
      <c r="H111" s="395"/>
    </row>
    <row r="112" spans="1:8" ht="14.55" hidden="1" customHeight="1" x14ac:dyDescent="0.3">
      <c r="A112" s="262" t="s">
        <v>2413</v>
      </c>
      <c r="B112" s="262" t="s">
        <v>2370</v>
      </c>
      <c r="C112" s="262" t="s">
        <v>2371</v>
      </c>
      <c r="D112" s="262" t="s">
        <v>2516</v>
      </c>
      <c r="E112" s="263">
        <v>6</v>
      </c>
      <c r="F112" s="262" t="s">
        <v>2389</v>
      </c>
      <c r="G112" s="262" t="s">
        <v>2428</v>
      </c>
      <c r="H112" s="395"/>
    </row>
    <row r="113" spans="1:8" ht="14.55" hidden="1" customHeight="1" x14ac:dyDescent="0.3">
      <c r="A113" s="262" t="s">
        <v>2413</v>
      </c>
      <c r="B113" s="262" t="s">
        <v>2380</v>
      </c>
      <c r="C113" s="262" t="s">
        <v>2371</v>
      </c>
      <c r="D113" s="262" t="s">
        <v>2517</v>
      </c>
      <c r="E113" s="263">
        <v>8</v>
      </c>
      <c r="F113" s="262" t="s">
        <v>2379</v>
      </c>
      <c r="G113" s="262" t="s">
        <v>2463</v>
      </c>
      <c r="H113" s="395"/>
    </row>
    <row r="114" spans="1:8" ht="14.55" hidden="1" customHeight="1" x14ac:dyDescent="0.3">
      <c r="A114" s="262" t="s">
        <v>2413</v>
      </c>
      <c r="B114" s="262" t="s">
        <v>2370</v>
      </c>
      <c r="C114" s="262" t="s">
        <v>2371</v>
      </c>
      <c r="D114" s="262" t="s">
        <v>2518</v>
      </c>
      <c r="E114" s="263">
        <v>6</v>
      </c>
      <c r="F114" s="262" t="s">
        <v>2376</v>
      </c>
      <c r="G114" s="262" t="s">
        <v>2406</v>
      </c>
      <c r="H114" s="395"/>
    </row>
    <row r="115" spans="1:8" ht="14.55" hidden="1" customHeight="1" x14ac:dyDescent="0.3">
      <c r="A115" s="262" t="s">
        <v>2413</v>
      </c>
      <c r="B115" s="262" t="s">
        <v>2370</v>
      </c>
      <c r="C115" s="262" t="s">
        <v>2371</v>
      </c>
      <c r="D115" s="262" t="s">
        <v>2519</v>
      </c>
      <c r="E115" s="263">
        <v>6</v>
      </c>
      <c r="F115" s="262" t="s">
        <v>2379</v>
      </c>
      <c r="G115" s="262" t="s">
        <v>2463</v>
      </c>
      <c r="H115" s="395"/>
    </row>
    <row r="116" spans="1:8" ht="14.55" hidden="1" customHeight="1" x14ac:dyDescent="0.3">
      <c r="A116" s="262" t="s">
        <v>2413</v>
      </c>
      <c r="B116" s="262" t="s">
        <v>2370</v>
      </c>
      <c r="C116" s="262" t="s">
        <v>2371</v>
      </c>
      <c r="D116" s="262" t="s">
        <v>2520</v>
      </c>
      <c r="E116" s="263">
        <v>4</v>
      </c>
      <c r="F116" s="262" t="s">
        <v>2379</v>
      </c>
      <c r="G116" s="262" t="s">
        <v>2396</v>
      </c>
      <c r="H116" s="395"/>
    </row>
    <row r="117" spans="1:8" ht="14.55" hidden="1" customHeight="1" x14ac:dyDescent="0.3">
      <c r="A117" s="262" t="s">
        <v>2413</v>
      </c>
      <c r="B117" s="262" t="s">
        <v>2380</v>
      </c>
      <c r="C117" s="262" t="s">
        <v>2371</v>
      </c>
      <c r="D117" s="262" t="s">
        <v>2521</v>
      </c>
      <c r="E117" s="263">
        <v>8</v>
      </c>
      <c r="F117" s="262" t="s">
        <v>2419</v>
      </c>
      <c r="G117" s="262" t="s">
        <v>2420</v>
      </c>
      <c r="H117" s="395"/>
    </row>
    <row r="118" spans="1:8" ht="14.55" hidden="1" customHeight="1" x14ac:dyDescent="0.3">
      <c r="A118" s="262" t="s">
        <v>2413</v>
      </c>
      <c r="B118" s="262" t="s">
        <v>2370</v>
      </c>
      <c r="C118" s="262" t="s">
        <v>2371</v>
      </c>
      <c r="D118" s="262" t="s">
        <v>2522</v>
      </c>
      <c r="E118" s="263">
        <v>6</v>
      </c>
      <c r="F118" s="262" t="s">
        <v>2379</v>
      </c>
      <c r="G118" s="262" t="s">
        <v>2396</v>
      </c>
      <c r="H118" s="395"/>
    </row>
    <row r="119" spans="1:8" ht="14.55" hidden="1" customHeight="1" x14ac:dyDescent="0.3">
      <c r="A119" s="262" t="s">
        <v>2413</v>
      </c>
      <c r="B119" s="262" t="s">
        <v>2370</v>
      </c>
      <c r="C119" s="262" t="s">
        <v>2371</v>
      </c>
      <c r="D119" s="262" t="s">
        <v>2523</v>
      </c>
      <c r="E119" s="263">
        <v>6</v>
      </c>
      <c r="F119" s="262" t="s">
        <v>2376</v>
      </c>
      <c r="G119" s="262" t="s">
        <v>2394</v>
      </c>
      <c r="H119" s="395"/>
    </row>
    <row r="120" spans="1:8" ht="14.55" hidden="1" customHeight="1" x14ac:dyDescent="0.3">
      <c r="A120" s="262" t="s">
        <v>2413</v>
      </c>
      <c r="B120" s="262" t="s">
        <v>2370</v>
      </c>
      <c r="C120" s="262" t="s">
        <v>2371</v>
      </c>
      <c r="D120" s="262" t="s">
        <v>2524</v>
      </c>
      <c r="E120" s="263">
        <v>6</v>
      </c>
      <c r="F120" s="262" t="s">
        <v>2389</v>
      </c>
      <c r="G120" s="262" t="s">
        <v>2428</v>
      </c>
      <c r="H120" s="395"/>
    </row>
    <row r="121" spans="1:8" ht="14.55" hidden="1" customHeight="1" x14ac:dyDescent="0.3">
      <c r="A121" s="262" t="s">
        <v>2413</v>
      </c>
      <c r="B121" s="262" t="s">
        <v>2370</v>
      </c>
      <c r="C121" s="262" t="s">
        <v>2371</v>
      </c>
      <c r="D121" s="262" t="s">
        <v>2525</v>
      </c>
      <c r="E121" s="263">
        <v>4</v>
      </c>
      <c r="F121" s="262" t="s">
        <v>2373</v>
      </c>
      <c r="G121" s="262" t="s">
        <v>2374</v>
      </c>
      <c r="H121" s="395"/>
    </row>
    <row r="122" spans="1:8" ht="14.55" hidden="1" customHeight="1" x14ac:dyDescent="0.3">
      <c r="A122" s="262" t="s">
        <v>2413</v>
      </c>
      <c r="B122" s="262" t="s">
        <v>2380</v>
      </c>
      <c r="C122" s="262" t="s">
        <v>2371</v>
      </c>
      <c r="D122" s="262" t="s">
        <v>2526</v>
      </c>
      <c r="E122" s="263">
        <v>4</v>
      </c>
      <c r="F122" s="262" t="s">
        <v>2379</v>
      </c>
      <c r="G122" s="262" t="s">
        <v>2470</v>
      </c>
      <c r="H122" s="395"/>
    </row>
    <row r="123" spans="1:8" ht="14.55" hidden="1" customHeight="1" x14ac:dyDescent="0.3">
      <c r="A123" s="262" t="s">
        <v>2413</v>
      </c>
      <c r="B123" s="262" t="s">
        <v>2370</v>
      </c>
      <c r="C123" s="262" t="s">
        <v>2371</v>
      </c>
      <c r="D123" s="262" t="s">
        <v>2527</v>
      </c>
      <c r="E123" s="263">
        <v>8</v>
      </c>
      <c r="F123" s="262" t="s">
        <v>2376</v>
      </c>
      <c r="G123" s="262" t="s">
        <v>2394</v>
      </c>
      <c r="H123" s="395"/>
    </row>
    <row r="124" spans="1:8" ht="14.55" hidden="1" customHeight="1" x14ac:dyDescent="0.3">
      <c r="A124" s="262" t="s">
        <v>2413</v>
      </c>
      <c r="B124" s="262" t="s">
        <v>2370</v>
      </c>
      <c r="C124" s="262" t="s">
        <v>2371</v>
      </c>
      <c r="D124" s="262" t="s">
        <v>2528</v>
      </c>
      <c r="E124" s="263">
        <v>6</v>
      </c>
      <c r="F124" s="262" t="s">
        <v>2376</v>
      </c>
      <c r="G124" s="262" t="s">
        <v>2377</v>
      </c>
      <c r="H124" s="395"/>
    </row>
    <row r="125" spans="1:8" ht="14.55" hidden="1" customHeight="1" x14ac:dyDescent="0.3">
      <c r="A125" s="262" t="s">
        <v>2413</v>
      </c>
      <c r="B125" s="262" t="s">
        <v>2370</v>
      </c>
      <c r="C125" s="262" t="s">
        <v>2371</v>
      </c>
      <c r="D125" s="262" t="s">
        <v>2529</v>
      </c>
      <c r="E125" s="263">
        <v>6</v>
      </c>
      <c r="F125" s="262" t="s">
        <v>2389</v>
      </c>
      <c r="G125" s="262" t="s">
        <v>2408</v>
      </c>
      <c r="H125" s="395"/>
    </row>
    <row r="126" spans="1:8" ht="14.55" hidden="1" customHeight="1" x14ac:dyDescent="0.3">
      <c r="A126" s="262" t="s">
        <v>2413</v>
      </c>
      <c r="B126" s="262" t="s">
        <v>2380</v>
      </c>
      <c r="C126" s="262" t="s">
        <v>2371</v>
      </c>
      <c r="D126" s="262" t="s">
        <v>2530</v>
      </c>
      <c r="E126" s="263">
        <v>6</v>
      </c>
      <c r="F126" s="262" t="s">
        <v>2379</v>
      </c>
      <c r="G126" s="262" t="s">
        <v>15</v>
      </c>
      <c r="H126" s="395"/>
    </row>
    <row r="127" spans="1:8" ht="14.55" hidden="1" customHeight="1" x14ac:dyDescent="0.3">
      <c r="A127" s="262" t="s">
        <v>2413</v>
      </c>
      <c r="B127" s="262" t="s">
        <v>2380</v>
      </c>
      <c r="C127" s="262" t="s">
        <v>2371</v>
      </c>
      <c r="D127" s="262" t="s">
        <v>2531</v>
      </c>
      <c r="E127" s="263">
        <v>8</v>
      </c>
      <c r="F127" s="262" t="s">
        <v>2419</v>
      </c>
      <c r="G127" s="262" t="s">
        <v>2432</v>
      </c>
      <c r="H127" s="395"/>
    </row>
    <row r="128" spans="1:8" ht="14.55" hidden="1" customHeight="1" x14ac:dyDescent="0.3">
      <c r="A128" s="262" t="s">
        <v>2413</v>
      </c>
      <c r="B128" s="262" t="s">
        <v>2380</v>
      </c>
      <c r="C128" s="262" t="s">
        <v>2371</v>
      </c>
      <c r="D128" s="262" t="s">
        <v>2532</v>
      </c>
      <c r="E128" s="263">
        <v>8</v>
      </c>
      <c r="F128" s="262" t="s">
        <v>2373</v>
      </c>
      <c r="G128" s="262" t="s">
        <v>2374</v>
      </c>
      <c r="H128" s="395"/>
    </row>
    <row r="129" spans="1:8" ht="14.55" hidden="1" customHeight="1" x14ac:dyDescent="0.3">
      <c r="A129" s="262" t="s">
        <v>2413</v>
      </c>
      <c r="B129" s="262" t="s">
        <v>2370</v>
      </c>
      <c r="C129" s="262" t="s">
        <v>2371</v>
      </c>
      <c r="D129" s="262" t="s">
        <v>2533</v>
      </c>
      <c r="E129" s="263">
        <v>8</v>
      </c>
      <c r="F129" s="262" t="s">
        <v>2376</v>
      </c>
      <c r="G129" s="262" t="s">
        <v>2394</v>
      </c>
      <c r="H129" s="395"/>
    </row>
    <row r="130" spans="1:8" ht="14.55" hidden="1" customHeight="1" x14ac:dyDescent="0.3">
      <c r="A130" s="262" t="s">
        <v>2413</v>
      </c>
      <c r="B130" s="262" t="s">
        <v>2380</v>
      </c>
      <c r="C130" s="262" t="s">
        <v>2371</v>
      </c>
      <c r="D130" s="262" t="s">
        <v>2534</v>
      </c>
      <c r="E130" s="263">
        <v>6</v>
      </c>
      <c r="F130" s="262" t="s">
        <v>2419</v>
      </c>
      <c r="G130" s="262" t="s">
        <v>2420</v>
      </c>
      <c r="H130" s="395"/>
    </row>
    <row r="131" spans="1:8" ht="14.55" hidden="1" customHeight="1" x14ac:dyDescent="0.3">
      <c r="A131" s="262" t="s">
        <v>2413</v>
      </c>
      <c r="B131" s="262" t="s">
        <v>2370</v>
      </c>
      <c r="C131" s="262" t="s">
        <v>2371</v>
      </c>
      <c r="D131" s="262" t="s">
        <v>2535</v>
      </c>
      <c r="E131" s="263">
        <v>4</v>
      </c>
      <c r="F131" s="262" t="s">
        <v>2376</v>
      </c>
      <c r="G131" s="262" t="s">
        <v>2377</v>
      </c>
      <c r="H131" s="395"/>
    </row>
    <row r="132" spans="1:8" x14ac:dyDescent="0.3">
      <c r="A132" s="264" t="s">
        <v>2413</v>
      </c>
      <c r="B132" s="264" t="s">
        <v>2370</v>
      </c>
      <c r="C132" s="264" t="s">
        <v>2371</v>
      </c>
      <c r="D132" s="264" t="s">
        <v>2536</v>
      </c>
      <c r="E132" s="265">
        <v>6</v>
      </c>
      <c r="F132" s="264" t="s">
        <v>2379</v>
      </c>
      <c r="G132" s="264" t="s">
        <v>2402</v>
      </c>
      <c r="H132" s="396"/>
    </row>
    <row r="133" spans="1:8" ht="14.55" hidden="1" customHeight="1" x14ac:dyDescent="0.3">
      <c r="A133" s="262" t="s">
        <v>2413</v>
      </c>
      <c r="B133" s="262" t="s">
        <v>2370</v>
      </c>
      <c r="C133" s="262" t="s">
        <v>2371</v>
      </c>
      <c r="D133" s="262" t="s">
        <v>2537</v>
      </c>
      <c r="E133" s="263">
        <v>8</v>
      </c>
      <c r="F133" s="262" t="s">
        <v>2376</v>
      </c>
      <c r="G133" s="262" t="s">
        <v>2377</v>
      </c>
      <c r="H133" s="395"/>
    </row>
    <row r="134" spans="1:8" ht="14.55" hidden="1" customHeight="1" x14ac:dyDescent="0.3">
      <c r="A134" s="262" t="s">
        <v>2413</v>
      </c>
      <c r="B134" s="262" t="s">
        <v>2380</v>
      </c>
      <c r="C134" s="262" t="s">
        <v>2371</v>
      </c>
      <c r="D134" s="262" t="s">
        <v>2538</v>
      </c>
      <c r="E134" s="263">
        <v>8</v>
      </c>
      <c r="F134" s="262" t="s">
        <v>2373</v>
      </c>
      <c r="G134" s="262" t="s">
        <v>2374</v>
      </c>
      <c r="H134" s="395"/>
    </row>
    <row r="135" spans="1:8" ht="14.55" hidden="1" customHeight="1" x14ac:dyDescent="0.3">
      <c r="A135" s="262" t="s">
        <v>2413</v>
      </c>
      <c r="B135" s="262" t="s">
        <v>2370</v>
      </c>
      <c r="C135" s="262" t="s">
        <v>2371</v>
      </c>
      <c r="D135" s="262" t="s">
        <v>2539</v>
      </c>
      <c r="E135" s="263">
        <v>6</v>
      </c>
      <c r="F135" s="262" t="s">
        <v>2379</v>
      </c>
      <c r="G135" s="262" t="s">
        <v>2463</v>
      </c>
      <c r="H135" s="395"/>
    </row>
    <row r="136" spans="1:8" ht="14.55" hidden="1" customHeight="1" x14ac:dyDescent="0.3">
      <c r="A136" s="262" t="s">
        <v>2413</v>
      </c>
      <c r="B136" s="262" t="s">
        <v>2370</v>
      </c>
      <c r="C136" s="262" t="s">
        <v>2371</v>
      </c>
      <c r="D136" s="262" t="s">
        <v>2540</v>
      </c>
      <c r="E136" s="263">
        <v>4</v>
      </c>
      <c r="F136" s="262" t="s">
        <v>2419</v>
      </c>
      <c r="G136" s="262" t="s">
        <v>2480</v>
      </c>
      <c r="H136" s="395"/>
    </row>
    <row r="137" spans="1:8" ht="14.55" hidden="1" customHeight="1" x14ac:dyDescent="0.3">
      <c r="A137" s="262" t="s">
        <v>2413</v>
      </c>
      <c r="B137" s="262" t="s">
        <v>2370</v>
      </c>
      <c r="C137" s="262" t="s">
        <v>2371</v>
      </c>
      <c r="D137" s="262" t="s">
        <v>2541</v>
      </c>
      <c r="E137" s="263">
        <v>6</v>
      </c>
      <c r="F137" s="262" t="s">
        <v>2389</v>
      </c>
      <c r="G137" s="262" t="s">
        <v>2408</v>
      </c>
      <c r="H137" s="395"/>
    </row>
    <row r="138" spans="1:8" x14ac:dyDescent="0.3">
      <c r="A138" s="264" t="s">
        <v>2413</v>
      </c>
      <c r="B138" s="264" t="s">
        <v>2370</v>
      </c>
      <c r="C138" s="264" t="s">
        <v>2371</v>
      </c>
      <c r="D138" s="264" t="s">
        <v>2542</v>
      </c>
      <c r="E138" s="265">
        <v>8</v>
      </c>
      <c r="F138" s="264" t="s">
        <v>2379</v>
      </c>
      <c r="G138" s="264" t="s">
        <v>2402</v>
      </c>
      <c r="H138" s="396"/>
    </row>
    <row r="139" spans="1:8" ht="14.55" hidden="1" customHeight="1" x14ac:dyDescent="0.3">
      <c r="A139" s="262" t="s">
        <v>2413</v>
      </c>
      <c r="B139" s="262" t="s">
        <v>2370</v>
      </c>
      <c r="C139" s="262" t="s">
        <v>2371</v>
      </c>
      <c r="D139" s="262" t="s">
        <v>2543</v>
      </c>
      <c r="E139" s="263">
        <v>8</v>
      </c>
      <c r="F139" s="262" t="s">
        <v>2379</v>
      </c>
      <c r="G139" s="262" t="s">
        <v>2544</v>
      </c>
      <c r="H139" s="395"/>
    </row>
    <row r="140" spans="1:8" ht="14.55" hidden="1" customHeight="1" x14ac:dyDescent="0.3">
      <c r="A140" s="262" t="s">
        <v>2413</v>
      </c>
      <c r="B140" s="262" t="s">
        <v>2370</v>
      </c>
      <c r="C140" s="262" t="s">
        <v>2371</v>
      </c>
      <c r="D140" s="262" t="s">
        <v>2545</v>
      </c>
      <c r="E140" s="263">
        <v>8</v>
      </c>
      <c r="F140" s="262" t="s">
        <v>2373</v>
      </c>
      <c r="G140" s="262" t="s">
        <v>2374</v>
      </c>
      <c r="H140" s="395"/>
    </row>
    <row r="141" spans="1:8" ht="14.55" hidden="1" customHeight="1" x14ac:dyDescent="0.3">
      <c r="A141" s="262" t="s">
        <v>2413</v>
      </c>
      <c r="B141" s="262" t="s">
        <v>2380</v>
      </c>
      <c r="C141" s="262" t="s">
        <v>2371</v>
      </c>
      <c r="D141" s="262" t="s">
        <v>2546</v>
      </c>
      <c r="E141" s="263">
        <v>6</v>
      </c>
      <c r="F141" s="262" t="s">
        <v>2389</v>
      </c>
      <c r="G141" s="262" t="s">
        <v>2428</v>
      </c>
      <c r="H141" s="395"/>
    </row>
    <row r="142" spans="1:8" ht="14.55" hidden="1" customHeight="1" x14ac:dyDescent="0.3">
      <c r="A142" s="262" t="s">
        <v>2413</v>
      </c>
      <c r="B142" s="262" t="s">
        <v>2370</v>
      </c>
      <c r="C142" s="262" t="s">
        <v>2371</v>
      </c>
      <c r="D142" s="262" t="s">
        <v>2547</v>
      </c>
      <c r="E142" s="263">
        <v>4</v>
      </c>
      <c r="F142" s="262" t="s">
        <v>2419</v>
      </c>
      <c r="G142" s="262" t="s">
        <v>2488</v>
      </c>
      <c r="H142" s="395"/>
    </row>
    <row r="143" spans="1:8" ht="14.55" hidden="1" customHeight="1" x14ac:dyDescent="0.3">
      <c r="A143" s="262" t="s">
        <v>2413</v>
      </c>
      <c r="B143" s="262" t="s">
        <v>2370</v>
      </c>
      <c r="C143" s="262" t="s">
        <v>2371</v>
      </c>
      <c r="D143" s="262" t="s">
        <v>2548</v>
      </c>
      <c r="E143" s="263">
        <v>6</v>
      </c>
      <c r="F143" s="262" t="s">
        <v>2373</v>
      </c>
      <c r="G143" s="262" t="s">
        <v>2392</v>
      </c>
      <c r="H143" s="395"/>
    </row>
    <row r="144" spans="1:8" ht="14.55" hidden="1" customHeight="1" x14ac:dyDescent="0.3">
      <c r="A144" s="262" t="s">
        <v>2413</v>
      </c>
      <c r="B144" s="262" t="s">
        <v>2380</v>
      </c>
      <c r="C144" s="262" t="s">
        <v>2371</v>
      </c>
      <c r="D144" s="262" t="s">
        <v>2549</v>
      </c>
      <c r="E144" s="263">
        <v>4</v>
      </c>
      <c r="F144" s="262" t="s">
        <v>2373</v>
      </c>
      <c r="G144" s="262" t="s">
        <v>2392</v>
      </c>
      <c r="H144" s="395"/>
    </row>
    <row r="145" spans="1:8" ht="14.55" hidden="1" customHeight="1" x14ac:dyDescent="0.3">
      <c r="A145" s="262" t="s">
        <v>2413</v>
      </c>
      <c r="B145" s="262" t="s">
        <v>2380</v>
      </c>
      <c r="C145" s="262" t="s">
        <v>2371</v>
      </c>
      <c r="D145" s="262" t="s">
        <v>2550</v>
      </c>
      <c r="E145" s="263">
        <v>8</v>
      </c>
      <c r="F145" s="262" t="s">
        <v>2373</v>
      </c>
      <c r="G145" s="262" t="s">
        <v>2501</v>
      </c>
      <c r="H145" s="395"/>
    </row>
    <row r="146" spans="1:8" ht="14.55" hidden="1" customHeight="1" x14ac:dyDescent="0.3">
      <c r="A146" s="262" t="s">
        <v>2413</v>
      </c>
      <c r="B146" s="262" t="s">
        <v>2380</v>
      </c>
      <c r="C146" s="262" t="s">
        <v>2371</v>
      </c>
      <c r="D146" s="262" t="s">
        <v>2551</v>
      </c>
      <c r="E146" s="263">
        <v>6</v>
      </c>
      <c r="F146" s="262" t="s">
        <v>2379</v>
      </c>
      <c r="G146" s="262" t="s">
        <v>2396</v>
      </c>
      <c r="H146" s="395"/>
    </row>
    <row r="147" spans="1:8" ht="14.55" hidden="1" customHeight="1" x14ac:dyDescent="0.3">
      <c r="A147" s="262" t="s">
        <v>2413</v>
      </c>
      <c r="B147" s="262" t="s">
        <v>2380</v>
      </c>
      <c r="C147" s="262" t="s">
        <v>2371</v>
      </c>
      <c r="D147" s="262" t="s">
        <v>2552</v>
      </c>
      <c r="E147" s="263">
        <v>6</v>
      </c>
      <c r="F147" s="262" t="s">
        <v>2379</v>
      </c>
      <c r="G147" s="262" t="s">
        <v>2396</v>
      </c>
      <c r="H147" s="395"/>
    </row>
    <row r="148" spans="1:8" ht="14.55" hidden="1" customHeight="1" x14ac:dyDescent="0.3">
      <c r="A148" s="262" t="s">
        <v>2413</v>
      </c>
      <c r="B148" s="262" t="s">
        <v>2370</v>
      </c>
      <c r="C148" s="262" t="s">
        <v>2371</v>
      </c>
      <c r="D148" s="262" t="s">
        <v>2553</v>
      </c>
      <c r="E148" s="263">
        <v>6</v>
      </c>
      <c r="F148" s="262" t="s">
        <v>2373</v>
      </c>
      <c r="G148" s="262" t="s">
        <v>2392</v>
      </c>
      <c r="H148" s="395"/>
    </row>
    <row r="149" spans="1:8" ht="14.55" hidden="1" customHeight="1" x14ac:dyDescent="0.3">
      <c r="A149" s="262" t="s">
        <v>2413</v>
      </c>
      <c r="B149" s="262" t="s">
        <v>2370</v>
      </c>
      <c r="C149" s="262" t="s">
        <v>2371</v>
      </c>
      <c r="D149" s="262" t="s">
        <v>2554</v>
      </c>
      <c r="E149" s="263">
        <v>8</v>
      </c>
      <c r="F149" s="262" t="s">
        <v>2376</v>
      </c>
      <c r="G149" s="262" t="s">
        <v>2377</v>
      </c>
      <c r="H149" s="395"/>
    </row>
    <row r="150" spans="1:8" ht="14.55" hidden="1" customHeight="1" x14ac:dyDescent="0.3">
      <c r="A150" s="262" t="s">
        <v>2413</v>
      </c>
      <c r="B150" s="262" t="s">
        <v>2370</v>
      </c>
      <c r="C150" s="262" t="s">
        <v>2371</v>
      </c>
      <c r="D150" s="262" t="s">
        <v>2555</v>
      </c>
      <c r="E150" s="263">
        <v>4</v>
      </c>
      <c r="F150" s="262" t="s">
        <v>2373</v>
      </c>
      <c r="G150" s="262" t="s">
        <v>2374</v>
      </c>
      <c r="H150" s="395"/>
    </row>
    <row r="151" spans="1:8" ht="14.55" hidden="1" customHeight="1" x14ac:dyDescent="0.3">
      <c r="A151" s="262" t="s">
        <v>2413</v>
      </c>
      <c r="B151" s="262" t="s">
        <v>2370</v>
      </c>
      <c r="C151" s="262" t="s">
        <v>2371</v>
      </c>
      <c r="D151" s="262" t="s">
        <v>2556</v>
      </c>
      <c r="E151" s="263">
        <v>6</v>
      </c>
      <c r="F151" s="262" t="s">
        <v>2379</v>
      </c>
      <c r="G151" s="262" t="s">
        <v>2396</v>
      </c>
      <c r="H151" s="395"/>
    </row>
    <row r="152" spans="1:8" ht="14.55" hidden="1" customHeight="1" x14ac:dyDescent="0.3">
      <c r="A152" s="262" t="s">
        <v>2413</v>
      </c>
      <c r="B152" s="262" t="s">
        <v>2370</v>
      </c>
      <c r="C152" s="262" t="s">
        <v>2371</v>
      </c>
      <c r="D152" s="262" t="s">
        <v>2557</v>
      </c>
      <c r="E152" s="263">
        <v>8</v>
      </c>
      <c r="F152" s="262" t="s">
        <v>2419</v>
      </c>
      <c r="G152" s="262" t="s">
        <v>2432</v>
      </c>
      <c r="H152" s="395"/>
    </row>
    <row r="153" spans="1:8" ht="14.55" hidden="1" customHeight="1" x14ac:dyDescent="0.3">
      <c r="A153" s="262" t="s">
        <v>2413</v>
      </c>
      <c r="B153" s="262" t="s">
        <v>2380</v>
      </c>
      <c r="C153" s="262" t="s">
        <v>2371</v>
      </c>
      <c r="D153" s="262" t="s">
        <v>2558</v>
      </c>
      <c r="E153" s="263">
        <v>8</v>
      </c>
      <c r="F153" s="262" t="s">
        <v>2373</v>
      </c>
      <c r="G153" s="262" t="s">
        <v>2374</v>
      </c>
      <c r="H153" s="395"/>
    </row>
    <row r="154" spans="1:8" ht="14.55" hidden="1" customHeight="1" x14ac:dyDescent="0.3">
      <c r="A154" s="262" t="s">
        <v>2413</v>
      </c>
      <c r="B154" s="262" t="s">
        <v>2380</v>
      </c>
      <c r="C154" s="262" t="s">
        <v>2371</v>
      </c>
      <c r="D154" s="262" t="s">
        <v>2559</v>
      </c>
      <c r="E154" s="263">
        <v>6</v>
      </c>
      <c r="F154" s="262" t="s">
        <v>2373</v>
      </c>
      <c r="G154" s="262" t="s">
        <v>2374</v>
      </c>
      <c r="H154" s="395"/>
    </row>
    <row r="155" spans="1:8" ht="14.55" hidden="1" customHeight="1" x14ac:dyDescent="0.3">
      <c r="A155" s="262" t="s">
        <v>2413</v>
      </c>
      <c r="B155" s="262" t="s">
        <v>2380</v>
      </c>
      <c r="C155" s="262" t="s">
        <v>2371</v>
      </c>
      <c r="D155" s="262" t="s">
        <v>2560</v>
      </c>
      <c r="E155" s="263">
        <v>8</v>
      </c>
      <c r="F155" s="262" t="s">
        <v>2419</v>
      </c>
      <c r="G155" s="262" t="s">
        <v>2432</v>
      </c>
      <c r="H155" s="395"/>
    </row>
    <row r="156" spans="1:8" x14ac:dyDescent="0.3">
      <c r="A156" s="264" t="s">
        <v>2413</v>
      </c>
      <c r="B156" s="264" t="s">
        <v>2380</v>
      </c>
      <c r="C156" s="264" t="s">
        <v>2371</v>
      </c>
      <c r="D156" s="264" t="s">
        <v>2561</v>
      </c>
      <c r="E156" s="265">
        <v>8</v>
      </c>
      <c r="F156" s="264" t="s">
        <v>2379</v>
      </c>
      <c r="G156" s="264" t="s">
        <v>2402</v>
      </c>
      <c r="H156" s="396"/>
    </row>
    <row r="157" spans="1:8" ht="14.55" hidden="1" customHeight="1" x14ac:dyDescent="0.3">
      <c r="A157" s="262" t="s">
        <v>2413</v>
      </c>
      <c r="B157" s="262" t="s">
        <v>2370</v>
      </c>
      <c r="C157" s="262" t="s">
        <v>2371</v>
      </c>
      <c r="D157" s="262" t="s">
        <v>2562</v>
      </c>
      <c r="E157" s="263">
        <v>8</v>
      </c>
      <c r="F157" s="262" t="s">
        <v>2379</v>
      </c>
      <c r="G157" s="262" t="s">
        <v>2463</v>
      </c>
      <c r="H157" s="395"/>
    </row>
    <row r="158" spans="1:8" ht="14.55" hidden="1" customHeight="1" x14ac:dyDescent="0.3">
      <c r="A158" s="262" t="s">
        <v>2413</v>
      </c>
      <c r="B158" s="262" t="s">
        <v>2370</v>
      </c>
      <c r="C158" s="262" t="s">
        <v>2371</v>
      </c>
      <c r="D158" s="262" t="s">
        <v>2563</v>
      </c>
      <c r="E158" s="263">
        <v>6</v>
      </c>
      <c r="F158" s="262" t="s">
        <v>2373</v>
      </c>
      <c r="G158" s="262" t="s">
        <v>2374</v>
      </c>
      <c r="H158" s="395"/>
    </row>
    <row r="159" spans="1:8" ht="14.55" hidden="1" customHeight="1" x14ac:dyDescent="0.3">
      <c r="A159" s="262" t="s">
        <v>2413</v>
      </c>
      <c r="B159" s="262" t="s">
        <v>2380</v>
      </c>
      <c r="C159" s="262" t="s">
        <v>2371</v>
      </c>
      <c r="D159" s="262" t="s">
        <v>2564</v>
      </c>
      <c r="E159" s="263">
        <v>8</v>
      </c>
      <c r="F159" s="262" t="s">
        <v>2379</v>
      </c>
      <c r="G159" s="262" t="s">
        <v>2463</v>
      </c>
      <c r="H159" s="395"/>
    </row>
    <row r="160" spans="1:8" x14ac:dyDescent="0.3">
      <c r="A160" s="264" t="s">
        <v>2413</v>
      </c>
      <c r="B160" s="264" t="s">
        <v>2370</v>
      </c>
      <c r="C160" s="264" t="s">
        <v>2371</v>
      </c>
      <c r="D160" s="264" t="s">
        <v>2565</v>
      </c>
      <c r="E160" s="265">
        <v>6</v>
      </c>
      <c r="F160" s="264" t="s">
        <v>2379</v>
      </c>
      <c r="G160" s="264" t="s">
        <v>2402</v>
      </c>
      <c r="H160" s="396"/>
    </row>
    <row r="161" spans="1:8" ht="14.55" hidden="1" customHeight="1" x14ac:dyDescent="0.3">
      <c r="A161" s="262" t="s">
        <v>2413</v>
      </c>
      <c r="B161" s="262" t="s">
        <v>2370</v>
      </c>
      <c r="C161" s="262" t="s">
        <v>2371</v>
      </c>
      <c r="D161" s="262" t="s">
        <v>2566</v>
      </c>
      <c r="E161" s="263">
        <v>6</v>
      </c>
      <c r="F161" s="262" t="s">
        <v>2389</v>
      </c>
      <c r="G161" s="262" t="s">
        <v>2408</v>
      </c>
      <c r="H161" s="395"/>
    </row>
    <row r="162" spans="1:8" ht="14.55" hidden="1" customHeight="1" x14ac:dyDescent="0.3">
      <c r="A162" s="262" t="s">
        <v>2413</v>
      </c>
      <c r="B162" s="262" t="s">
        <v>2370</v>
      </c>
      <c r="C162" s="262" t="s">
        <v>2371</v>
      </c>
      <c r="D162" s="262" t="s">
        <v>2567</v>
      </c>
      <c r="E162" s="263">
        <v>4</v>
      </c>
      <c r="F162" s="262" t="s">
        <v>2379</v>
      </c>
      <c r="G162" s="262" t="s">
        <v>2568</v>
      </c>
      <c r="H162" s="395"/>
    </row>
    <row r="163" spans="1:8" ht="14.55" hidden="1" customHeight="1" x14ac:dyDescent="0.3">
      <c r="A163" s="262" t="s">
        <v>2413</v>
      </c>
      <c r="B163" s="262" t="s">
        <v>2370</v>
      </c>
      <c r="C163" s="262" t="s">
        <v>2371</v>
      </c>
      <c r="D163" s="262" t="s">
        <v>2569</v>
      </c>
      <c r="E163" s="263">
        <v>6</v>
      </c>
      <c r="F163" s="262" t="s">
        <v>2389</v>
      </c>
      <c r="G163" s="262" t="s">
        <v>2408</v>
      </c>
      <c r="H163" s="395"/>
    </row>
    <row r="164" spans="1:8" ht="14.55" hidden="1" customHeight="1" x14ac:dyDescent="0.3">
      <c r="A164" s="262" t="s">
        <v>2413</v>
      </c>
      <c r="B164" s="262" t="s">
        <v>2380</v>
      </c>
      <c r="C164" s="262" t="s">
        <v>2371</v>
      </c>
      <c r="D164" s="262" t="s">
        <v>2570</v>
      </c>
      <c r="E164" s="263">
        <v>6</v>
      </c>
      <c r="F164" s="262" t="s">
        <v>2419</v>
      </c>
      <c r="G164" s="262" t="s">
        <v>2480</v>
      </c>
      <c r="H164" s="395"/>
    </row>
    <row r="165" spans="1:8" ht="14.55" hidden="1" customHeight="1" x14ac:dyDescent="0.3">
      <c r="A165" s="262" t="s">
        <v>2413</v>
      </c>
      <c r="B165" s="262" t="s">
        <v>2370</v>
      </c>
      <c r="C165" s="262" t="s">
        <v>2371</v>
      </c>
      <c r="D165" s="262" t="s">
        <v>2571</v>
      </c>
      <c r="E165" s="263">
        <v>8</v>
      </c>
      <c r="F165" s="262" t="s">
        <v>2376</v>
      </c>
      <c r="G165" s="262" t="s">
        <v>2377</v>
      </c>
      <c r="H165" s="395"/>
    </row>
    <row r="166" spans="1:8" ht="14.55" hidden="1" customHeight="1" x14ac:dyDescent="0.3">
      <c r="A166" s="262" t="s">
        <v>2413</v>
      </c>
      <c r="B166" s="262" t="s">
        <v>2370</v>
      </c>
      <c r="C166" s="262" t="s">
        <v>2371</v>
      </c>
      <c r="D166" s="262" t="s">
        <v>2572</v>
      </c>
      <c r="E166" s="263">
        <v>8</v>
      </c>
      <c r="F166" s="262" t="s">
        <v>2379</v>
      </c>
      <c r="G166" s="262" t="s">
        <v>2470</v>
      </c>
      <c r="H166" s="395"/>
    </row>
    <row r="167" spans="1:8" ht="14.55" hidden="1" customHeight="1" x14ac:dyDescent="0.3">
      <c r="A167" s="262" t="s">
        <v>2413</v>
      </c>
      <c r="B167" s="262" t="s">
        <v>2370</v>
      </c>
      <c r="C167" s="262" t="s">
        <v>2371</v>
      </c>
      <c r="D167" s="262" t="s">
        <v>2573</v>
      </c>
      <c r="E167" s="263">
        <v>6</v>
      </c>
      <c r="F167" s="262" t="s">
        <v>2373</v>
      </c>
      <c r="G167" s="262" t="s">
        <v>2374</v>
      </c>
      <c r="H167" s="395"/>
    </row>
    <row r="168" spans="1:8" ht="14.55" hidden="1" customHeight="1" x14ac:dyDescent="0.3">
      <c r="A168" s="262" t="s">
        <v>2413</v>
      </c>
      <c r="B168" s="262" t="s">
        <v>2370</v>
      </c>
      <c r="C168" s="262" t="s">
        <v>2371</v>
      </c>
      <c r="D168" s="262" t="s">
        <v>2574</v>
      </c>
      <c r="E168" s="263">
        <v>4</v>
      </c>
      <c r="F168" s="262" t="s">
        <v>2376</v>
      </c>
      <c r="G168" s="262" t="s">
        <v>2377</v>
      </c>
      <c r="H168" s="395"/>
    </row>
    <row r="169" spans="1:8" ht="14.55" hidden="1" customHeight="1" x14ac:dyDescent="0.3">
      <c r="A169" s="262" t="s">
        <v>2413</v>
      </c>
      <c r="B169" s="262" t="s">
        <v>2370</v>
      </c>
      <c r="C169" s="262" t="s">
        <v>2371</v>
      </c>
      <c r="D169" s="262" t="s">
        <v>2575</v>
      </c>
      <c r="E169" s="263">
        <v>8</v>
      </c>
      <c r="F169" s="262" t="s">
        <v>2379</v>
      </c>
      <c r="G169" s="262" t="s">
        <v>2396</v>
      </c>
      <c r="H169" s="395"/>
    </row>
    <row r="170" spans="1:8" ht="14.55" hidden="1" customHeight="1" x14ac:dyDescent="0.3">
      <c r="A170" s="262" t="s">
        <v>2413</v>
      </c>
      <c r="B170" s="262" t="s">
        <v>2370</v>
      </c>
      <c r="C170" s="262" t="s">
        <v>2371</v>
      </c>
      <c r="D170" s="262" t="s">
        <v>2576</v>
      </c>
      <c r="E170" s="263">
        <v>4</v>
      </c>
      <c r="F170" s="262" t="s">
        <v>2373</v>
      </c>
      <c r="G170" s="262" t="s">
        <v>2501</v>
      </c>
      <c r="H170" s="395"/>
    </row>
    <row r="171" spans="1:8" ht="14.55" hidden="1" customHeight="1" x14ac:dyDescent="0.3">
      <c r="A171" s="262" t="s">
        <v>2413</v>
      </c>
      <c r="B171" s="262" t="s">
        <v>2370</v>
      </c>
      <c r="C171" s="262" t="s">
        <v>2371</v>
      </c>
      <c r="D171" s="262" t="s">
        <v>2577</v>
      </c>
      <c r="E171" s="263">
        <v>8</v>
      </c>
      <c r="F171" s="262" t="s">
        <v>2373</v>
      </c>
      <c r="G171" s="262" t="s">
        <v>2453</v>
      </c>
      <c r="H171" s="395"/>
    </row>
    <row r="172" spans="1:8" ht="14.55" hidden="1" customHeight="1" x14ac:dyDescent="0.3">
      <c r="A172" s="262" t="s">
        <v>2413</v>
      </c>
      <c r="B172" s="262" t="s">
        <v>2370</v>
      </c>
      <c r="C172" s="262" t="s">
        <v>2371</v>
      </c>
      <c r="D172" s="262" t="s">
        <v>2578</v>
      </c>
      <c r="E172" s="263">
        <v>4</v>
      </c>
      <c r="F172" s="262" t="s">
        <v>2379</v>
      </c>
      <c r="G172" s="262" t="s">
        <v>2383</v>
      </c>
      <c r="H172" s="395"/>
    </row>
    <row r="173" spans="1:8" ht="14.55" hidden="1" customHeight="1" x14ac:dyDescent="0.3">
      <c r="A173" s="262" t="s">
        <v>2413</v>
      </c>
      <c r="B173" s="262" t="s">
        <v>2370</v>
      </c>
      <c r="C173" s="262" t="s">
        <v>2371</v>
      </c>
      <c r="D173" s="262" t="s">
        <v>2579</v>
      </c>
      <c r="E173" s="263">
        <v>4</v>
      </c>
      <c r="F173" s="262" t="s">
        <v>2373</v>
      </c>
      <c r="G173" s="262" t="s">
        <v>2374</v>
      </c>
      <c r="H173" s="395"/>
    </row>
    <row r="174" spans="1:8" ht="14.55" hidden="1" customHeight="1" x14ac:dyDescent="0.3">
      <c r="A174" s="262" t="s">
        <v>2413</v>
      </c>
      <c r="B174" s="262" t="s">
        <v>2370</v>
      </c>
      <c r="C174" s="262" t="s">
        <v>2371</v>
      </c>
      <c r="D174" s="262" t="s">
        <v>2580</v>
      </c>
      <c r="E174" s="263">
        <v>6</v>
      </c>
      <c r="F174" s="262" t="s">
        <v>2379</v>
      </c>
      <c r="G174" s="262" t="s">
        <v>2568</v>
      </c>
      <c r="H174" s="395"/>
    </row>
    <row r="175" spans="1:8" ht="14.55" hidden="1" customHeight="1" x14ac:dyDescent="0.3">
      <c r="A175" s="262" t="s">
        <v>2413</v>
      </c>
      <c r="B175" s="262" t="s">
        <v>2370</v>
      </c>
      <c r="C175" s="262" t="s">
        <v>2371</v>
      </c>
      <c r="D175" s="262" t="s">
        <v>2581</v>
      </c>
      <c r="E175" s="263">
        <v>6</v>
      </c>
      <c r="F175" s="262" t="s">
        <v>2389</v>
      </c>
      <c r="G175" s="262" t="s">
        <v>2428</v>
      </c>
      <c r="H175" s="395"/>
    </row>
    <row r="176" spans="1:8" ht="14.55" hidden="1" customHeight="1" x14ac:dyDescent="0.3">
      <c r="A176" s="262" t="s">
        <v>2413</v>
      </c>
      <c r="B176" s="262" t="s">
        <v>2380</v>
      </c>
      <c r="C176" s="262" t="s">
        <v>2371</v>
      </c>
      <c r="D176" s="262" t="s">
        <v>2582</v>
      </c>
      <c r="E176" s="263">
        <v>6</v>
      </c>
      <c r="F176" s="262" t="s">
        <v>2419</v>
      </c>
      <c r="G176" s="262" t="s">
        <v>2480</v>
      </c>
      <c r="H176" s="395"/>
    </row>
    <row r="177" spans="1:8" ht="14.55" hidden="1" customHeight="1" x14ac:dyDescent="0.3">
      <c r="A177" s="262" t="s">
        <v>2413</v>
      </c>
      <c r="B177" s="262" t="s">
        <v>2380</v>
      </c>
      <c r="C177" s="262" t="s">
        <v>2371</v>
      </c>
      <c r="D177" s="262" t="s">
        <v>2583</v>
      </c>
      <c r="E177" s="263">
        <v>8</v>
      </c>
      <c r="F177" s="262" t="s">
        <v>2379</v>
      </c>
      <c r="G177" s="262" t="s">
        <v>2584</v>
      </c>
      <c r="H177" s="395"/>
    </row>
    <row r="178" spans="1:8" ht="14.55" hidden="1" customHeight="1" x14ac:dyDescent="0.3">
      <c r="A178" s="262" t="s">
        <v>2413</v>
      </c>
      <c r="B178" s="262" t="s">
        <v>2370</v>
      </c>
      <c r="C178" s="262" t="s">
        <v>2371</v>
      </c>
      <c r="D178" s="262" t="s">
        <v>2585</v>
      </c>
      <c r="E178" s="263">
        <v>4</v>
      </c>
      <c r="F178" s="262" t="s">
        <v>2373</v>
      </c>
      <c r="G178" s="262" t="s">
        <v>2374</v>
      </c>
      <c r="H178" s="395"/>
    </row>
    <row r="179" spans="1:8" ht="14.55" hidden="1" customHeight="1" x14ac:dyDescent="0.3">
      <c r="A179" s="262" t="s">
        <v>2413</v>
      </c>
      <c r="B179" s="262" t="s">
        <v>2370</v>
      </c>
      <c r="C179" s="262" t="s">
        <v>2371</v>
      </c>
      <c r="D179" s="262" t="s">
        <v>2586</v>
      </c>
      <c r="E179" s="263">
        <v>8</v>
      </c>
      <c r="F179" s="262" t="s">
        <v>2379</v>
      </c>
      <c r="G179" s="262" t="s">
        <v>2463</v>
      </c>
      <c r="H179" s="395"/>
    </row>
    <row r="180" spans="1:8" ht="14.55" hidden="1" customHeight="1" x14ac:dyDescent="0.3">
      <c r="A180" s="262" t="s">
        <v>2413</v>
      </c>
      <c r="B180" s="262" t="s">
        <v>2380</v>
      </c>
      <c r="C180" s="262" t="s">
        <v>2371</v>
      </c>
      <c r="D180" s="262" t="s">
        <v>2587</v>
      </c>
      <c r="E180" s="263">
        <v>8</v>
      </c>
      <c r="F180" s="262" t="s">
        <v>2419</v>
      </c>
      <c r="G180" s="262" t="s">
        <v>2488</v>
      </c>
      <c r="H180" s="395"/>
    </row>
    <row r="181" spans="1:8" ht="14.55" hidden="1" customHeight="1" x14ac:dyDescent="0.3">
      <c r="A181" s="262" t="s">
        <v>2413</v>
      </c>
      <c r="B181" s="262" t="s">
        <v>2370</v>
      </c>
      <c r="C181" s="262" t="s">
        <v>2371</v>
      </c>
      <c r="D181" s="262" t="s">
        <v>2588</v>
      </c>
      <c r="E181" s="263">
        <v>4</v>
      </c>
      <c r="F181" s="262" t="s">
        <v>2376</v>
      </c>
      <c r="G181" s="262" t="s">
        <v>2386</v>
      </c>
      <c r="H181" s="395"/>
    </row>
    <row r="182" spans="1:8" ht="14.55" hidden="1" customHeight="1" x14ac:dyDescent="0.3">
      <c r="A182" s="262" t="s">
        <v>2413</v>
      </c>
      <c r="B182" s="262" t="s">
        <v>2370</v>
      </c>
      <c r="C182" s="262" t="s">
        <v>2371</v>
      </c>
      <c r="D182" s="262" t="s">
        <v>2589</v>
      </c>
      <c r="E182" s="263">
        <v>6</v>
      </c>
      <c r="F182" s="262" t="s">
        <v>2376</v>
      </c>
      <c r="G182" s="262" t="s">
        <v>2406</v>
      </c>
      <c r="H182" s="395"/>
    </row>
    <row r="183" spans="1:8" ht="14.55" hidden="1" customHeight="1" x14ac:dyDescent="0.3">
      <c r="A183" s="262" t="s">
        <v>2413</v>
      </c>
      <c r="B183" s="262" t="s">
        <v>2370</v>
      </c>
      <c r="C183" s="262" t="s">
        <v>2371</v>
      </c>
      <c r="D183" s="262" t="s">
        <v>2590</v>
      </c>
      <c r="E183" s="263">
        <v>8</v>
      </c>
      <c r="F183" s="262" t="s">
        <v>2419</v>
      </c>
      <c r="G183" s="262" t="s">
        <v>2420</v>
      </c>
      <c r="H183" s="395"/>
    </row>
    <row r="184" spans="1:8" ht="14.55" hidden="1" customHeight="1" x14ac:dyDescent="0.3">
      <c r="A184" s="262" t="s">
        <v>2413</v>
      </c>
      <c r="B184" s="262" t="s">
        <v>2380</v>
      </c>
      <c r="C184" s="262" t="s">
        <v>2371</v>
      </c>
      <c r="D184" s="262" t="s">
        <v>2591</v>
      </c>
      <c r="E184" s="263">
        <v>8</v>
      </c>
      <c r="F184" s="262" t="s">
        <v>2379</v>
      </c>
      <c r="G184" s="262" t="s">
        <v>2544</v>
      </c>
      <c r="H184" s="395"/>
    </row>
    <row r="185" spans="1:8" ht="14.55" hidden="1" customHeight="1" x14ac:dyDescent="0.3">
      <c r="A185" s="262" t="s">
        <v>2413</v>
      </c>
      <c r="B185" s="262" t="s">
        <v>2380</v>
      </c>
      <c r="C185" s="262" t="s">
        <v>2371</v>
      </c>
      <c r="D185" s="262" t="s">
        <v>2592</v>
      </c>
      <c r="E185" s="263">
        <v>6</v>
      </c>
      <c r="F185" s="262" t="s">
        <v>2379</v>
      </c>
      <c r="G185" s="262" t="s">
        <v>2396</v>
      </c>
      <c r="H185" s="395"/>
    </row>
    <row r="186" spans="1:8" ht="14.55" hidden="1" customHeight="1" x14ac:dyDescent="0.3">
      <c r="A186" s="262" t="s">
        <v>2413</v>
      </c>
      <c r="B186" s="262" t="s">
        <v>2370</v>
      </c>
      <c r="C186" s="262" t="s">
        <v>2371</v>
      </c>
      <c r="D186" s="262" t="s">
        <v>2593</v>
      </c>
      <c r="E186" s="263">
        <v>4</v>
      </c>
      <c r="F186" s="262" t="s">
        <v>2376</v>
      </c>
      <c r="G186" s="262" t="s">
        <v>2406</v>
      </c>
      <c r="H186" s="395"/>
    </row>
    <row r="187" spans="1:8" ht="14.55" hidden="1" customHeight="1" x14ac:dyDescent="0.3">
      <c r="A187" s="262" t="s">
        <v>2413</v>
      </c>
      <c r="B187" s="262" t="s">
        <v>2380</v>
      </c>
      <c r="C187" s="262" t="s">
        <v>2371</v>
      </c>
      <c r="D187" s="262" t="s">
        <v>2594</v>
      </c>
      <c r="E187" s="263">
        <v>8</v>
      </c>
      <c r="F187" s="262" t="s">
        <v>2376</v>
      </c>
      <c r="G187" s="262" t="s">
        <v>2394</v>
      </c>
      <c r="H187" s="395"/>
    </row>
    <row r="188" spans="1:8" ht="14.55" hidden="1" customHeight="1" x14ac:dyDescent="0.3">
      <c r="A188" s="262" t="s">
        <v>2413</v>
      </c>
      <c r="B188" s="262" t="s">
        <v>2370</v>
      </c>
      <c r="C188" s="262" t="s">
        <v>2371</v>
      </c>
      <c r="D188" s="262" t="s">
        <v>2595</v>
      </c>
      <c r="E188" s="263">
        <v>6</v>
      </c>
      <c r="F188" s="262" t="s">
        <v>2373</v>
      </c>
      <c r="G188" s="262" t="s">
        <v>2596</v>
      </c>
      <c r="H188" s="395"/>
    </row>
    <row r="189" spans="1:8" ht="14.55" hidden="1" customHeight="1" x14ac:dyDescent="0.3">
      <c r="A189" s="262" t="s">
        <v>2413</v>
      </c>
      <c r="B189" s="262" t="s">
        <v>2370</v>
      </c>
      <c r="C189" s="262" t="s">
        <v>2371</v>
      </c>
      <c r="D189" s="262" t="s">
        <v>2597</v>
      </c>
      <c r="E189" s="263">
        <v>6</v>
      </c>
      <c r="F189" s="262" t="s">
        <v>2373</v>
      </c>
      <c r="G189" s="262" t="s">
        <v>2374</v>
      </c>
      <c r="H189" s="395"/>
    </row>
    <row r="190" spans="1:8" ht="14.55" hidden="1" customHeight="1" x14ac:dyDescent="0.3">
      <c r="A190" s="262" t="s">
        <v>2413</v>
      </c>
      <c r="B190" s="262" t="s">
        <v>2380</v>
      </c>
      <c r="C190" s="262" t="s">
        <v>2371</v>
      </c>
      <c r="D190" s="262" t="s">
        <v>2598</v>
      </c>
      <c r="E190" s="263">
        <v>4</v>
      </c>
      <c r="F190" s="262" t="s">
        <v>2379</v>
      </c>
      <c r="G190" s="262" t="s">
        <v>2383</v>
      </c>
      <c r="H190" s="395"/>
    </row>
    <row r="191" spans="1:8" ht="14.55" hidden="1" customHeight="1" x14ac:dyDescent="0.3">
      <c r="A191" s="262" t="s">
        <v>2413</v>
      </c>
      <c r="B191" s="262" t="s">
        <v>2370</v>
      </c>
      <c r="C191" s="262" t="s">
        <v>2371</v>
      </c>
      <c r="D191" s="262" t="s">
        <v>2599</v>
      </c>
      <c r="E191" s="263">
        <v>6</v>
      </c>
      <c r="F191" s="262" t="s">
        <v>2373</v>
      </c>
      <c r="G191" s="262" t="s">
        <v>2600</v>
      </c>
      <c r="H191" s="395"/>
    </row>
    <row r="192" spans="1:8" ht="14.55" hidden="1" customHeight="1" x14ac:dyDescent="0.3">
      <c r="A192" s="262" t="s">
        <v>2413</v>
      </c>
      <c r="B192" s="262" t="s">
        <v>2370</v>
      </c>
      <c r="C192" s="262" t="s">
        <v>2371</v>
      </c>
      <c r="D192" s="262" t="s">
        <v>2601</v>
      </c>
      <c r="E192" s="263">
        <v>6</v>
      </c>
      <c r="F192" s="262" t="s">
        <v>2379</v>
      </c>
      <c r="G192" s="262" t="s">
        <v>2470</v>
      </c>
      <c r="H192" s="395"/>
    </row>
    <row r="193" spans="1:8" ht="14.55" hidden="1" customHeight="1" x14ac:dyDescent="0.3">
      <c r="A193" s="262" t="s">
        <v>2413</v>
      </c>
      <c r="B193" s="262" t="s">
        <v>2370</v>
      </c>
      <c r="C193" s="262" t="s">
        <v>2371</v>
      </c>
      <c r="D193" s="262" t="s">
        <v>2602</v>
      </c>
      <c r="E193" s="263">
        <v>6</v>
      </c>
      <c r="F193" s="262" t="s">
        <v>2389</v>
      </c>
      <c r="G193" s="262" t="s">
        <v>2408</v>
      </c>
      <c r="H193" s="395"/>
    </row>
    <row r="194" spans="1:8" ht="14.55" hidden="1" customHeight="1" x14ac:dyDescent="0.3">
      <c r="A194" s="262" t="s">
        <v>2413</v>
      </c>
      <c r="B194" s="262" t="s">
        <v>2380</v>
      </c>
      <c r="C194" s="262" t="s">
        <v>2371</v>
      </c>
      <c r="D194" s="262" t="s">
        <v>2603</v>
      </c>
      <c r="E194" s="263">
        <v>6</v>
      </c>
      <c r="F194" s="262" t="s">
        <v>2373</v>
      </c>
      <c r="G194" s="262" t="s">
        <v>2453</v>
      </c>
      <c r="H194" s="395"/>
    </row>
    <row r="195" spans="1:8" ht="14.55" hidden="1" customHeight="1" x14ac:dyDescent="0.3">
      <c r="A195" s="262" t="s">
        <v>2413</v>
      </c>
      <c r="B195" s="262" t="s">
        <v>2370</v>
      </c>
      <c r="C195" s="262" t="s">
        <v>2371</v>
      </c>
      <c r="D195" s="262" t="s">
        <v>2604</v>
      </c>
      <c r="E195" s="263">
        <v>6</v>
      </c>
      <c r="F195" s="262" t="s">
        <v>2419</v>
      </c>
      <c r="G195" s="262" t="s">
        <v>2605</v>
      </c>
      <c r="H195" s="395"/>
    </row>
    <row r="196" spans="1:8" ht="14.55" hidden="1" customHeight="1" x14ac:dyDescent="0.3">
      <c r="A196" s="262" t="s">
        <v>2413</v>
      </c>
      <c r="B196" s="262" t="s">
        <v>2380</v>
      </c>
      <c r="C196" s="262" t="s">
        <v>2371</v>
      </c>
      <c r="D196" s="262" t="s">
        <v>2606</v>
      </c>
      <c r="E196" s="263">
        <v>8</v>
      </c>
      <c r="F196" s="262" t="s">
        <v>2379</v>
      </c>
      <c r="G196" s="262" t="s">
        <v>2470</v>
      </c>
      <c r="H196" s="395"/>
    </row>
    <row r="197" spans="1:8" ht="14.55" hidden="1" customHeight="1" x14ac:dyDescent="0.3">
      <c r="A197" s="262" t="s">
        <v>2413</v>
      </c>
      <c r="B197" s="262" t="s">
        <v>2380</v>
      </c>
      <c r="C197" s="262" t="s">
        <v>2371</v>
      </c>
      <c r="D197" s="262" t="s">
        <v>2607</v>
      </c>
      <c r="E197" s="263">
        <v>8</v>
      </c>
      <c r="F197" s="262" t="s">
        <v>2389</v>
      </c>
      <c r="G197" s="262" t="s">
        <v>2408</v>
      </c>
      <c r="H197" s="395"/>
    </row>
    <row r="198" spans="1:8" ht="14.55" hidden="1" customHeight="1" x14ac:dyDescent="0.3">
      <c r="A198" s="262" t="s">
        <v>2413</v>
      </c>
      <c r="B198" s="262" t="s">
        <v>2380</v>
      </c>
      <c r="C198" s="262" t="s">
        <v>2371</v>
      </c>
      <c r="D198" s="262" t="s">
        <v>2608</v>
      </c>
      <c r="E198" s="263">
        <v>6</v>
      </c>
      <c r="F198" s="262" t="s">
        <v>2376</v>
      </c>
      <c r="G198" s="262" t="s">
        <v>2377</v>
      </c>
      <c r="H198" s="395"/>
    </row>
    <row r="199" spans="1:8" ht="14.55" hidden="1" customHeight="1" x14ac:dyDescent="0.3">
      <c r="A199" s="262" t="s">
        <v>2413</v>
      </c>
      <c r="B199" s="262" t="s">
        <v>2370</v>
      </c>
      <c r="C199" s="262" t="s">
        <v>2371</v>
      </c>
      <c r="D199" s="262" t="s">
        <v>2609</v>
      </c>
      <c r="E199" s="263">
        <v>4</v>
      </c>
      <c r="F199" s="262" t="s">
        <v>2373</v>
      </c>
      <c r="G199" s="262" t="s">
        <v>2374</v>
      </c>
      <c r="H199" s="395"/>
    </row>
    <row r="200" spans="1:8" ht="14.55" hidden="1" customHeight="1" x14ac:dyDescent="0.3">
      <c r="A200" s="262" t="s">
        <v>2413</v>
      </c>
      <c r="B200" s="262" t="s">
        <v>2370</v>
      </c>
      <c r="C200" s="262" t="s">
        <v>2371</v>
      </c>
      <c r="D200" s="262" t="s">
        <v>2610</v>
      </c>
      <c r="E200" s="263">
        <v>4</v>
      </c>
      <c r="F200" s="262" t="s">
        <v>2389</v>
      </c>
      <c r="G200" s="262" t="s">
        <v>2390</v>
      </c>
      <c r="H200" s="395"/>
    </row>
    <row r="201" spans="1:8" ht="14.55" hidden="1" customHeight="1" x14ac:dyDescent="0.3">
      <c r="A201" s="262" t="s">
        <v>2413</v>
      </c>
      <c r="B201" s="262" t="s">
        <v>2370</v>
      </c>
      <c r="C201" s="262" t="s">
        <v>2371</v>
      </c>
      <c r="D201" s="262" t="s">
        <v>2611</v>
      </c>
      <c r="E201" s="263">
        <v>6</v>
      </c>
      <c r="F201" s="262" t="s">
        <v>2379</v>
      </c>
      <c r="G201" s="262" t="s">
        <v>2612</v>
      </c>
      <c r="H201" s="395"/>
    </row>
    <row r="202" spans="1:8" ht="14.55" hidden="1" customHeight="1" x14ac:dyDescent="0.3">
      <c r="A202" s="262" t="s">
        <v>2413</v>
      </c>
      <c r="B202" s="262" t="s">
        <v>2380</v>
      </c>
      <c r="C202" s="262" t="s">
        <v>2371</v>
      </c>
      <c r="D202" s="262" t="s">
        <v>2613</v>
      </c>
      <c r="E202" s="263">
        <v>4</v>
      </c>
      <c r="F202" s="262" t="s">
        <v>2389</v>
      </c>
      <c r="G202" s="262" t="s">
        <v>2428</v>
      </c>
      <c r="H202" s="395"/>
    </row>
    <row r="203" spans="1:8" ht="14.55" hidden="1" customHeight="1" x14ac:dyDescent="0.3">
      <c r="A203" s="262" t="s">
        <v>2413</v>
      </c>
      <c r="B203" s="262" t="s">
        <v>2380</v>
      </c>
      <c r="C203" s="262" t="s">
        <v>2371</v>
      </c>
      <c r="D203" s="262" t="s">
        <v>2614</v>
      </c>
      <c r="E203" s="263">
        <v>8</v>
      </c>
      <c r="F203" s="262" t="s">
        <v>2379</v>
      </c>
      <c r="G203" s="262" t="s">
        <v>2396</v>
      </c>
      <c r="H203" s="395"/>
    </row>
    <row r="204" spans="1:8" ht="14.55" hidden="1" customHeight="1" x14ac:dyDescent="0.3">
      <c r="A204" s="262" t="s">
        <v>2413</v>
      </c>
      <c r="B204" s="262" t="s">
        <v>2370</v>
      </c>
      <c r="C204" s="262" t="s">
        <v>2371</v>
      </c>
      <c r="D204" s="262" t="s">
        <v>2615</v>
      </c>
      <c r="E204" s="263">
        <v>4</v>
      </c>
      <c r="F204" s="262" t="s">
        <v>2379</v>
      </c>
      <c r="G204" s="262" t="s">
        <v>2396</v>
      </c>
      <c r="H204" s="395"/>
    </row>
    <row r="205" spans="1:8" ht="14.55" hidden="1" customHeight="1" x14ac:dyDescent="0.3">
      <c r="A205" s="262" t="s">
        <v>2413</v>
      </c>
      <c r="B205" s="262" t="s">
        <v>2370</v>
      </c>
      <c r="C205" s="262" t="s">
        <v>2371</v>
      </c>
      <c r="D205" s="262" t="s">
        <v>2616</v>
      </c>
      <c r="E205" s="263">
        <v>8</v>
      </c>
      <c r="F205" s="262" t="s">
        <v>2373</v>
      </c>
      <c r="G205" s="262" t="s">
        <v>2374</v>
      </c>
      <c r="H205" s="395"/>
    </row>
    <row r="206" spans="1:8" ht="14.55" hidden="1" customHeight="1" x14ac:dyDescent="0.3">
      <c r="A206" s="262" t="s">
        <v>2413</v>
      </c>
      <c r="B206" s="262" t="s">
        <v>2370</v>
      </c>
      <c r="C206" s="262" t="s">
        <v>2371</v>
      </c>
      <c r="D206" s="262" t="s">
        <v>2617</v>
      </c>
      <c r="E206" s="263">
        <v>4</v>
      </c>
      <c r="F206" s="262" t="s">
        <v>2376</v>
      </c>
      <c r="G206" s="262" t="s">
        <v>2406</v>
      </c>
      <c r="H206" s="395"/>
    </row>
    <row r="207" spans="1:8" ht="14.55" hidden="1" customHeight="1" x14ac:dyDescent="0.3">
      <c r="A207" s="262" t="s">
        <v>2413</v>
      </c>
      <c r="B207" s="262" t="s">
        <v>2380</v>
      </c>
      <c r="C207" s="262" t="s">
        <v>2371</v>
      </c>
      <c r="D207" s="262" t="s">
        <v>2618</v>
      </c>
      <c r="E207" s="263">
        <v>6</v>
      </c>
      <c r="F207" s="262" t="s">
        <v>2389</v>
      </c>
      <c r="G207" s="262" t="s">
        <v>2428</v>
      </c>
      <c r="H207" s="395"/>
    </row>
    <row r="208" spans="1:8" ht="14.55" hidden="1" customHeight="1" x14ac:dyDescent="0.3">
      <c r="A208" s="262" t="s">
        <v>2413</v>
      </c>
      <c r="B208" s="262" t="s">
        <v>2370</v>
      </c>
      <c r="C208" s="262" t="s">
        <v>2371</v>
      </c>
      <c r="D208" s="262" t="s">
        <v>2619</v>
      </c>
      <c r="E208" s="263">
        <v>6</v>
      </c>
      <c r="F208" s="262" t="s">
        <v>2389</v>
      </c>
      <c r="G208" s="262" t="s">
        <v>2428</v>
      </c>
      <c r="H208" s="395"/>
    </row>
    <row r="209" spans="1:8" ht="14.55" hidden="1" customHeight="1" x14ac:dyDescent="0.3">
      <c r="A209" s="262" t="s">
        <v>2413</v>
      </c>
      <c r="B209" s="262" t="s">
        <v>2370</v>
      </c>
      <c r="C209" s="262" t="s">
        <v>2371</v>
      </c>
      <c r="D209" s="262" t="s">
        <v>2620</v>
      </c>
      <c r="E209" s="263">
        <v>8</v>
      </c>
      <c r="F209" s="262" t="s">
        <v>2373</v>
      </c>
      <c r="G209" s="262" t="s">
        <v>2621</v>
      </c>
      <c r="H209" s="395"/>
    </row>
    <row r="210" spans="1:8" ht="14.55" hidden="1" customHeight="1" x14ac:dyDescent="0.3">
      <c r="A210" s="262" t="s">
        <v>2413</v>
      </c>
      <c r="B210" s="262" t="s">
        <v>2370</v>
      </c>
      <c r="C210" s="262" t="s">
        <v>2371</v>
      </c>
      <c r="D210" s="262" t="s">
        <v>2622</v>
      </c>
      <c r="E210" s="263">
        <v>8</v>
      </c>
      <c r="F210" s="262" t="s">
        <v>2373</v>
      </c>
      <c r="G210" s="262" t="s">
        <v>2374</v>
      </c>
      <c r="H210" s="395"/>
    </row>
    <row r="211" spans="1:8" ht="14.55" hidden="1" customHeight="1" x14ac:dyDescent="0.3">
      <c r="A211" s="262" t="s">
        <v>2413</v>
      </c>
      <c r="B211" s="262" t="s">
        <v>2380</v>
      </c>
      <c r="C211" s="262" t="s">
        <v>2371</v>
      </c>
      <c r="D211" s="262" t="s">
        <v>2623</v>
      </c>
      <c r="E211" s="263">
        <v>8</v>
      </c>
      <c r="F211" s="262" t="s">
        <v>2419</v>
      </c>
      <c r="G211" s="262" t="s">
        <v>2432</v>
      </c>
      <c r="H211" s="395"/>
    </row>
    <row r="212" spans="1:8" ht="14.55" hidden="1" customHeight="1" x14ac:dyDescent="0.3">
      <c r="A212" s="262" t="s">
        <v>2413</v>
      </c>
      <c r="B212" s="262" t="s">
        <v>2370</v>
      </c>
      <c r="C212" s="262" t="s">
        <v>2371</v>
      </c>
      <c r="D212" s="262" t="s">
        <v>2624</v>
      </c>
      <c r="E212" s="263">
        <v>6</v>
      </c>
      <c r="F212" s="262" t="s">
        <v>2419</v>
      </c>
      <c r="G212" s="262" t="s">
        <v>2605</v>
      </c>
      <c r="H212" s="395"/>
    </row>
    <row r="213" spans="1:8" ht="14.55" hidden="1" customHeight="1" x14ac:dyDescent="0.3">
      <c r="A213" s="262" t="s">
        <v>2413</v>
      </c>
      <c r="B213" s="262" t="s">
        <v>2370</v>
      </c>
      <c r="C213" s="262" t="s">
        <v>2371</v>
      </c>
      <c r="D213" s="262" t="s">
        <v>2625</v>
      </c>
      <c r="E213" s="263">
        <v>6</v>
      </c>
      <c r="F213" s="262" t="s">
        <v>2389</v>
      </c>
      <c r="G213" s="262" t="s">
        <v>2428</v>
      </c>
      <c r="H213" s="395"/>
    </row>
    <row r="214" spans="1:8" ht="14.55" hidden="1" customHeight="1" x14ac:dyDescent="0.3">
      <c r="A214" s="262" t="s">
        <v>2413</v>
      </c>
      <c r="B214" s="262" t="s">
        <v>2370</v>
      </c>
      <c r="C214" s="262" t="s">
        <v>2371</v>
      </c>
      <c r="D214" s="262" t="s">
        <v>2626</v>
      </c>
      <c r="E214" s="263">
        <v>4</v>
      </c>
      <c r="F214" s="262" t="s">
        <v>2389</v>
      </c>
      <c r="G214" s="262" t="s">
        <v>2627</v>
      </c>
      <c r="H214" s="395"/>
    </row>
    <row r="215" spans="1:8" ht="14.55" hidden="1" customHeight="1" x14ac:dyDescent="0.3">
      <c r="A215" s="262" t="s">
        <v>2413</v>
      </c>
      <c r="B215" s="262" t="s">
        <v>2370</v>
      </c>
      <c r="C215" s="262" t="s">
        <v>2371</v>
      </c>
      <c r="D215" s="262" t="s">
        <v>2628</v>
      </c>
      <c r="E215" s="263">
        <v>6</v>
      </c>
      <c r="F215" s="262" t="s">
        <v>2419</v>
      </c>
      <c r="G215" s="262" t="s">
        <v>2432</v>
      </c>
      <c r="H215" s="395"/>
    </row>
    <row r="216" spans="1:8" ht="14.55" hidden="1" customHeight="1" x14ac:dyDescent="0.3">
      <c r="A216" s="262" t="s">
        <v>2413</v>
      </c>
      <c r="B216" s="262" t="s">
        <v>2370</v>
      </c>
      <c r="C216" s="262" t="s">
        <v>2371</v>
      </c>
      <c r="D216" s="262" t="s">
        <v>2629</v>
      </c>
      <c r="E216" s="263">
        <v>6</v>
      </c>
      <c r="F216" s="262" t="s">
        <v>2373</v>
      </c>
      <c r="G216" s="262" t="s">
        <v>2374</v>
      </c>
      <c r="H216" s="395"/>
    </row>
    <row r="217" spans="1:8" ht="14.55" hidden="1" customHeight="1" x14ac:dyDescent="0.3">
      <c r="A217" s="262" t="s">
        <v>2413</v>
      </c>
      <c r="B217" s="262" t="s">
        <v>2370</v>
      </c>
      <c r="C217" s="262" t="s">
        <v>2371</v>
      </c>
      <c r="D217" s="262" t="s">
        <v>2630</v>
      </c>
      <c r="E217" s="263">
        <v>4</v>
      </c>
      <c r="F217" s="262" t="s">
        <v>2389</v>
      </c>
      <c r="G217" s="262" t="s">
        <v>2631</v>
      </c>
      <c r="H217" s="395"/>
    </row>
    <row r="218" spans="1:8" ht="14.55" hidden="1" customHeight="1" x14ac:dyDescent="0.3">
      <c r="A218" s="262" t="s">
        <v>2413</v>
      </c>
      <c r="B218" s="262" t="s">
        <v>2370</v>
      </c>
      <c r="C218" s="262" t="s">
        <v>2371</v>
      </c>
      <c r="D218" s="262" t="s">
        <v>2632</v>
      </c>
      <c r="E218" s="263">
        <v>6</v>
      </c>
      <c r="F218" s="262" t="s">
        <v>2419</v>
      </c>
      <c r="G218" s="262" t="s">
        <v>2480</v>
      </c>
      <c r="H218" s="395"/>
    </row>
    <row r="219" spans="1:8" ht="14.55" hidden="1" customHeight="1" x14ac:dyDescent="0.3">
      <c r="A219" s="262" t="s">
        <v>2413</v>
      </c>
      <c r="B219" s="262" t="s">
        <v>2370</v>
      </c>
      <c r="C219" s="262" t="s">
        <v>2371</v>
      </c>
      <c r="D219" s="262" t="s">
        <v>2633</v>
      </c>
      <c r="E219" s="263">
        <v>6</v>
      </c>
      <c r="F219" s="262" t="s">
        <v>2419</v>
      </c>
      <c r="G219" s="262" t="s">
        <v>2432</v>
      </c>
      <c r="H219" s="395"/>
    </row>
    <row r="220" spans="1:8" ht="14.55" hidden="1" customHeight="1" x14ac:dyDescent="0.3">
      <c r="A220" s="262" t="s">
        <v>2413</v>
      </c>
      <c r="B220" s="262" t="s">
        <v>2370</v>
      </c>
      <c r="C220" s="262" t="s">
        <v>2371</v>
      </c>
      <c r="D220" s="262" t="s">
        <v>2634</v>
      </c>
      <c r="E220" s="263">
        <v>4</v>
      </c>
      <c r="F220" s="262" t="s">
        <v>2373</v>
      </c>
      <c r="G220" s="262" t="s">
        <v>2449</v>
      </c>
      <c r="H220" s="395"/>
    </row>
    <row r="221" spans="1:8" ht="14.55" hidden="1" customHeight="1" x14ac:dyDescent="0.3">
      <c r="A221" s="262" t="s">
        <v>2413</v>
      </c>
      <c r="B221" s="262" t="s">
        <v>2380</v>
      </c>
      <c r="C221" s="262" t="s">
        <v>2371</v>
      </c>
      <c r="D221" s="262" t="s">
        <v>2635</v>
      </c>
      <c r="E221" s="263">
        <v>8</v>
      </c>
      <c r="F221" s="262" t="s">
        <v>2373</v>
      </c>
      <c r="G221" s="262" t="s">
        <v>2374</v>
      </c>
      <c r="H221" s="395"/>
    </row>
    <row r="222" spans="1:8" ht="14.55" hidden="1" customHeight="1" x14ac:dyDescent="0.3">
      <c r="A222" s="262" t="s">
        <v>2413</v>
      </c>
      <c r="B222" s="262" t="s">
        <v>2370</v>
      </c>
      <c r="C222" s="262" t="s">
        <v>2371</v>
      </c>
      <c r="D222" s="262" t="s">
        <v>2636</v>
      </c>
      <c r="E222" s="263">
        <v>8</v>
      </c>
      <c r="F222" s="262" t="s">
        <v>2419</v>
      </c>
      <c r="G222" s="262" t="s">
        <v>2420</v>
      </c>
      <c r="H222" s="395"/>
    </row>
    <row r="223" spans="1:8" ht="14.55" hidden="1" customHeight="1" x14ac:dyDescent="0.3">
      <c r="A223" s="262" t="s">
        <v>2413</v>
      </c>
      <c r="B223" s="262" t="s">
        <v>2370</v>
      </c>
      <c r="C223" s="262" t="s">
        <v>2371</v>
      </c>
      <c r="D223" s="262" t="s">
        <v>2637</v>
      </c>
      <c r="E223" s="263">
        <v>8</v>
      </c>
      <c r="F223" s="262" t="s">
        <v>2379</v>
      </c>
      <c r="G223" s="262" t="s">
        <v>2396</v>
      </c>
      <c r="H223" s="395"/>
    </row>
    <row r="224" spans="1:8" ht="14.55" hidden="1" customHeight="1" x14ac:dyDescent="0.3">
      <c r="A224" s="262" t="s">
        <v>2413</v>
      </c>
      <c r="B224" s="262" t="s">
        <v>2380</v>
      </c>
      <c r="C224" s="262" t="s">
        <v>2371</v>
      </c>
      <c r="D224" s="262" t="s">
        <v>2638</v>
      </c>
      <c r="E224" s="263">
        <v>4</v>
      </c>
      <c r="F224" s="262" t="s">
        <v>2373</v>
      </c>
      <c r="G224" s="262" t="s">
        <v>2453</v>
      </c>
      <c r="H224" s="395"/>
    </row>
    <row r="225" spans="1:8" ht="14.55" hidden="1" customHeight="1" x14ac:dyDescent="0.3">
      <c r="A225" s="262" t="s">
        <v>2413</v>
      </c>
      <c r="B225" s="262" t="s">
        <v>2370</v>
      </c>
      <c r="C225" s="262" t="s">
        <v>2371</v>
      </c>
      <c r="D225" s="262" t="s">
        <v>2639</v>
      </c>
      <c r="E225" s="263">
        <v>8</v>
      </c>
      <c r="F225" s="262" t="s">
        <v>2419</v>
      </c>
      <c r="G225" s="262" t="s">
        <v>2420</v>
      </c>
      <c r="H225" s="395"/>
    </row>
    <row r="226" spans="1:8" ht="14.55" hidden="1" customHeight="1" x14ac:dyDescent="0.3">
      <c r="A226" s="262" t="s">
        <v>2413</v>
      </c>
      <c r="B226" s="262" t="s">
        <v>2380</v>
      </c>
      <c r="C226" s="262" t="s">
        <v>2371</v>
      </c>
      <c r="D226" s="262" t="s">
        <v>2640</v>
      </c>
      <c r="E226" s="263">
        <v>8</v>
      </c>
      <c r="F226" s="262" t="s">
        <v>2389</v>
      </c>
      <c r="G226" s="262" t="s">
        <v>2408</v>
      </c>
      <c r="H226" s="395"/>
    </row>
    <row r="227" spans="1:8" ht="14.55" hidden="1" customHeight="1" x14ac:dyDescent="0.3">
      <c r="A227" s="262" t="s">
        <v>2413</v>
      </c>
      <c r="B227" s="262" t="s">
        <v>2370</v>
      </c>
      <c r="C227" s="262" t="s">
        <v>2371</v>
      </c>
      <c r="D227" s="262" t="s">
        <v>2641</v>
      </c>
      <c r="E227" s="263">
        <v>6</v>
      </c>
      <c r="F227" s="262" t="s">
        <v>2373</v>
      </c>
      <c r="G227" s="262" t="s">
        <v>2374</v>
      </c>
      <c r="H227" s="395"/>
    </row>
    <row r="228" spans="1:8" ht="14.55" hidden="1" customHeight="1" x14ac:dyDescent="0.3">
      <c r="A228" s="262" t="s">
        <v>2413</v>
      </c>
      <c r="B228" s="262" t="s">
        <v>2370</v>
      </c>
      <c r="C228" s="262" t="s">
        <v>2371</v>
      </c>
      <c r="D228" s="262" t="s">
        <v>2642</v>
      </c>
      <c r="E228" s="263">
        <v>4</v>
      </c>
      <c r="F228" s="262" t="s">
        <v>2389</v>
      </c>
      <c r="G228" s="262" t="s">
        <v>2408</v>
      </c>
      <c r="H228" s="395"/>
    </row>
    <row r="229" spans="1:8" ht="14.55" hidden="1" customHeight="1" x14ac:dyDescent="0.3">
      <c r="A229" s="262" t="s">
        <v>2413</v>
      </c>
      <c r="B229" s="262" t="s">
        <v>2370</v>
      </c>
      <c r="C229" s="262" t="s">
        <v>2371</v>
      </c>
      <c r="D229" s="262" t="s">
        <v>2643</v>
      </c>
      <c r="E229" s="263">
        <v>6</v>
      </c>
      <c r="F229" s="262" t="s">
        <v>2373</v>
      </c>
      <c r="G229" s="262" t="s">
        <v>2644</v>
      </c>
      <c r="H229" s="395"/>
    </row>
    <row r="230" spans="1:8" ht="14.55" hidden="1" customHeight="1" x14ac:dyDescent="0.3">
      <c r="A230" s="262" t="s">
        <v>2413</v>
      </c>
      <c r="B230" s="262" t="s">
        <v>2370</v>
      </c>
      <c r="C230" s="262" t="s">
        <v>2371</v>
      </c>
      <c r="D230" s="262" t="s">
        <v>2645</v>
      </c>
      <c r="E230" s="263">
        <v>8</v>
      </c>
      <c r="F230" s="262" t="s">
        <v>2419</v>
      </c>
      <c r="G230" s="262" t="s">
        <v>2420</v>
      </c>
      <c r="H230" s="395"/>
    </row>
    <row r="231" spans="1:8" ht="14.55" hidden="1" customHeight="1" x14ac:dyDescent="0.3">
      <c r="A231" s="262" t="s">
        <v>2413</v>
      </c>
      <c r="B231" s="262" t="s">
        <v>2380</v>
      </c>
      <c r="C231" s="262" t="s">
        <v>2371</v>
      </c>
      <c r="D231" s="262" t="s">
        <v>2646</v>
      </c>
      <c r="E231" s="263">
        <v>8</v>
      </c>
      <c r="F231" s="262" t="s">
        <v>2376</v>
      </c>
      <c r="G231" s="262" t="s">
        <v>2451</v>
      </c>
      <c r="H231" s="395"/>
    </row>
    <row r="232" spans="1:8" ht="14.55" hidden="1" customHeight="1" x14ac:dyDescent="0.3">
      <c r="A232" s="262" t="s">
        <v>2413</v>
      </c>
      <c r="B232" s="262" t="s">
        <v>2380</v>
      </c>
      <c r="C232" s="262" t="s">
        <v>2371</v>
      </c>
      <c r="D232" s="262" t="s">
        <v>2647</v>
      </c>
      <c r="E232" s="263">
        <v>6</v>
      </c>
      <c r="F232" s="262" t="s">
        <v>2373</v>
      </c>
      <c r="G232" s="262" t="s">
        <v>2648</v>
      </c>
      <c r="H232" s="395"/>
    </row>
    <row r="233" spans="1:8" ht="14.55" hidden="1" customHeight="1" x14ac:dyDescent="0.3">
      <c r="A233" s="262" t="s">
        <v>2413</v>
      </c>
      <c r="B233" s="262" t="s">
        <v>2370</v>
      </c>
      <c r="C233" s="262" t="s">
        <v>2371</v>
      </c>
      <c r="D233" s="262" t="s">
        <v>2649</v>
      </c>
      <c r="E233" s="263">
        <v>6</v>
      </c>
      <c r="F233" s="262" t="s">
        <v>2389</v>
      </c>
      <c r="G233" s="262" t="s">
        <v>2428</v>
      </c>
      <c r="H233" s="395"/>
    </row>
    <row r="234" spans="1:8" ht="14.55" hidden="1" customHeight="1" x14ac:dyDescent="0.3">
      <c r="A234" s="262" t="s">
        <v>2413</v>
      </c>
      <c r="B234" s="262" t="s">
        <v>2370</v>
      </c>
      <c r="C234" s="262" t="s">
        <v>2371</v>
      </c>
      <c r="D234" s="262" t="s">
        <v>2650</v>
      </c>
      <c r="E234" s="263">
        <v>8</v>
      </c>
      <c r="F234" s="262" t="s">
        <v>2419</v>
      </c>
      <c r="G234" s="262" t="s">
        <v>2420</v>
      </c>
      <c r="H234" s="395"/>
    </row>
    <row r="235" spans="1:8" ht="14.55" hidden="1" customHeight="1" x14ac:dyDescent="0.3">
      <c r="A235" s="262" t="s">
        <v>2413</v>
      </c>
      <c r="B235" s="262" t="s">
        <v>2370</v>
      </c>
      <c r="C235" s="262" t="s">
        <v>2371</v>
      </c>
      <c r="D235" s="262" t="s">
        <v>2651</v>
      </c>
      <c r="E235" s="263">
        <v>6</v>
      </c>
      <c r="F235" s="262" t="s">
        <v>2379</v>
      </c>
      <c r="G235" s="262" t="s">
        <v>2652</v>
      </c>
      <c r="H235" s="395"/>
    </row>
    <row r="236" spans="1:8" ht="14.55" hidden="1" customHeight="1" x14ac:dyDescent="0.3">
      <c r="A236" s="262" t="s">
        <v>2413</v>
      </c>
      <c r="B236" s="262" t="s">
        <v>2370</v>
      </c>
      <c r="C236" s="262" t="s">
        <v>2371</v>
      </c>
      <c r="D236" s="262" t="s">
        <v>2653</v>
      </c>
      <c r="E236" s="263">
        <v>4</v>
      </c>
      <c r="F236" s="262" t="s">
        <v>2376</v>
      </c>
      <c r="G236" s="262" t="s">
        <v>2377</v>
      </c>
      <c r="H236" s="395"/>
    </row>
    <row r="237" spans="1:8" ht="14.55" hidden="1" customHeight="1" x14ac:dyDescent="0.3">
      <c r="A237" s="262" t="s">
        <v>2413</v>
      </c>
      <c r="B237" s="262" t="s">
        <v>2370</v>
      </c>
      <c r="C237" s="262" t="s">
        <v>2371</v>
      </c>
      <c r="D237" s="262" t="s">
        <v>2654</v>
      </c>
      <c r="E237" s="263">
        <v>8</v>
      </c>
      <c r="F237" s="262" t="s">
        <v>2376</v>
      </c>
      <c r="G237" s="262" t="s">
        <v>2377</v>
      </c>
      <c r="H237" s="395"/>
    </row>
    <row r="238" spans="1:8" ht="14.55" hidden="1" customHeight="1" x14ac:dyDescent="0.3">
      <c r="A238" s="262" t="s">
        <v>2413</v>
      </c>
      <c r="B238" s="262" t="s">
        <v>2370</v>
      </c>
      <c r="C238" s="262" t="s">
        <v>2371</v>
      </c>
      <c r="D238" s="262" t="s">
        <v>2655</v>
      </c>
      <c r="E238" s="263">
        <v>8</v>
      </c>
      <c r="F238" s="262" t="s">
        <v>2376</v>
      </c>
      <c r="G238" s="262" t="s">
        <v>2377</v>
      </c>
      <c r="H238" s="395"/>
    </row>
    <row r="239" spans="1:8" ht="14.55" hidden="1" customHeight="1" x14ac:dyDescent="0.3">
      <c r="A239" s="262" t="s">
        <v>2413</v>
      </c>
      <c r="B239" s="262" t="s">
        <v>2380</v>
      </c>
      <c r="C239" s="262" t="s">
        <v>2371</v>
      </c>
      <c r="D239" s="262" t="s">
        <v>2656</v>
      </c>
      <c r="E239" s="263">
        <v>8</v>
      </c>
      <c r="F239" s="262" t="s">
        <v>2379</v>
      </c>
      <c r="G239" s="262" t="s">
        <v>2544</v>
      </c>
      <c r="H239" s="395"/>
    </row>
    <row r="240" spans="1:8" ht="14.55" hidden="1" customHeight="1" x14ac:dyDescent="0.3">
      <c r="A240" s="262" t="s">
        <v>2413</v>
      </c>
      <c r="B240" s="262" t="s">
        <v>2370</v>
      </c>
      <c r="C240" s="262" t="s">
        <v>2371</v>
      </c>
      <c r="D240" s="262" t="s">
        <v>2657</v>
      </c>
      <c r="E240" s="263">
        <v>8</v>
      </c>
      <c r="F240" s="262" t="s">
        <v>2376</v>
      </c>
      <c r="G240" s="262" t="s">
        <v>2406</v>
      </c>
      <c r="H240" s="395"/>
    </row>
    <row r="241" spans="1:8" ht="14.55" hidden="1" customHeight="1" x14ac:dyDescent="0.3">
      <c r="A241" s="262" t="s">
        <v>2413</v>
      </c>
      <c r="B241" s="262" t="s">
        <v>2380</v>
      </c>
      <c r="C241" s="262" t="s">
        <v>2371</v>
      </c>
      <c r="D241" s="262" t="s">
        <v>2658</v>
      </c>
      <c r="E241" s="263">
        <v>6</v>
      </c>
      <c r="F241" s="262" t="s">
        <v>2373</v>
      </c>
      <c r="G241" s="262" t="s">
        <v>2392</v>
      </c>
      <c r="H241" s="395"/>
    </row>
    <row r="242" spans="1:8" ht="14.55" hidden="1" customHeight="1" x14ac:dyDescent="0.3">
      <c r="A242" s="262" t="s">
        <v>2413</v>
      </c>
      <c r="B242" s="262" t="s">
        <v>2380</v>
      </c>
      <c r="C242" s="262" t="s">
        <v>2371</v>
      </c>
      <c r="D242" s="262" t="s">
        <v>2659</v>
      </c>
      <c r="E242" s="263">
        <v>4</v>
      </c>
      <c r="F242" s="262" t="s">
        <v>2419</v>
      </c>
      <c r="G242" s="262" t="s">
        <v>2480</v>
      </c>
      <c r="H242" s="395"/>
    </row>
    <row r="243" spans="1:8" ht="14.55" hidden="1" customHeight="1" x14ac:dyDescent="0.3">
      <c r="A243" s="262" t="s">
        <v>2413</v>
      </c>
      <c r="B243" s="262" t="s">
        <v>2370</v>
      </c>
      <c r="C243" s="262" t="s">
        <v>2371</v>
      </c>
      <c r="D243" s="262" t="s">
        <v>2660</v>
      </c>
      <c r="E243" s="263">
        <v>6</v>
      </c>
      <c r="F243" s="262" t="s">
        <v>2373</v>
      </c>
      <c r="G243" s="262" t="s">
        <v>2374</v>
      </c>
      <c r="H243" s="395"/>
    </row>
    <row r="244" spans="1:8" ht="14.55" hidden="1" customHeight="1" x14ac:dyDescent="0.3">
      <c r="A244" s="262" t="s">
        <v>2413</v>
      </c>
      <c r="B244" s="262" t="s">
        <v>2370</v>
      </c>
      <c r="C244" s="262" t="s">
        <v>2371</v>
      </c>
      <c r="D244" s="262" t="s">
        <v>2661</v>
      </c>
      <c r="E244" s="263">
        <v>6</v>
      </c>
      <c r="F244" s="262" t="s">
        <v>2389</v>
      </c>
      <c r="G244" s="262" t="s">
        <v>2428</v>
      </c>
      <c r="H244" s="395"/>
    </row>
    <row r="245" spans="1:8" ht="14.55" hidden="1" customHeight="1" x14ac:dyDescent="0.3">
      <c r="A245" s="262" t="s">
        <v>2413</v>
      </c>
      <c r="B245" s="262" t="s">
        <v>2370</v>
      </c>
      <c r="C245" s="262" t="s">
        <v>2371</v>
      </c>
      <c r="D245" s="262" t="s">
        <v>2662</v>
      </c>
      <c r="E245" s="263">
        <v>8</v>
      </c>
      <c r="F245" s="262" t="s">
        <v>2373</v>
      </c>
      <c r="G245" s="262" t="s">
        <v>2374</v>
      </c>
      <c r="H245" s="395"/>
    </row>
    <row r="246" spans="1:8" ht="14.55" hidden="1" customHeight="1" x14ac:dyDescent="0.3">
      <c r="A246" s="262" t="s">
        <v>2413</v>
      </c>
      <c r="B246" s="262" t="s">
        <v>2370</v>
      </c>
      <c r="C246" s="262" t="s">
        <v>2371</v>
      </c>
      <c r="D246" s="262" t="s">
        <v>2663</v>
      </c>
      <c r="E246" s="263">
        <v>8</v>
      </c>
      <c r="F246" s="262" t="s">
        <v>2419</v>
      </c>
      <c r="G246" s="262" t="s">
        <v>2420</v>
      </c>
      <c r="H246" s="395"/>
    </row>
    <row r="247" spans="1:8" ht="14.55" hidden="1" customHeight="1" x14ac:dyDescent="0.3">
      <c r="A247" s="262" t="s">
        <v>2413</v>
      </c>
      <c r="B247" s="262" t="s">
        <v>2370</v>
      </c>
      <c r="C247" s="262" t="s">
        <v>2371</v>
      </c>
      <c r="D247" s="262" t="s">
        <v>2664</v>
      </c>
      <c r="E247" s="263">
        <v>6</v>
      </c>
      <c r="F247" s="262" t="s">
        <v>2419</v>
      </c>
      <c r="G247" s="262" t="s">
        <v>2432</v>
      </c>
      <c r="H247" s="395"/>
    </row>
    <row r="248" spans="1:8" ht="14.55" hidden="1" customHeight="1" x14ac:dyDescent="0.3">
      <c r="A248" s="262" t="s">
        <v>2413</v>
      </c>
      <c r="B248" s="262" t="s">
        <v>2370</v>
      </c>
      <c r="C248" s="262" t="s">
        <v>2371</v>
      </c>
      <c r="D248" s="262" t="s">
        <v>2665</v>
      </c>
      <c r="E248" s="263">
        <v>4</v>
      </c>
      <c r="F248" s="262" t="s">
        <v>2376</v>
      </c>
      <c r="G248" s="262" t="s">
        <v>2406</v>
      </c>
      <c r="H248" s="395"/>
    </row>
    <row r="249" spans="1:8" ht="14.55" hidden="1" customHeight="1" x14ac:dyDescent="0.3">
      <c r="A249" s="262" t="s">
        <v>2413</v>
      </c>
      <c r="B249" s="262" t="s">
        <v>2370</v>
      </c>
      <c r="C249" s="262" t="s">
        <v>2371</v>
      </c>
      <c r="D249" s="262" t="s">
        <v>2666</v>
      </c>
      <c r="E249" s="263">
        <v>6</v>
      </c>
      <c r="F249" s="262" t="s">
        <v>2373</v>
      </c>
      <c r="G249" s="262" t="s">
        <v>2644</v>
      </c>
      <c r="H249" s="395"/>
    </row>
    <row r="250" spans="1:8" ht="14.55" hidden="1" customHeight="1" x14ac:dyDescent="0.3">
      <c r="A250" s="262" t="s">
        <v>2413</v>
      </c>
      <c r="B250" s="262" t="s">
        <v>2380</v>
      </c>
      <c r="C250" s="262" t="s">
        <v>2371</v>
      </c>
      <c r="D250" s="262" t="s">
        <v>2667</v>
      </c>
      <c r="E250" s="263">
        <v>6</v>
      </c>
      <c r="F250" s="262" t="s">
        <v>2376</v>
      </c>
      <c r="G250" s="262" t="s">
        <v>2416</v>
      </c>
      <c r="H250" s="395"/>
    </row>
    <row r="251" spans="1:8" x14ac:dyDescent="0.3">
      <c r="A251" s="264" t="s">
        <v>2413</v>
      </c>
      <c r="B251" s="264" t="s">
        <v>2370</v>
      </c>
      <c r="C251" s="264" t="s">
        <v>2371</v>
      </c>
      <c r="D251" s="264" t="s">
        <v>2668</v>
      </c>
      <c r="E251" s="265">
        <v>6</v>
      </c>
      <c r="F251" s="264" t="s">
        <v>2379</v>
      </c>
      <c r="G251" s="264" t="s">
        <v>2402</v>
      </c>
      <c r="H251" s="396"/>
    </row>
    <row r="252" spans="1:8" ht="14.55" hidden="1" customHeight="1" x14ac:dyDescent="0.3">
      <c r="A252" s="262" t="s">
        <v>2413</v>
      </c>
      <c r="B252" s="262" t="s">
        <v>2370</v>
      </c>
      <c r="C252" s="262" t="s">
        <v>2371</v>
      </c>
      <c r="D252" s="262" t="s">
        <v>2669</v>
      </c>
      <c r="E252" s="263">
        <v>6</v>
      </c>
      <c r="F252" s="262" t="s">
        <v>2373</v>
      </c>
      <c r="G252" s="262" t="s">
        <v>2374</v>
      </c>
      <c r="H252" s="395"/>
    </row>
    <row r="253" spans="1:8" ht="14.55" hidden="1" customHeight="1" x14ac:dyDescent="0.3">
      <c r="A253" s="262" t="s">
        <v>2413</v>
      </c>
      <c r="B253" s="262" t="s">
        <v>2380</v>
      </c>
      <c r="C253" s="262" t="s">
        <v>2371</v>
      </c>
      <c r="D253" s="262" t="s">
        <v>2670</v>
      </c>
      <c r="E253" s="263">
        <v>6</v>
      </c>
      <c r="F253" s="262" t="s">
        <v>2389</v>
      </c>
      <c r="G253" s="262" t="s">
        <v>2671</v>
      </c>
      <c r="H253" s="395"/>
    </row>
    <row r="254" spans="1:8" ht="14.55" hidden="1" customHeight="1" x14ac:dyDescent="0.3">
      <c r="A254" s="262" t="s">
        <v>2413</v>
      </c>
      <c r="B254" s="262" t="s">
        <v>2370</v>
      </c>
      <c r="C254" s="262" t="s">
        <v>2371</v>
      </c>
      <c r="D254" s="262" t="s">
        <v>2672</v>
      </c>
      <c r="E254" s="263">
        <v>6</v>
      </c>
      <c r="F254" s="262" t="s">
        <v>2389</v>
      </c>
      <c r="G254" s="262" t="s">
        <v>2673</v>
      </c>
      <c r="H254" s="395"/>
    </row>
    <row r="255" spans="1:8" ht="14.55" hidden="1" customHeight="1" x14ac:dyDescent="0.3">
      <c r="A255" s="262" t="s">
        <v>2413</v>
      </c>
      <c r="B255" s="262" t="s">
        <v>2370</v>
      </c>
      <c r="C255" s="262" t="s">
        <v>2371</v>
      </c>
      <c r="D255" s="262" t="s">
        <v>2674</v>
      </c>
      <c r="E255" s="263">
        <v>4</v>
      </c>
      <c r="F255" s="262" t="s">
        <v>2379</v>
      </c>
      <c r="G255" s="262" t="s">
        <v>2675</v>
      </c>
      <c r="H255" s="395"/>
    </row>
    <row r="256" spans="1:8" ht="14.55" hidden="1" customHeight="1" x14ac:dyDescent="0.3">
      <c r="A256" s="262" t="s">
        <v>2413</v>
      </c>
      <c r="B256" s="262" t="s">
        <v>2370</v>
      </c>
      <c r="C256" s="262" t="s">
        <v>2371</v>
      </c>
      <c r="D256" s="262" t="s">
        <v>2676</v>
      </c>
      <c r="E256" s="263">
        <v>4</v>
      </c>
      <c r="F256" s="262" t="s">
        <v>2373</v>
      </c>
      <c r="G256" s="262" t="s">
        <v>2374</v>
      </c>
      <c r="H256" s="395"/>
    </row>
    <row r="257" spans="1:8" ht="14.55" hidden="1" customHeight="1" x14ac:dyDescent="0.3">
      <c r="A257" s="262" t="s">
        <v>2413</v>
      </c>
      <c r="B257" s="262" t="s">
        <v>2370</v>
      </c>
      <c r="C257" s="262" t="s">
        <v>2371</v>
      </c>
      <c r="D257" s="262" t="s">
        <v>2677</v>
      </c>
      <c r="E257" s="263">
        <v>6</v>
      </c>
      <c r="F257" s="262" t="s">
        <v>2373</v>
      </c>
      <c r="G257" s="262" t="s">
        <v>2596</v>
      </c>
      <c r="H257" s="395"/>
    </row>
    <row r="258" spans="1:8" ht="14.55" hidden="1" customHeight="1" x14ac:dyDescent="0.3">
      <c r="A258" s="262" t="s">
        <v>2413</v>
      </c>
      <c r="B258" s="262" t="s">
        <v>2370</v>
      </c>
      <c r="C258" s="262" t="s">
        <v>2371</v>
      </c>
      <c r="D258" s="262" t="s">
        <v>2678</v>
      </c>
      <c r="E258" s="263">
        <v>8</v>
      </c>
      <c r="F258" s="262" t="s">
        <v>2419</v>
      </c>
      <c r="G258" s="262" t="s">
        <v>2420</v>
      </c>
      <c r="H258" s="395"/>
    </row>
    <row r="259" spans="1:8" ht="14.55" hidden="1" customHeight="1" x14ac:dyDescent="0.3">
      <c r="A259" s="262" t="s">
        <v>2413</v>
      </c>
      <c r="B259" s="262" t="s">
        <v>2380</v>
      </c>
      <c r="C259" s="262" t="s">
        <v>2371</v>
      </c>
      <c r="D259" s="262" t="s">
        <v>2679</v>
      </c>
      <c r="E259" s="263">
        <v>8</v>
      </c>
      <c r="F259" s="262" t="s">
        <v>2419</v>
      </c>
      <c r="G259" s="262" t="s">
        <v>2420</v>
      </c>
      <c r="H259" s="395"/>
    </row>
    <row r="260" spans="1:8" x14ac:dyDescent="0.3">
      <c r="A260" s="264" t="s">
        <v>2413</v>
      </c>
      <c r="B260" s="264" t="s">
        <v>2370</v>
      </c>
      <c r="C260" s="264" t="s">
        <v>2371</v>
      </c>
      <c r="D260" s="264" t="s">
        <v>2680</v>
      </c>
      <c r="E260" s="265">
        <v>6</v>
      </c>
      <c r="F260" s="264" t="s">
        <v>2379</v>
      </c>
      <c r="G260" s="264" t="s">
        <v>2402</v>
      </c>
      <c r="H260" s="396"/>
    </row>
    <row r="261" spans="1:8" ht="14.55" hidden="1" customHeight="1" x14ac:dyDescent="0.3">
      <c r="A261" s="262" t="s">
        <v>2413</v>
      </c>
      <c r="B261" s="262" t="s">
        <v>2380</v>
      </c>
      <c r="C261" s="262" t="s">
        <v>2371</v>
      </c>
      <c r="D261" s="262" t="s">
        <v>2681</v>
      </c>
      <c r="E261" s="263">
        <v>6</v>
      </c>
      <c r="F261" s="262" t="s">
        <v>2373</v>
      </c>
      <c r="G261" s="262" t="s">
        <v>2392</v>
      </c>
      <c r="H261" s="395"/>
    </row>
    <row r="262" spans="1:8" ht="14.55" hidden="1" customHeight="1" x14ac:dyDescent="0.3">
      <c r="A262" s="262" t="s">
        <v>2413</v>
      </c>
      <c r="B262" s="262" t="s">
        <v>2380</v>
      </c>
      <c r="C262" s="262" t="s">
        <v>2371</v>
      </c>
      <c r="D262" s="262" t="s">
        <v>2682</v>
      </c>
      <c r="E262" s="263">
        <v>8</v>
      </c>
      <c r="F262" s="262" t="s">
        <v>2419</v>
      </c>
      <c r="G262" s="262" t="s">
        <v>2432</v>
      </c>
      <c r="H262" s="395"/>
    </row>
    <row r="263" spans="1:8" ht="14.55" hidden="1" customHeight="1" x14ac:dyDescent="0.3">
      <c r="A263" s="262" t="s">
        <v>2413</v>
      </c>
      <c r="B263" s="262" t="s">
        <v>2370</v>
      </c>
      <c r="C263" s="262" t="s">
        <v>2371</v>
      </c>
      <c r="D263" s="262" t="s">
        <v>2683</v>
      </c>
      <c r="E263" s="263">
        <v>8</v>
      </c>
      <c r="F263" s="262" t="s">
        <v>2419</v>
      </c>
      <c r="G263" s="262" t="s">
        <v>2420</v>
      </c>
      <c r="H263" s="395"/>
    </row>
    <row r="264" spans="1:8" ht="14.55" hidden="1" customHeight="1" x14ac:dyDescent="0.3">
      <c r="A264" s="262" t="s">
        <v>2413</v>
      </c>
      <c r="B264" s="262" t="s">
        <v>2380</v>
      </c>
      <c r="C264" s="262" t="s">
        <v>2371</v>
      </c>
      <c r="D264" s="262" t="s">
        <v>2684</v>
      </c>
      <c r="E264" s="263">
        <v>6</v>
      </c>
      <c r="F264" s="262" t="s">
        <v>2376</v>
      </c>
      <c r="G264" s="262" t="s">
        <v>2377</v>
      </c>
      <c r="H264" s="395"/>
    </row>
    <row r="265" spans="1:8" ht="14.55" hidden="1" customHeight="1" x14ac:dyDescent="0.3">
      <c r="A265" s="262" t="s">
        <v>2413</v>
      </c>
      <c r="B265" s="262" t="s">
        <v>2380</v>
      </c>
      <c r="C265" s="262" t="s">
        <v>2371</v>
      </c>
      <c r="D265" s="262" t="s">
        <v>2685</v>
      </c>
      <c r="E265" s="263">
        <v>6</v>
      </c>
      <c r="F265" s="262" t="s">
        <v>2419</v>
      </c>
      <c r="G265" s="262" t="s">
        <v>2480</v>
      </c>
      <c r="H265" s="395"/>
    </row>
    <row r="266" spans="1:8" ht="14.55" hidden="1" customHeight="1" x14ac:dyDescent="0.3">
      <c r="A266" s="262" t="s">
        <v>2413</v>
      </c>
      <c r="B266" s="262" t="s">
        <v>2370</v>
      </c>
      <c r="C266" s="262" t="s">
        <v>2371</v>
      </c>
      <c r="D266" s="262" t="s">
        <v>2686</v>
      </c>
      <c r="E266" s="263">
        <v>6</v>
      </c>
      <c r="F266" s="262" t="s">
        <v>2389</v>
      </c>
      <c r="G266" s="262" t="s">
        <v>2428</v>
      </c>
      <c r="H266" s="395"/>
    </row>
    <row r="267" spans="1:8" ht="14.55" hidden="1" customHeight="1" x14ac:dyDescent="0.3">
      <c r="A267" s="262" t="s">
        <v>2413</v>
      </c>
      <c r="B267" s="262" t="s">
        <v>2380</v>
      </c>
      <c r="C267" s="262" t="s">
        <v>2371</v>
      </c>
      <c r="D267" s="262" t="s">
        <v>2687</v>
      </c>
      <c r="E267" s="263">
        <v>8</v>
      </c>
      <c r="F267" s="262" t="s">
        <v>2419</v>
      </c>
      <c r="G267" s="262" t="s">
        <v>2432</v>
      </c>
      <c r="H267" s="395"/>
    </row>
    <row r="268" spans="1:8" ht="14.55" hidden="1" customHeight="1" x14ac:dyDescent="0.3">
      <c r="A268" s="262" t="s">
        <v>2413</v>
      </c>
      <c r="B268" s="262" t="s">
        <v>2370</v>
      </c>
      <c r="C268" s="262" t="s">
        <v>2371</v>
      </c>
      <c r="D268" s="262" t="s">
        <v>2688</v>
      </c>
      <c r="E268" s="263">
        <v>6</v>
      </c>
      <c r="F268" s="262" t="s">
        <v>2379</v>
      </c>
      <c r="G268" s="262" t="s">
        <v>2470</v>
      </c>
      <c r="H268" s="395"/>
    </row>
    <row r="269" spans="1:8" x14ac:dyDescent="0.3">
      <c r="A269" s="264" t="s">
        <v>2413</v>
      </c>
      <c r="B269" s="264" t="s">
        <v>2370</v>
      </c>
      <c r="C269" s="264" t="s">
        <v>2371</v>
      </c>
      <c r="D269" s="264" t="s">
        <v>2689</v>
      </c>
      <c r="E269" s="265">
        <v>4</v>
      </c>
      <c r="F269" s="264" t="s">
        <v>2379</v>
      </c>
      <c r="G269" s="264" t="s">
        <v>2402</v>
      </c>
      <c r="H269" s="396"/>
    </row>
    <row r="270" spans="1:8" x14ac:dyDescent="0.3">
      <c r="A270" s="264" t="s">
        <v>2413</v>
      </c>
      <c r="B270" s="264" t="s">
        <v>2370</v>
      </c>
      <c r="C270" s="264" t="s">
        <v>2371</v>
      </c>
      <c r="D270" s="264" t="s">
        <v>2690</v>
      </c>
      <c r="E270" s="265">
        <v>8</v>
      </c>
      <c r="F270" s="264" t="s">
        <v>2379</v>
      </c>
      <c r="G270" s="264" t="s">
        <v>2402</v>
      </c>
      <c r="H270" s="396"/>
    </row>
    <row r="271" spans="1:8" ht="14.55" hidden="1" customHeight="1" x14ac:dyDescent="0.3">
      <c r="A271" s="262" t="s">
        <v>2413</v>
      </c>
      <c r="B271" s="262" t="s">
        <v>2370</v>
      </c>
      <c r="C271" s="262" t="s">
        <v>2371</v>
      </c>
      <c r="D271" s="262" t="s">
        <v>2691</v>
      </c>
      <c r="E271" s="263">
        <v>8</v>
      </c>
      <c r="F271" s="262" t="s">
        <v>2389</v>
      </c>
      <c r="G271" s="262" t="s">
        <v>2631</v>
      </c>
      <c r="H271" s="395"/>
    </row>
    <row r="272" spans="1:8" ht="14.55" hidden="1" customHeight="1" x14ac:dyDescent="0.3">
      <c r="A272" s="262" t="s">
        <v>2413</v>
      </c>
      <c r="B272" s="262" t="s">
        <v>2380</v>
      </c>
      <c r="C272" s="262" t="s">
        <v>2371</v>
      </c>
      <c r="D272" s="262" t="s">
        <v>2692</v>
      </c>
      <c r="E272" s="263">
        <v>6</v>
      </c>
      <c r="F272" s="262" t="s">
        <v>2419</v>
      </c>
      <c r="G272" s="262" t="s">
        <v>2480</v>
      </c>
      <c r="H272" s="395"/>
    </row>
    <row r="273" spans="1:8" ht="14.55" hidden="1" customHeight="1" x14ac:dyDescent="0.3">
      <c r="A273" s="262" t="s">
        <v>2413</v>
      </c>
      <c r="B273" s="262" t="s">
        <v>2380</v>
      </c>
      <c r="C273" s="262" t="s">
        <v>2371</v>
      </c>
      <c r="D273" s="262" t="s">
        <v>2693</v>
      </c>
      <c r="E273" s="263">
        <v>8</v>
      </c>
      <c r="F273" s="262" t="s">
        <v>2379</v>
      </c>
      <c r="G273" s="262" t="s">
        <v>2396</v>
      </c>
      <c r="H273" s="395"/>
    </row>
    <row r="274" spans="1:8" ht="14.55" hidden="1" customHeight="1" x14ac:dyDescent="0.3">
      <c r="A274" s="262" t="s">
        <v>2413</v>
      </c>
      <c r="B274" s="262" t="s">
        <v>2380</v>
      </c>
      <c r="C274" s="262" t="s">
        <v>2371</v>
      </c>
      <c r="D274" s="262" t="s">
        <v>2694</v>
      </c>
      <c r="E274" s="263">
        <v>8</v>
      </c>
      <c r="F274" s="262" t="s">
        <v>2419</v>
      </c>
      <c r="G274" s="262" t="s">
        <v>2488</v>
      </c>
      <c r="H274" s="395"/>
    </row>
    <row r="275" spans="1:8" ht="14.55" hidden="1" customHeight="1" x14ac:dyDescent="0.3">
      <c r="A275" s="262" t="s">
        <v>2413</v>
      </c>
      <c r="B275" s="262" t="s">
        <v>2370</v>
      </c>
      <c r="C275" s="262" t="s">
        <v>2371</v>
      </c>
      <c r="D275" s="262" t="s">
        <v>2695</v>
      </c>
      <c r="E275" s="263">
        <v>8</v>
      </c>
      <c r="F275" s="262" t="s">
        <v>2376</v>
      </c>
      <c r="G275" s="262" t="s">
        <v>2406</v>
      </c>
      <c r="H275" s="395"/>
    </row>
    <row r="276" spans="1:8" ht="14.55" hidden="1" customHeight="1" x14ac:dyDescent="0.3">
      <c r="A276" s="262" t="s">
        <v>2413</v>
      </c>
      <c r="B276" s="262" t="s">
        <v>2380</v>
      </c>
      <c r="C276" s="262" t="s">
        <v>2371</v>
      </c>
      <c r="D276" s="262" t="s">
        <v>2696</v>
      </c>
      <c r="E276" s="263">
        <v>6</v>
      </c>
      <c r="F276" s="262" t="s">
        <v>2379</v>
      </c>
      <c r="G276" s="262" t="s">
        <v>2396</v>
      </c>
      <c r="H276" s="395"/>
    </row>
    <row r="277" spans="1:8" ht="14.55" hidden="1" customHeight="1" x14ac:dyDescent="0.3">
      <c r="A277" s="262" t="s">
        <v>2413</v>
      </c>
      <c r="B277" s="262" t="s">
        <v>2380</v>
      </c>
      <c r="C277" s="262" t="s">
        <v>2371</v>
      </c>
      <c r="D277" s="262" t="s">
        <v>2697</v>
      </c>
      <c r="E277" s="263">
        <v>6</v>
      </c>
      <c r="F277" s="262" t="s">
        <v>2389</v>
      </c>
      <c r="G277" s="262" t="s">
        <v>2631</v>
      </c>
      <c r="H277" s="395"/>
    </row>
    <row r="278" spans="1:8" ht="14.55" hidden="1" customHeight="1" x14ac:dyDescent="0.3">
      <c r="A278" s="262" t="s">
        <v>2413</v>
      </c>
      <c r="B278" s="262" t="s">
        <v>2370</v>
      </c>
      <c r="C278" s="262" t="s">
        <v>2371</v>
      </c>
      <c r="D278" s="262" t="s">
        <v>2698</v>
      </c>
      <c r="E278" s="263">
        <v>6</v>
      </c>
      <c r="F278" s="262" t="s">
        <v>2389</v>
      </c>
      <c r="G278" s="262" t="s">
        <v>2408</v>
      </c>
      <c r="H278" s="395"/>
    </row>
    <row r="279" spans="1:8" ht="14.55" hidden="1" customHeight="1" x14ac:dyDescent="0.3">
      <c r="A279" s="262" t="s">
        <v>2413</v>
      </c>
      <c r="B279" s="262" t="s">
        <v>2370</v>
      </c>
      <c r="C279" s="262" t="s">
        <v>2371</v>
      </c>
      <c r="D279" s="262" t="s">
        <v>2699</v>
      </c>
      <c r="E279" s="263">
        <v>8</v>
      </c>
      <c r="F279" s="262" t="s">
        <v>2419</v>
      </c>
      <c r="G279" s="262" t="s">
        <v>2700</v>
      </c>
      <c r="H279" s="395"/>
    </row>
    <row r="280" spans="1:8" ht="14.55" hidden="1" customHeight="1" x14ac:dyDescent="0.3">
      <c r="A280" s="262" t="s">
        <v>2413</v>
      </c>
      <c r="B280" s="262" t="s">
        <v>2370</v>
      </c>
      <c r="C280" s="262" t="s">
        <v>2371</v>
      </c>
      <c r="D280" s="262" t="s">
        <v>2701</v>
      </c>
      <c r="E280" s="263">
        <v>8</v>
      </c>
      <c r="F280" s="262" t="s">
        <v>2373</v>
      </c>
      <c r="G280" s="262" t="s">
        <v>2374</v>
      </c>
      <c r="H280" s="395"/>
    </row>
    <row r="281" spans="1:8" ht="14.55" hidden="1" customHeight="1" x14ac:dyDescent="0.3">
      <c r="A281" s="262" t="s">
        <v>2413</v>
      </c>
      <c r="B281" s="262" t="s">
        <v>2380</v>
      </c>
      <c r="C281" s="262" t="s">
        <v>2371</v>
      </c>
      <c r="D281" s="262" t="s">
        <v>2702</v>
      </c>
      <c r="E281" s="263">
        <v>8</v>
      </c>
      <c r="F281" s="262" t="s">
        <v>2376</v>
      </c>
      <c r="G281" s="262" t="s">
        <v>2394</v>
      </c>
      <c r="H281" s="395"/>
    </row>
    <row r="282" spans="1:8" ht="14.55" hidden="1" customHeight="1" x14ac:dyDescent="0.3">
      <c r="A282" s="262" t="s">
        <v>2413</v>
      </c>
      <c r="B282" s="262" t="s">
        <v>2370</v>
      </c>
      <c r="C282" s="262" t="s">
        <v>2371</v>
      </c>
      <c r="D282" s="262" t="s">
        <v>2703</v>
      </c>
      <c r="E282" s="263">
        <v>6</v>
      </c>
      <c r="F282" s="262" t="s">
        <v>2373</v>
      </c>
      <c r="G282" s="262" t="s">
        <v>2392</v>
      </c>
      <c r="H282" s="395"/>
    </row>
    <row r="283" spans="1:8" ht="14.55" hidden="1" customHeight="1" x14ac:dyDescent="0.3">
      <c r="A283" s="262" t="s">
        <v>2413</v>
      </c>
      <c r="B283" s="262" t="s">
        <v>2380</v>
      </c>
      <c r="C283" s="262" t="s">
        <v>2371</v>
      </c>
      <c r="D283" s="262" t="s">
        <v>2704</v>
      </c>
      <c r="E283" s="263">
        <v>8</v>
      </c>
      <c r="F283" s="262" t="s">
        <v>2379</v>
      </c>
      <c r="G283" s="262" t="s">
        <v>2544</v>
      </c>
      <c r="H283" s="395"/>
    </row>
    <row r="284" spans="1:8" ht="14.55" hidden="1" customHeight="1" x14ac:dyDescent="0.3">
      <c r="A284" s="262" t="s">
        <v>2413</v>
      </c>
      <c r="B284" s="262" t="s">
        <v>2380</v>
      </c>
      <c r="C284" s="262" t="s">
        <v>2371</v>
      </c>
      <c r="D284" s="262" t="s">
        <v>2705</v>
      </c>
      <c r="E284" s="263">
        <v>6</v>
      </c>
      <c r="F284" s="262" t="s">
        <v>2379</v>
      </c>
      <c r="G284" s="262" t="s">
        <v>2544</v>
      </c>
      <c r="H284" s="395"/>
    </row>
    <row r="285" spans="1:8" ht="14.55" hidden="1" customHeight="1" x14ac:dyDescent="0.3">
      <c r="A285" s="262" t="s">
        <v>2413</v>
      </c>
      <c r="B285" s="262" t="s">
        <v>2370</v>
      </c>
      <c r="C285" s="262" t="s">
        <v>2371</v>
      </c>
      <c r="D285" s="262" t="s">
        <v>2706</v>
      </c>
      <c r="E285" s="263">
        <v>6</v>
      </c>
      <c r="F285" s="262" t="s">
        <v>2419</v>
      </c>
      <c r="G285" s="262" t="s">
        <v>2432</v>
      </c>
      <c r="H285" s="395"/>
    </row>
    <row r="286" spans="1:8" ht="14.55" hidden="1" customHeight="1" x14ac:dyDescent="0.3">
      <c r="A286" s="262" t="s">
        <v>2413</v>
      </c>
      <c r="B286" s="262" t="s">
        <v>2370</v>
      </c>
      <c r="C286" s="262" t="s">
        <v>2371</v>
      </c>
      <c r="D286" s="262" t="s">
        <v>2707</v>
      </c>
      <c r="E286" s="263">
        <v>6</v>
      </c>
      <c r="F286" s="262" t="s">
        <v>2373</v>
      </c>
      <c r="G286" s="262" t="s">
        <v>2374</v>
      </c>
      <c r="H286" s="395"/>
    </row>
    <row r="287" spans="1:8" ht="14.55" hidden="1" customHeight="1" x14ac:dyDescent="0.3">
      <c r="A287" s="262" t="s">
        <v>2413</v>
      </c>
      <c r="B287" s="262" t="s">
        <v>2370</v>
      </c>
      <c r="C287" s="262" t="s">
        <v>2371</v>
      </c>
      <c r="D287" s="262" t="s">
        <v>2708</v>
      </c>
      <c r="E287" s="263">
        <v>6</v>
      </c>
      <c r="F287" s="262" t="s">
        <v>2379</v>
      </c>
      <c r="G287" s="262" t="s">
        <v>2396</v>
      </c>
      <c r="H287" s="395"/>
    </row>
    <row r="288" spans="1:8" ht="14.55" hidden="1" customHeight="1" x14ac:dyDescent="0.3">
      <c r="A288" s="262" t="s">
        <v>2413</v>
      </c>
      <c r="B288" s="262" t="s">
        <v>2370</v>
      </c>
      <c r="C288" s="262" t="s">
        <v>2371</v>
      </c>
      <c r="D288" s="262" t="s">
        <v>2709</v>
      </c>
      <c r="E288" s="263">
        <v>4</v>
      </c>
      <c r="F288" s="262" t="s">
        <v>2373</v>
      </c>
      <c r="G288" s="262" t="s">
        <v>2374</v>
      </c>
      <c r="H288" s="395"/>
    </row>
    <row r="289" spans="1:8" ht="14.55" hidden="1" customHeight="1" x14ac:dyDescent="0.3">
      <c r="A289" s="262" t="s">
        <v>2413</v>
      </c>
      <c r="B289" s="262" t="s">
        <v>2380</v>
      </c>
      <c r="C289" s="262" t="s">
        <v>2371</v>
      </c>
      <c r="D289" s="262" t="s">
        <v>2710</v>
      </c>
      <c r="E289" s="263">
        <v>8</v>
      </c>
      <c r="F289" s="262" t="s">
        <v>2379</v>
      </c>
      <c r="G289" s="262" t="s">
        <v>2584</v>
      </c>
      <c r="H289" s="395"/>
    </row>
    <row r="290" spans="1:8" ht="14.55" hidden="1" customHeight="1" x14ac:dyDescent="0.3">
      <c r="A290" s="262" t="s">
        <v>2413</v>
      </c>
      <c r="B290" s="262" t="s">
        <v>2380</v>
      </c>
      <c r="C290" s="262" t="s">
        <v>2371</v>
      </c>
      <c r="D290" s="262" t="s">
        <v>2711</v>
      </c>
      <c r="E290" s="263">
        <v>8</v>
      </c>
      <c r="F290" s="262" t="s">
        <v>2376</v>
      </c>
      <c r="G290" s="262" t="s">
        <v>2394</v>
      </c>
      <c r="H290" s="395"/>
    </row>
    <row r="291" spans="1:8" ht="14.55" hidden="1" customHeight="1" x14ac:dyDescent="0.3">
      <c r="A291" s="262" t="s">
        <v>2413</v>
      </c>
      <c r="B291" s="262" t="s">
        <v>2370</v>
      </c>
      <c r="C291" s="262" t="s">
        <v>2371</v>
      </c>
      <c r="D291" s="262" t="s">
        <v>2712</v>
      </c>
      <c r="E291" s="263">
        <v>8</v>
      </c>
      <c r="F291" s="262" t="s">
        <v>2376</v>
      </c>
      <c r="G291" s="262" t="s">
        <v>2406</v>
      </c>
      <c r="H291" s="395"/>
    </row>
    <row r="292" spans="1:8" ht="14.55" hidden="1" customHeight="1" x14ac:dyDescent="0.3">
      <c r="A292" s="262" t="s">
        <v>2413</v>
      </c>
      <c r="B292" s="262" t="s">
        <v>2370</v>
      </c>
      <c r="C292" s="262" t="s">
        <v>2371</v>
      </c>
      <c r="D292" s="262" t="s">
        <v>2713</v>
      </c>
      <c r="E292" s="263">
        <v>4</v>
      </c>
      <c r="F292" s="262" t="s">
        <v>2379</v>
      </c>
      <c r="G292" s="262" t="s">
        <v>2396</v>
      </c>
      <c r="H292" s="395"/>
    </row>
    <row r="293" spans="1:8" ht="14.55" hidden="1" customHeight="1" x14ac:dyDescent="0.3">
      <c r="A293" s="262" t="s">
        <v>2413</v>
      </c>
      <c r="B293" s="262" t="s">
        <v>2380</v>
      </c>
      <c r="C293" s="262" t="s">
        <v>2371</v>
      </c>
      <c r="D293" s="262" t="s">
        <v>2714</v>
      </c>
      <c r="E293" s="263">
        <v>8</v>
      </c>
      <c r="F293" s="262" t="s">
        <v>2373</v>
      </c>
      <c r="G293" s="262" t="s">
        <v>2374</v>
      </c>
      <c r="H293" s="395"/>
    </row>
    <row r="294" spans="1:8" ht="14.55" hidden="1" customHeight="1" x14ac:dyDescent="0.3">
      <c r="A294" s="262" t="s">
        <v>2413</v>
      </c>
      <c r="B294" s="262" t="s">
        <v>2370</v>
      </c>
      <c r="C294" s="262" t="s">
        <v>2371</v>
      </c>
      <c r="D294" s="262" t="s">
        <v>2715</v>
      </c>
      <c r="E294" s="263">
        <v>6</v>
      </c>
      <c r="F294" s="262" t="s">
        <v>2376</v>
      </c>
      <c r="G294" s="262" t="s">
        <v>2406</v>
      </c>
      <c r="H294" s="395"/>
    </row>
    <row r="295" spans="1:8" ht="14.55" hidden="1" customHeight="1" x14ac:dyDescent="0.3">
      <c r="A295" s="262" t="s">
        <v>2413</v>
      </c>
      <c r="B295" s="262" t="s">
        <v>2380</v>
      </c>
      <c r="C295" s="262" t="s">
        <v>2371</v>
      </c>
      <c r="D295" s="262" t="s">
        <v>2716</v>
      </c>
      <c r="E295" s="263">
        <v>6</v>
      </c>
      <c r="F295" s="262" t="s">
        <v>2373</v>
      </c>
      <c r="G295" s="262" t="s">
        <v>2453</v>
      </c>
      <c r="H295" s="395"/>
    </row>
    <row r="296" spans="1:8" ht="14.55" hidden="1" customHeight="1" x14ac:dyDescent="0.3">
      <c r="A296" s="262" t="s">
        <v>2413</v>
      </c>
      <c r="B296" s="262" t="s">
        <v>2370</v>
      </c>
      <c r="C296" s="262" t="s">
        <v>2371</v>
      </c>
      <c r="D296" s="262" t="s">
        <v>2717</v>
      </c>
      <c r="E296" s="263">
        <v>6</v>
      </c>
      <c r="F296" s="262" t="s">
        <v>2373</v>
      </c>
      <c r="G296" s="262" t="s">
        <v>2374</v>
      </c>
      <c r="H296" s="395"/>
    </row>
    <row r="297" spans="1:8" ht="14.55" hidden="1" customHeight="1" x14ac:dyDescent="0.3">
      <c r="A297" s="262" t="s">
        <v>2413</v>
      </c>
      <c r="B297" s="262" t="s">
        <v>2370</v>
      </c>
      <c r="C297" s="262" t="s">
        <v>2371</v>
      </c>
      <c r="D297" s="262" t="s">
        <v>2718</v>
      </c>
      <c r="E297" s="263">
        <v>6</v>
      </c>
      <c r="F297" s="262" t="s">
        <v>2373</v>
      </c>
      <c r="G297" s="262" t="s">
        <v>2719</v>
      </c>
      <c r="H297" s="395"/>
    </row>
    <row r="298" spans="1:8" ht="14.55" hidden="1" customHeight="1" x14ac:dyDescent="0.3">
      <c r="A298" s="262" t="s">
        <v>2413</v>
      </c>
      <c r="B298" s="262" t="s">
        <v>2370</v>
      </c>
      <c r="C298" s="262" t="s">
        <v>2371</v>
      </c>
      <c r="D298" s="262" t="s">
        <v>2720</v>
      </c>
      <c r="E298" s="263">
        <v>6</v>
      </c>
      <c r="F298" s="262" t="s">
        <v>2376</v>
      </c>
      <c r="G298" s="262" t="s">
        <v>2377</v>
      </c>
      <c r="H298" s="395"/>
    </row>
    <row r="299" spans="1:8" ht="14.55" hidden="1" customHeight="1" x14ac:dyDescent="0.3">
      <c r="A299" s="262" t="s">
        <v>2413</v>
      </c>
      <c r="B299" s="262" t="s">
        <v>2380</v>
      </c>
      <c r="C299" s="262" t="s">
        <v>2371</v>
      </c>
      <c r="D299" s="262" t="s">
        <v>2721</v>
      </c>
      <c r="E299" s="263">
        <v>6</v>
      </c>
      <c r="F299" s="262" t="s">
        <v>2419</v>
      </c>
      <c r="G299" s="262" t="s">
        <v>2480</v>
      </c>
      <c r="H299" s="395"/>
    </row>
    <row r="300" spans="1:8" ht="14.55" hidden="1" customHeight="1" x14ac:dyDescent="0.3">
      <c r="A300" s="262" t="s">
        <v>2413</v>
      </c>
      <c r="B300" s="262" t="s">
        <v>2370</v>
      </c>
      <c r="C300" s="262" t="s">
        <v>2371</v>
      </c>
      <c r="D300" s="262" t="s">
        <v>2722</v>
      </c>
      <c r="E300" s="263">
        <v>6</v>
      </c>
      <c r="F300" s="262" t="s">
        <v>2373</v>
      </c>
      <c r="G300" s="262" t="s">
        <v>2723</v>
      </c>
      <c r="H300" s="395"/>
    </row>
    <row r="301" spans="1:8" ht="14.55" hidden="1" customHeight="1" x14ac:dyDescent="0.3">
      <c r="A301" s="262" t="s">
        <v>2413</v>
      </c>
      <c r="B301" s="262" t="s">
        <v>2380</v>
      </c>
      <c r="C301" s="262" t="s">
        <v>2371</v>
      </c>
      <c r="D301" s="262" t="s">
        <v>2724</v>
      </c>
      <c r="E301" s="263">
        <v>8</v>
      </c>
      <c r="F301" s="262" t="s">
        <v>2389</v>
      </c>
      <c r="G301" s="262" t="s">
        <v>2408</v>
      </c>
      <c r="H301" s="395"/>
    </row>
    <row r="302" spans="1:8" ht="14.55" hidden="1" customHeight="1" x14ac:dyDescent="0.3">
      <c r="A302" s="262" t="s">
        <v>2413</v>
      </c>
      <c r="B302" s="262" t="s">
        <v>2370</v>
      </c>
      <c r="C302" s="262" t="s">
        <v>2371</v>
      </c>
      <c r="D302" s="262" t="s">
        <v>2725</v>
      </c>
      <c r="E302" s="263">
        <v>6</v>
      </c>
      <c r="F302" s="262" t="s">
        <v>2376</v>
      </c>
      <c r="G302" s="262" t="s">
        <v>2394</v>
      </c>
      <c r="H302" s="395"/>
    </row>
    <row r="303" spans="1:8" ht="14.55" hidden="1" customHeight="1" x14ac:dyDescent="0.3">
      <c r="A303" s="262" t="s">
        <v>2413</v>
      </c>
      <c r="B303" s="262" t="s">
        <v>2370</v>
      </c>
      <c r="C303" s="262" t="s">
        <v>2371</v>
      </c>
      <c r="D303" s="262" t="s">
        <v>2726</v>
      </c>
      <c r="E303" s="263">
        <v>8</v>
      </c>
      <c r="F303" s="262" t="s">
        <v>2376</v>
      </c>
      <c r="G303" s="262" t="s">
        <v>2406</v>
      </c>
      <c r="H303" s="395"/>
    </row>
    <row r="304" spans="1:8" ht="14.55" hidden="1" customHeight="1" x14ac:dyDescent="0.3">
      <c r="A304" s="262" t="s">
        <v>2413</v>
      </c>
      <c r="B304" s="262" t="s">
        <v>2370</v>
      </c>
      <c r="C304" s="262" t="s">
        <v>2371</v>
      </c>
      <c r="D304" s="262" t="s">
        <v>2727</v>
      </c>
      <c r="E304" s="263">
        <v>6</v>
      </c>
      <c r="F304" s="262" t="s">
        <v>2419</v>
      </c>
      <c r="G304" s="262" t="s">
        <v>2432</v>
      </c>
      <c r="H304" s="395"/>
    </row>
    <row r="305" spans="1:8" ht="14.55" hidden="1" customHeight="1" x14ac:dyDescent="0.3">
      <c r="A305" s="262" t="s">
        <v>2413</v>
      </c>
      <c r="B305" s="262" t="s">
        <v>2370</v>
      </c>
      <c r="C305" s="262" t="s">
        <v>2371</v>
      </c>
      <c r="D305" s="262" t="s">
        <v>2728</v>
      </c>
      <c r="E305" s="263">
        <v>6</v>
      </c>
      <c r="F305" s="262" t="s">
        <v>2379</v>
      </c>
      <c r="G305" s="262" t="s">
        <v>2383</v>
      </c>
      <c r="H305" s="395"/>
    </row>
    <row r="306" spans="1:8" ht="14.55" hidden="1" customHeight="1" x14ac:dyDescent="0.3">
      <c r="A306" s="262" t="s">
        <v>2413</v>
      </c>
      <c r="B306" s="262" t="s">
        <v>2370</v>
      </c>
      <c r="C306" s="262" t="s">
        <v>2371</v>
      </c>
      <c r="D306" s="262" t="s">
        <v>2729</v>
      </c>
      <c r="E306" s="263">
        <v>4</v>
      </c>
      <c r="F306" s="262" t="s">
        <v>2373</v>
      </c>
      <c r="G306" s="262" t="s">
        <v>2374</v>
      </c>
      <c r="H306" s="395"/>
    </row>
    <row r="307" spans="1:8" ht="14.55" hidden="1" customHeight="1" x14ac:dyDescent="0.3">
      <c r="A307" s="262" t="s">
        <v>2413</v>
      </c>
      <c r="B307" s="262" t="s">
        <v>2370</v>
      </c>
      <c r="C307" s="262" t="s">
        <v>2371</v>
      </c>
      <c r="D307" s="262" t="s">
        <v>2730</v>
      </c>
      <c r="E307" s="263">
        <v>8</v>
      </c>
      <c r="F307" s="262" t="s">
        <v>2379</v>
      </c>
      <c r="G307" s="262" t="s">
        <v>2383</v>
      </c>
      <c r="H307" s="395"/>
    </row>
    <row r="308" spans="1:8" ht="14.55" hidden="1" customHeight="1" x14ac:dyDescent="0.3">
      <c r="A308" s="262" t="s">
        <v>2413</v>
      </c>
      <c r="B308" s="262" t="s">
        <v>2380</v>
      </c>
      <c r="C308" s="262" t="s">
        <v>2371</v>
      </c>
      <c r="D308" s="262" t="s">
        <v>2731</v>
      </c>
      <c r="E308" s="263">
        <v>8</v>
      </c>
      <c r="F308" s="262" t="s">
        <v>2379</v>
      </c>
      <c r="G308" s="262" t="s">
        <v>2396</v>
      </c>
      <c r="H308" s="395"/>
    </row>
    <row r="309" spans="1:8" ht="14.55" hidden="1" customHeight="1" x14ac:dyDescent="0.3">
      <c r="A309" s="262" t="s">
        <v>2413</v>
      </c>
      <c r="B309" s="262" t="s">
        <v>2370</v>
      </c>
      <c r="C309" s="262" t="s">
        <v>2371</v>
      </c>
      <c r="D309" s="262" t="s">
        <v>2732</v>
      </c>
      <c r="E309" s="263">
        <v>4</v>
      </c>
      <c r="F309" s="262" t="s">
        <v>2373</v>
      </c>
      <c r="G309" s="262" t="s">
        <v>2374</v>
      </c>
      <c r="H309" s="395"/>
    </row>
    <row r="310" spans="1:8" ht="14.55" hidden="1" customHeight="1" x14ac:dyDescent="0.3">
      <c r="A310" s="262" t="s">
        <v>2413</v>
      </c>
      <c r="B310" s="262" t="s">
        <v>2370</v>
      </c>
      <c r="C310" s="262" t="s">
        <v>2371</v>
      </c>
      <c r="D310" s="262" t="s">
        <v>2733</v>
      </c>
      <c r="E310" s="263">
        <v>8</v>
      </c>
      <c r="F310" s="262" t="s">
        <v>2419</v>
      </c>
      <c r="G310" s="262" t="s">
        <v>2420</v>
      </c>
      <c r="H310" s="395"/>
    </row>
    <row r="311" spans="1:8" ht="14.55" hidden="1" customHeight="1" x14ac:dyDescent="0.3">
      <c r="A311" s="262" t="s">
        <v>2413</v>
      </c>
      <c r="B311" s="262" t="s">
        <v>2380</v>
      </c>
      <c r="C311" s="262" t="s">
        <v>2371</v>
      </c>
      <c r="D311" s="262" t="s">
        <v>2734</v>
      </c>
      <c r="E311" s="263">
        <v>8</v>
      </c>
      <c r="F311" s="262" t="s">
        <v>2379</v>
      </c>
      <c r="G311" s="262" t="s">
        <v>2463</v>
      </c>
      <c r="H311" s="395"/>
    </row>
    <row r="312" spans="1:8" ht="14.55" hidden="1" customHeight="1" x14ac:dyDescent="0.3">
      <c r="A312" s="262" t="s">
        <v>2413</v>
      </c>
      <c r="B312" s="262" t="s">
        <v>2370</v>
      </c>
      <c r="C312" s="262" t="s">
        <v>2371</v>
      </c>
      <c r="D312" s="262" t="s">
        <v>2735</v>
      </c>
      <c r="E312" s="263">
        <v>4</v>
      </c>
      <c r="F312" s="262" t="s">
        <v>2389</v>
      </c>
      <c r="G312" s="262" t="s">
        <v>2631</v>
      </c>
      <c r="H312" s="395"/>
    </row>
    <row r="313" spans="1:8" ht="14.55" hidden="1" customHeight="1" x14ac:dyDescent="0.3">
      <c r="A313" s="262" t="s">
        <v>2413</v>
      </c>
      <c r="B313" s="262" t="s">
        <v>2370</v>
      </c>
      <c r="C313" s="262" t="s">
        <v>2371</v>
      </c>
      <c r="D313" s="262" t="s">
        <v>2736</v>
      </c>
      <c r="E313" s="263">
        <v>6</v>
      </c>
      <c r="F313" s="262" t="s">
        <v>2419</v>
      </c>
      <c r="G313" s="262" t="s">
        <v>2480</v>
      </c>
      <c r="H313" s="395"/>
    </row>
    <row r="314" spans="1:8" ht="14.55" hidden="1" customHeight="1" x14ac:dyDescent="0.3">
      <c r="A314" s="262" t="s">
        <v>2413</v>
      </c>
      <c r="B314" s="262" t="s">
        <v>2370</v>
      </c>
      <c r="C314" s="262" t="s">
        <v>2371</v>
      </c>
      <c r="D314" s="262" t="s">
        <v>2737</v>
      </c>
      <c r="E314" s="263">
        <v>6</v>
      </c>
      <c r="F314" s="262" t="s">
        <v>2376</v>
      </c>
      <c r="G314" s="262" t="s">
        <v>2406</v>
      </c>
      <c r="H314" s="395"/>
    </row>
    <row r="315" spans="1:8" ht="14.55" hidden="1" customHeight="1" x14ac:dyDescent="0.3">
      <c r="A315" s="262" t="s">
        <v>2413</v>
      </c>
      <c r="B315" s="262" t="s">
        <v>2370</v>
      </c>
      <c r="C315" s="262" t="s">
        <v>2371</v>
      </c>
      <c r="D315" s="262" t="s">
        <v>2738</v>
      </c>
      <c r="E315" s="263">
        <v>4</v>
      </c>
      <c r="F315" s="262" t="s">
        <v>2389</v>
      </c>
      <c r="G315" s="262" t="s">
        <v>2739</v>
      </c>
      <c r="H315" s="395"/>
    </row>
    <row r="316" spans="1:8" ht="14.55" hidden="1" customHeight="1" x14ac:dyDescent="0.3">
      <c r="A316" s="262" t="s">
        <v>2413</v>
      </c>
      <c r="B316" s="262" t="s">
        <v>2370</v>
      </c>
      <c r="C316" s="262" t="s">
        <v>2371</v>
      </c>
      <c r="D316" s="262" t="s">
        <v>2740</v>
      </c>
      <c r="E316" s="263">
        <v>4</v>
      </c>
      <c r="F316" s="262" t="s">
        <v>2379</v>
      </c>
      <c r="G316" s="262" t="s">
        <v>2396</v>
      </c>
      <c r="H316" s="395"/>
    </row>
    <row r="317" spans="1:8" ht="14.55" hidden="1" customHeight="1" x14ac:dyDescent="0.3">
      <c r="A317" s="262" t="s">
        <v>2413</v>
      </c>
      <c r="B317" s="262" t="s">
        <v>2370</v>
      </c>
      <c r="C317" s="262" t="s">
        <v>2371</v>
      </c>
      <c r="D317" s="262" t="s">
        <v>2741</v>
      </c>
      <c r="E317" s="263">
        <v>4</v>
      </c>
      <c r="F317" s="262" t="s">
        <v>2379</v>
      </c>
      <c r="G317" s="262" t="s">
        <v>2383</v>
      </c>
      <c r="H317" s="395"/>
    </row>
    <row r="318" spans="1:8" x14ac:dyDescent="0.3">
      <c r="A318" s="264" t="s">
        <v>2413</v>
      </c>
      <c r="B318" s="264" t="s">
        <v>2370</v>
      </c>
      <c r="C318" s="264" t="s">
        <v>2371</v>
      </c>
      <c r="D318" s="264" t="s">
        <v>2742</v>
      </c>
      <c r="E318" s="265">
        <v>6</v>
      </c>
      <c r="F318" s="264" t="s">
        <v>2379</v>
      </c>
      <c r="G318" s="264" t="s">
        <v>2402</v>
      </c>
      <c r="H318" s="396"/>
    </row>
    <row r="319" spans="1:8" ht="14.55" hidden="1" customHeight="1" x14ac:dyDescent="0.3">
      <c r="A319" s="262" t="s">
        <v>2413</v>
      </c>
      <c r="B319" s="262" t="s">
        <v>2380</v>
      </c>
      <c r="C319" s="262" t="s">
        <v>2371</v>
      </c>
      <c r="D319" s="262" t="s">
        <v>2743</v>
      </c>
      <c r="E319" s="263">
        <v>6</v>
      </c>
      <c r="F319" s="262" t="s">
        <v>2373</v>
      </c>
      <c r="G319" s="262" t="s">
        <v>2392</v>
      </c>
      <c r="H319" s="395"/>
    </row>
    <row r="320" spans="1:8" ht="14.55" hidden="1" customHeight="1" x14ac:dyDescent="0.3">
      <c r="A320" s="262" t="s">
        <v>2413</v>
      </c>
      <c r="B320" s="262" t="s">
        <v>2370</v>
      </c>
      <c r="C320" s="262" t="s">
        <v>2371</v>
      </c>
      <c r="D320" s="262" t="s">
        <v>2744</v>
      </c>
      <c r="E320" s="263">
        <v>6</v>
      </c>
      <c r="F320" s="262" t="s">
        <v>2373</v>
      </c>
      <c r="G320" s="262" t="s">
        <v>2596</v>
      </c>
      <c r="H320" s="395"/>
    </row>
    <row r="321" spans="1:8" ht="14.55" hidden="1" customHeight="1" x14ac:dyDescent="0.3">
      <c r="A321" s="262" t="s">
        <v>2413</v>
      </c>
      <c r="B321" s="262" t="s">
        <v>2380</v>
      </c>
      <c r="C321" s="262" t="s">
        <v>2371</v>
      </c>
      <c r="D321" s="262" t="s">
        <v>2745</v>
      </c>
      <c r="E321" s="263">
        <v>8</v>
      </c>
      <c r="F321" s="262" t="s">
        <v>2419</v>
      </c>
      <c r="G321" s="262" t="s">
        <v>2432</v>
      </c>
      <c r="H321" s="395"/>
    </row>
    <row r="322" spans="1:8" ht="14.55" hidden="1" customHeight="1" x14ac:dyDescent="0.3">
      <c r="A322" s="262" t="s">
        <v>2413</v>
      </c>
      <c r="B322" s="262" t="s">
        <v>2370</v>
      </c>
      <c r="C322" s="262" t="s">
        <v>2371</v>
      </c>
      <c r="D322" s="262" t="s">
        <v>2746</v>
      </c>
      <c r="E322" s="263">
        <v>6</v>
      </c>
      <c r="F322" s="262" t="s">
        <v>2373</v>
      </c>
      <c r="G322" s="262" t="s">
        <v>2392</v>
      </c>
      <c r="H322" s="395"/>
    </row>
    <row r="323" spans="1:8" ht="14.55" hidden="1" customHeight="1" x14ac:dyDescent="0.3">
      <c r="A323" s="262" t="s">
        <v>2413</v>
      </c>
      <c r="B323" s="262" t="s">
        <v>2370</v>
      </c>
      <c r="C323" s="262" t="s">
        <v>2371</v>
      </c>
      <c r="D323" s="262" t="s">
        <v>2747</v>
      </c>
      <c r="E323" s="263">
        <v>6</v>
      </c>
      <c r="F323" s="262" t="s">
        <v>2419</v>
      </c>
      <c r="G323" s="262" t="s">
        <v>2432</v>
      </c>
      <c r="H323" s="395"/>
    </row>
    <row r="324" spans="1:8" ht="14.55" hidden="1" customHeight="1" x14ac:dyDescent="0.3">
      <c r="A324" s="262" t="s">
        <v>2413</v>
      </c>
      <c r="B324" s="262" t="s">
        <v>2370</v>
      </c>
      <c r="C324" s="262" t="s">
        <v>2371</v>
      </c>
      <c r="D324" s="262" t="s">
        <v>2748</v>
      </c>
      <c r="E324" s="263">
        <v>6</v>
      </c>
      <c r="F324" s="262" t="s">
        <v>2419</v>
      </c>
      <c r="G324" s="262" t="s">
        <v>2488</v>
      </c>
      <c r="H324" s="395"/>
    </row>
    <row r="325" spans="1:8" ht="14.55" hidden="1" customHeight="1" x14ac:dyDescent="0.3">
      <c r="A325" s="262" t="s">
        <v>2413</v>
      </c>
      <c r="B325" s="262" t="s">
        <v>2380</v>
      </c>
      <c r="C325" s="262" t="s">
        <v>2371</v>
      </c>
      <c r="D325" s="262" t="s">
        <v>2749</v>
      </c>
      <c r="E325" s="263">
        <v>8</v>
      </c>
      <c r="F325" s="262" t="s">
        <v>2376</v>
      </c>
      <c r="G325" s="262" t="s">
        <v>2394</v>
      </c>
      <c r="H325" s="395"/>
    </row>
    <row r="326" spans="1:8" ht="14.55" hidden="1" customHeight="1" x14ac:dyDescent="0.3">
      <c r="A326" s="262" t="s">
        <v>2413</v>
      </c>
      <c r="B326" s="262" t="s">
        <v>2370</v>
      </c>
      <c r="C326" s="262" t="s">
        <v>2371</v>
      </c>
      <c r="D326" s="262" t="s">
        <v>2750</v>
      </c>
      <c r="E326" s="263">
        <v>6</v>
      </c>
      <c r="F326" s="262" t="s">
        <v>2373</v>
      </c>
      <c r="G326" s="262" t="s">
        <v>2374</v>
      </c>
      <c r="H326" s="395"/>
    </row>
    <row r="327" spans="1:8" ht="14.55" hidden="1" customHeight="1" x14ac:dyDescent="0.3">
      <c r="A327" s="262" t="s">
        <v>2413</v>
      </c>
      <c r="B327" s="262" t="s">
        <v>2370</v>
      </c>
      <c r="C327" s="262" t="s">
        <v>2371</v>
      </c>
      <c r="D327" s="262" t="s">
        <v>2751</v>
      </c>
      <c r="E327" s="263">
        <v>4</v>
      </c>
      <c r="F327" s="262" t="s">
        <v>2389</v>
      </c>
      <c r="G327" s="262" t="s">
        <v>2408</v>
      </c>
      <c r="H327" s="395"/>
    </row>
    <row r="328" spans="1:8" ht="14.55" hidden="1" customHeight="1" x14ac:dyDescent="0.3">
      <c r="A328" s="262" t="s">
        <v>2413</v>
      </c>
      <c r="B328" s="262" t="s">
        <v>2370</v>
      </c>
      <c r="C328" s="262" t="s">
        <v>2371</v>
      </c>
      <c r="D328" s="262" t="s">
        <v>2752</v>
      </c>
      <c r="E328" s="263">
        <v>6</v>
      </c>
      <c r="F328" s="262" t="s">
        <v>2419</v>
      </c>
      <c r="G328" s="262" t="s">
        <v>2488</v>
      </c>
      <c r="H328" s="395"/>
    </row>
    <row r="329" spans="1:8" ht="14.55" hidden="1" customHeight="1" x14ac:dyDescent="0.3">
      <c r="A329" s="262" t="s">
        <v>2413</v>
      </c>
      <c r="B329" s="262" t="s">
        <v>2370</v>
      </c>
      <c r="C329" s="262" t="s">
        <v>2371</v>
      </c>
      <c r="D329" s="262" t="s">
        <v>2753</v>
      </c>
      <c r="E329" s="263">
        <v>6</v>
      </c>
      <c r="F329" s="262" t="s">
        <v>2389</v>
      </c>
      <c r="G329" s="262" t="s">
        <v>2408</v>
      </c>
      <c r="H329" s="395"/>
    </row>
    <row r="330" spans="1:8" ht="14.55" hidden="1" customHeight="1" x14ac:dyDescent="0.3">
      <c r="A330" s="262" t="s">
        <v>2413</v>
      </c>
      <c r="B330" s="262" t="s">
        <v>2370</v>
      </c>
      <c r="C330" s="262" t="s">
        <v>2371</v>
      </c>
      <c r="D330" s="262" t="s">
        <v>2754</v>
      </c>
      <c r="E330" s="263">
        <v>6</v>
      </c>
      <c r="F330" s="262" t="s">
        <v>2379</v>
      </c>
      <c r="G330" s="262" t="s">
        <v>2396</v>
      </c>
      <c r="H330" s="395"/>
    </row>
    <row r="331" spans="1:8" ht="14.55" hidden="1" customHeight="1" x14ac:dyDescent="0.3">
      <c r="A331" s="262" t="s">
        <v>2413</v>
      </c>
      <c r="B331" s="262" t="s">
        <v>2380</v>
      </c>
      <c r="C331" s="262" t="s">
        <v>2371</v>
      </c>
      <c r="D331" s="262" t="s">
        <v>2755</v>
      </c>
      <c r="E331" s="263">
        <v>8</v>
      </c>
      <c r="F331" s="262" t="s">
        <v>2376</v>
      </c>
      <c r="G331" s="262" t="s">
        <v>2406</v>
      </c>
      <c r="H331" s="395"/>
    </row>
    <row r="332" spans="1:8" ht="14.55" hidden="1" customHeight="1" x14ac:dyDescent="0.3">
      <c r="A332" s="262" t="s">
        <v>2413</v>
      </c>
      <c r="B332" s="262" t="s">
        <v>2370</v>
      </c>
      <c r="C332" s="262" t="s">
        <v>2371</v>
      </c>
      <c r="D332" s="262" t="s">
        <v>2756</v>
      </c>
      <c r="E332" s="263">
        <v>6</v>
      </c>
      <c r="F332" s="262" t="s">
        <v>2389</v>
      </c>
      <c r="G332" s="262" t="s">
        <v>2428</v>
      </c>
      <c r="H332" s="395"/>
    </row>
    <row r="333" spans="1:8" ht="14.55" hidden="1" customHeight="1" x14ac:dyDescent="0.3">
      <c r="A333" s="262" t="s">
        <v>2413</v>
      </c>
      <c r="B333" s="262" t="s">
        <v>2370</v>
      </c>
      <c r="C333" s="262" t="s">
        <v>2371</v>
      </c>
      <c r="D333" s="262" t="s">
        <v>2757</v>
      </c>
      <c r="E333" s="263">
        <v>6</v>
      </c>
      <c r="F333" s="262" t="s">
        <v>2419</v>
      </c>
      <c r="G333" s="262" t="s">
        <v>2480</v>
      </c>
      <c r="H333" s="395"/>
    </row>
    <row r="334" spans="1:8" ht="14.55" hidden="1" customHeight="1" x14ac:dyDescent="0.3">
      <c r="A334" s="262" t="s">
        <v>2413</v>
      </c>
      <c r="B334" s="262" t="s">
        <v>2370</v>
      </c>
      <c r="C334" s="262" t="s">
        <v>2371</v>
      </c>
      <c r="D334" s="262" t="s">
        <v>2758</v>
      </c>
      <c r="E334" s="263">
        <v>8</v>
      </c>
      <c r="F334" s="262" t="s">
        <v>2376</v>
      </c>
      <c r="G334" s="262" t="s">
        <v>2377</v>
      </c>
      <c r="H334" s="395"/>
    </row>
    <row r="335" spans="1:8" ht="14.55" hidden="1" customHeight="1" x14ac:dyDescent="0.3">
      <c r="A335" s="262" t="s">
        <v>2759</v>
      </c>
      <c r="B335" s="262" t="s">
        <v>2370</v>
      </c>
      <c r="C335" s="262" t="s">
        <v>2371</v>
      </c>
      <c r="D335" s="262" t="s">
        <v>2760</v>
      </c>
      <c r="E335" s="263">
        <v>8</v>
      </c>
      <c r="F335" s="262" t="s">
        <v>2373</v>
      </c>
      <c r="G335" s="262" t="s">
        <v>2501</v>
      </c>
      <c r="H335" s="395"/>
    </row>
    <row r="336" spans="1:8" ht="14.55" hidden="1" customHeight="1" x14ac:dyDescent="0.3">
      <c r="A336" s="262" t="s">
        <v>2759</v>
      </c>
      <c r="B336" s="262" t="s">
        <v>2370</v>
      </c>
      <c r="C336" s="262" t="s">
        <v>2371</v>
      </c>
      <c r="D336" s="262" t="s">
        <v>2761</v>
      </c>
      <c r="E336" s="263">
        <v>8</v>
      </c>
      <c r="F336" s="262" t="s">
        <v>2373</v>
      </c>
      <c r="G336" s="262" t="s">
        <v>2501</v>
      </c>
      <c r="H336" s="395"/>
    </row>
    <row r="337" spans="1:8" ht="14.55" hidden="1" customHeight="1" x14ac:dyDescent="0.3">
      <c r="A337" s="262" t="s">
        <v>2759</v>
      </c>
      <c r="B337" s="262" t="s">
        <v>2380</v>
      </c>
      <c r="C337" s="262" t="s">
        <v>2371</v>
      </c>
      <c r="D337" s="262" t="s">
        <v>2762</v>
      </c>
      <c r="E337" s="263">
        <v>8</v>
      </c>
      <c r="F337" s="262" t="s">
        <v>2373</v>
      </c>
      <c r="G337" s="262" t="s">
        <v>2763</v>
      </c>
      <c r="H337" s="395"/>
    </row>
    <row r="338" spans="1:8" ht="14.55" hidden="1" customHeight="1" x14ac:dyDescent="0.3">
      <c r="A338" s="262" t="s">
        <v>2759</v>
      </c>
      <c r="B338" s="262" t="s">
        <v>2370</v>
      </c>
      <c r="C338" s="262" t="s">
        <v>2371</v>
      </c>
      <c r="D338" s="262" t="s">
        <v>2764</v>
      </c>
      <c r="E338" s="263">
        <v>8</v>
      </c>
      <c r="F338" s="262" t="s">
        <v>2419</v>
      </c>
      <c r="G338" s="262" t="s">
        <v>2420</v>
      </c>
      <c r="H338" s="395"/>
    </row>
    <row r="339" spans="1:8" ht="14.55" hidden="1" customHeight="1" x14ac:dyDescent="0.3">
      <c r="A339" s="262" t="s">
        <v>2765</v>
      </c>
      <c r="B339" s="262" t="s">
        <v>2380</v>
      </c>
      <c r="C339" s="262" t="s">
        <v>2371</v>
      </c>
      <c r="D339" s="262" t="s">
        <v>2766</v>
      </c>
      <c r="E339" s="263">
        <v>6</v>
      </c>
      <c r="F339" s="262" t="s">
        <v>2419</v>
      </c>
      <c r="G339" s="262" t="s">
        <v>2480</v>
      </c>
      <c r="H339" s="395"/>
    </row>
    <row r="340" spans="1:8" ht="14.55" hidden="1" customHeight="1" x14ac:dyDescent="0.3">
      <c r="A340" s="262" t="s">
        <v>2765</v>
      </c>
      <c r="B340" s="262" t="s">
        <v>2380</v>
      </c>
      <c r="C340" s="262" t="s">
        <v>2371</v>
      </c>
      <c r="D340" s="262" t="s">
        <v>2767</v>
      </c>
      <c r="E340" s="263">
        <v>4</v>
      </c>
      <c r="F340" s="262" t="s">
        <v>2373</v>
      </c>
      <c r="G340" s="262" t="s">
        <v>2374</v>
      </c>
      <c r="H340" s="395"/>
    </row>
    <row r="341" spans="1:8" ht="14.55" hidden="1" customHeight="1" x14ac:dyDescent="0.3">
      <c r="A341" s="262" t="s">
        <v>2765</v>
      </c>
      <c r="B341" s="262" t="s">
        <v>2370</v>
      </c>
      <c r="C341" s="262" t="s">
        <v>2371</v>
      </c>
      <c r="D341" s="262" t="s">
        <v>2768</v>
      </c>
      <c r="E341" s="263">
        <v>8</v>
      </c>
      <c r="F341" s="262" t="s">
        <v>2379</v>
      </c>
      <c r="G341" s="262" t="s">
        <v>2769</v>
      </c>
      <c r="H341" s="395"/>
    </row>
    <row r="342" spans="1:8" ht="14.55" hidden="1" customHeight="1" x14ac:dyDescent="0.3">
      <c r="A342" s="262" t="s">
        <v>2765</v>
      </c>
      <c r="B342" s="262" t="s">
        <v>2370</v>
      </c>
      <c r="C342" s="262" t="s">
        <v>2371</v>
      </c>
      <c r="D342" s="262" t="s">
        <v>2770</v>
      </c>
      <c r="E342" s="263">
        <v>8</v>
      </c>
      <c r="F342" s="262" t="s">
        <v>2373</v>
      </c>
      <c r="G342" s="262" t="s">
        <v>2374</v>
      </c>
      <c r="H342" s="395"/>
    </row>
    <row r="343" spans="1:8" ht="14.55" hidden="1" customHeight="1" x14ac:dyDescent="0.3">
      <c r="A343" s="262" t="s">
        <v>2765</v>
      </c>
      <c r="B343" s="262" t="s">
        <v>2380</v>
      </c>
      <c r="C343" s="262" t="s">
        <v>2371</v>
      </c>
      <c r="D343" s="262" t="s">
        <v>2771</v>
      </c>
      <c r="E343" s="263">
        <v>6</v>
      </c>
      <c r="F343" s="262" t="s">
        <v>2379</v>
      </c>
      <c r="G343" s="262" t="s">
        <v>2568</v>
      </c>
      <c r="H343" s="395"/>
    </row>
    <row r="344" spans="1:8" ht="14.55" hidden="1" customHeight="1" x14ac:dyDescent="0.3">
      <c r="A344" s="262" t="s">
        <v>2765</v>
      </c>
      <c r="B344" s="262" t="s">
        <v>2370</v>
      </c>
      <c r="C344" s="262" t="s">
        <v>2371</v>
      </c>
      <c r="D344" s="262" t="s">
        <v>2772</v>
      </c>
      <c r="E344" s="263">
        <v>6</v>
      </c>
      <c r="F344" s="262" t="s">
        <v>2376</v>
      </c>
      <c r="G344" s="262" t="s">
        <v>2406</v>
      </c>
      <c r="H344" s="395"/>
    </row>
    <row r="345" spans="1:8" ht="14.55" hidden="1" customHeight="1" x14ac:dyDescent="0.3">
      <c r="A345" s="262" t="s">
        <v>2765</v>
      </c>
      <c r="B345" s="262" t="s">
        <v>2370</v>
      </c>
      <c r="C345" s="262" t="s">
        <v>2371</v>
      </c>
      <c r="D345" s="262" t="s">
        <v>2773</v>
      </c>
      <c r="E345" s="263">
        <v>8</v>
      </c>
      <c r="F345" s="262" t="s">
        <v>2419</v>
      </c>
      <c r="G345" s="262" t="s">
        <v>2420</v>
      </c>
      <c r="H345" s="395"/>
    </row>
    <row r="346" spans="1:8" ht="14.55" hidden="1" customHeight="1" x14ac:dyDescent="0.3">
      <c r="A346" s="262" t="s">
        <v>2765</v>
      </c>
      <c r="B346" s="262" t="s">
        <v>2380</v>
      </c>
      <c r="C346" s="262" t="s">
        <v>2371</v>
      </c>
      <c r="D346" s="262" t="s">
        <v>2774</v>
      </c>
      <c r="E346" s="263">
        <v>6</v>
      </c>
      <c r="F346" s="262" t="s">
        <v>2376</v>
      </c>
      <c r="G346" s="262" t="s">
        <v>2377</v>
      </c>
      <c r="H346" s="395"/>
    </row>
    <row r="347" spans="1:8" ht="14.55" hidden="1" customHeight="1" x14ac:dyDescent="0.3">
      <c r="A347" s="262" t="s">
        <v>2765</v>
      </c>
      <c r="B347" s="262" t="s">
        <v>2370</v>
      </c>
      <c r="C347" s="262" t="s">
        <v>2371</v>
      </c>
      <c r="D347" s="262" t="s">
        <v>2775</v>
      </c>
      <c r="E347" s="263">
        <v>6</v>
      </c>
      <c r="F347" s="262" t="s">
        <v>2419</v>
      </c>
      <c r="G347" s="262" t="s">
        <v>2480</v>
      </c>
      <c r="H347" s="395"/>
    </row>
    <row r="348" spans="1:8" ht="14.55" hidden="1" customHeight="1" x14ac:dyDescent="0.3">
      <c r="A348" s="262" t="s">
        <v>2765</v>
      </c>
      <c r="B348" s="262" t="s">
        <v>2370</v>
      </c>
      <c r="C348" s="262" t="s">
        <v>2371</v>
      </c>
      <c r="D348" s="262" t="s">
        <v>2776</v>
      </c>
      <c r="E348" s="263">
        <v>6</v>
      </c>
      <c r="F348" s="262" t="s">
        <v>2379</v>
      </c>
      <c r="G348" s="262" t="s">
        <v>2396</v>
      </c>
      <c r="H348" s="395"/>
    </row>
    <row r="349" spans="1:8" ht="14.55" hidden="1" customHeight="1" x14ac:dyDescent="0.3">
      <c r="A349" s="262" t="s">
        <v>2765</v>
      </c>
      <c r="B349" s="262" t="s">
        <v>2380</v>
      </c>
      <c r="C349" s="262" t="s">
        <v>2371</v>
      </c>
      <c r="D349" s="262" t="s">
        <v>2777</v>
      </c>
      <c r="E349" s="263">
        <v>8</v>
      </c>
      <c r="F349" s="262" t="s">
        <v>2379</v>
      </c>
      <c r="G349" s="262" t="s">
        <v>2463</v>
      </c>
      <c r="H349" s="395"/>
    </row>
    <row r="350" spans="1:8" ht="14.55" hidden="1" customHeight="1" x14ac:dyDescent="0.3">
      <c r="A350" s="262" t="s">
        <v>2765</v>
      </c>
      <c r="B350" s="262" t="s">
        <v>2370</v>
      </c>
      <c r="C350" s="262" t="s">
        <v>2371</v>
      </c>
      <c r="D350" s="262" t="s">
        <v>2778</v>
      </c>
      <c r="E350" s="263">
        <v>6</v>
      </c>
      <c r="F350" s="262" t="s">
        <v>2379</v>
      </c>
      <c r="G350" s="262" t="s">
        <v>2568</v>
      </c>
      <c r="H350" s="395"/>
    </row>
    <row r="351" spans="1:8" ht="14.55" hidden="1" customHeight="1" x14ac:dyDescent="0.3">
      <c r="A351" s="262" t="s">
        <v>2765</v>
      </c>
      <c r="B351" s="262" t="s">
        <v>2370</v>
      </c>
      <c r="C351" s="262" t="s">
        <v>2371</v>
      </c>
      <c r="D351" s="262" t="s">
        <v>2779</v>
      </c>
      <c r="E351" s="263">
        <v>4</v>
      </c>
      <c r="F351" s="262" t="s">
        <v>2376</v>
      </c>
      <c r="G351" s="262" t="s">
        <v>2377</v>
      </c>
      <c r="H351" s="395"/>
    </row>
    <row r="352" spans="1:8" ht="14.55" hidden="1" customHeight="1" x14ac:dyDescent="0.3">
      <c r="A352" s="262" t="s">
        <v>2765</v>
      </c>
      <c r="B352" s="262" t="s">
        <v>2380</v>
      </c>
      <c r="C352" s="262" t="s">
        <v>2371</v>
      </c>
      <c r="D352" s="262" t="s">
        <v>2780</v>
      </c>
      <c r="E352" s="263">
        <v>8</v>
      </c>
      <c r="F352" s="262" t="s">
        <v>2376</v>
      </c>
      <c r="G352" s="262" t="s">
        <v>2394</v>
      </c>
      <c r="H352" s="395"/>
    </row>
    <row r="353" spans="1:8" ht="14.55" hidden="1" customHeight="1" x14ac:dyDescent="0.3">
      <c r="A353" s="262" t="s">
        <v>2765</v>
      </c>
      <c r="B353" s="262" t="s">
        <v>2380</v>
      </c>
      <c r="C353" s="262" t="s">
        <v>2371</v>
      </c>
      <c r="D353" s="262" t="s">
        <v>2781</v>
      </c>
      <c r="E353" s="263">
        <v>8</v>
      </c>
      <c r="F353" s="262" t="s">
        <v>2373</v>
      </c>
      <c r="G353" s="262" t="s">
        <v>2374</v>
      </c>
      <c r="H353" s="395"/>
    </row>
    <row r="354" spans="1:8" ht="14.55" hidden="1" customHeight="1" x14ac:dyDescent="0.3">
      <c r="A354" s="262" t="s">
        <v>2765</v>
      </c>
      <c r="B354" s="262" t="s">
        <v>2370</v>
      </c>
      <c r="C354" s="262" t="s">
        <v>2371</v>
      </c>
      <c r="D354" s="262" t="s">
        <v>2782</v>
      </c>
      <c r="E354" s="263">
        <v>4</v>
      </c>
      <c r="F354" s="262" t="s">
        <v>2373</v>
      </c>
      <c r="G354" s="262" t="s">
        <v>2596</v>
      </c>
      <c r="H354" s="395"/>
    </row>
    <row r="355" spans="1:8" ht="14.55" hidden="1" customHeight="1" x14ac:dyDescent="0.3">
      <c r="A355" s="262" t="s">
        <v>2765</v>
      </c>
      <c r="B355" s="262" t="s">
        <v>2380</v>
      </c>
      <c r="C355" s="262" t="s">
        <v>2371</v>
      </c>
      <c r="D355" s="262" t="s">
        <v>2783</v>
      </c>
      <c r="E355" s="263">
        <v>4</v>
      </c>
      <c r="F355" s="262" t="s">
        <v>2373</v>
      </c>
      <c r="G355" s="262" t="s">
        <v>2374</v>
      </c>
      <c r="H355" s="395"/>
    </row>
    <row r="356" spans="1:8" ht="14.55" hidden="1" customHeight="1" x14ac:dyDescent="0.3">
      <c r="A356" s="262" t="s">
        <v>2765</v>
      </c>
      <c r="B356" s="262" t="s">
        <v>2370</v>
      </c>
      <c r="C356" s="262" t="s">
        <v>2371</v>
      </c>
      <c r="D356" s="262" t="s">
        <v>2784</v>
      </c>
      <c r="E356" s="263">
        <v>6</v>
      </c>
      <c r="F356" s="262" t="s">
        <v>2389</v>
      </c>
      <c r="G356" s="262" t="s">
        <v>2428</v>
      </c>
      <c r="H356" s="395"/>
    </row>
    <row r="357" spans="1:8" ht="14.55" hidden="1" customHeight="1" x14ac:dyDescent="0.3">
      <c r="A357" s="262" t="s">
        <v>2765</v>
      </c>
      <c r="B357" s="262" t="s">
        <v>2370</v>
      </c>
      <c r="C357" s="262" t="s">
        <v>2371</v>
      </c>
      <c r="D357" s="262" t="s">
        <v>2785</v>
      </c>
      <c r="E357" s="263">
        <v>4</v>
      </c>
      <c r="F357" s="262" t="s">
        <v>2379</v>
      </c>
      <c r="G357" s="262" t="s">
        <v>2396</v>
      </c>
      <c r="H357" s="395"/>
    </row>
    <row r="358" spans="1:8" ht="14.55" hidden="1" customHeight="1" x14ac:dyDescent="0.3">
      <c r="A358" s="262" t="s">
        <v>2765</v>
      </c>
      <c r="B358" s="262" t="s">
        <v>2370</v>
      </c>
      <c r="C358" s="262" t="s">
        <v>2371</v>
      </c>
      <c r="D358" s="262" t="s">
        <v>2786</v>
      </c>
      <c r="E358" s="263">
        <v>6</v>
      </c>
      <c r="F358" s="262" t="s">
        <v>2389</v>
      </c>
      <c r="G358" s="262" t="s">
        <v>2631</v>
      </c>
      <c r="H358" s="395"/>
    </row>
    <row r="359" spans="1:8" ht="14.55" hidden="1" customHeight="1" x14ac:dyDescent="0.3">
      <c r="A359" s="262" t="s">
        <v>2765</v>
      </c>
      <c r="B359" s="262" t="s">
        <v>2370</v>
      </c>
      <c r="C359" s="262" t="s">
        <v>2371</v>
      </c>
      <c r="D359" s="262" t="s">
        <v>2787</v>
      </c>
      <c r="E359" s="263">
        <v>8</v>
      </c>
      <c r="F359" s="262" t="s">
        <v>2376</v>
      </c>
      <c r="G359" s="262" t="s">
        <v>2377</v>
      </c>
      <c r="H359" s="395"/>
    </row>
    <row r="360" spans="1:8" ht="14.55" hidden="1" customHeight="1" x14ac:dyDescent="0.3">
      <c r="A360" s="262" t="s">
        <v>2765</v>
      </c>
      <c r="B360" s="262" t="s">
        <v>2380</v>
      </c>
      <c r="C360" s="262" t="s">
        <v>2371</v>
      </c>
      <c r="D360" s="262" t="s">
        <v>2788</v>
      </c>
      <c r="E360" s="263">
        <v>8</v>
      </c>
      <c r="F360" s="262" t="s">
        <v>2373</v>
      </c>
      <c r="G360" s="262" t="s">
        <v>2374</v>
      </c>
      <c r="H360" s="395"/>
    </row>
    <row r="361" spans="1:8" ht="14.55" hidden="1" customHeight="1" x14ac:dyDescent="0.3">
      <c r="A361" s="262" t="s">
        <v>2765</v>
      </c>
      <c r="B361" s="262" t="s">
        <v>2380</v>
      </c>
      <c r="C361" s="262" t="s">
        <v>2371</v>
      </c>
      <c r="D361" s="262" t="s">
        <v>2789</v>
      </c>
      <c r="E361" s="263">
        <v>8</v>
      </c>
      <c r="F361" s="262" t="s">
        <v>2419</v>
      </c>
      <c r="G361" s="262" t="s">
        <v>2488</v>
      </c>
      <c r="H361" s="395"/>
    </row>
    <row r="362" spans="1:8" ht="14.55" hidden="1" customHeight="1" x14ac:dyDescent="0.3">
      <c r="A362" s="262" t="s">
        <v>2765</v>
      </c>
      <c r="B362" s="262" t="s">
        <v>2380</v>
      </c>
      <c r="C362" s="262" t="s">
        <v>2371</v>
      </c>
      <c r="D362" s="262" t="s">
        <v>2790</v>
      </c>
      <c r="E362" s="263">
        <v>8</v>
      </c>
      <c r="F362" s="262" t="s">
        <v>2379</v>
      </c>
      <c r="G362" s="262" t="s">
        <v>2463</v>
      </c>
      <c r="H362" s="395"/>
    </row>
    <row r="363" spans="1:8" ht="14.55" hidden="1" customHeight="1" x14ac:dyDescent="0.3">
      <c r="A363" s="262" t="s">
        <v>2765</v>
      </c>
      <c r="B363" s="262" t="s">
        <v>2370</v>
      </c>
      <c r="C363" s="262" t="s">
        <v>2371</v>
      </c>
      <c r="D363" s="262" t="s">
        <v>2791</v>
      </c>
      <c r="E363" s="263">
        <v>6</v>
      </c>
      <c r="F363" s="262" t="s">
        <v>2419</v>
      </c>
      <c r="G363" s="262" t="s">
        <v>2480</v>
      </c>
      <c r="H363" s="395"/>
    </row>
    <row r="364" spans="1:8" ht="14.55" hidden="1" customHeight="1" x14ac:dyDescent="0.3">
      <c r="A364" s="262" t="s">
        <v>2765</v>
      </c>
      <c r="B364" s="262" t="s">
        <v>2380</v>
      </c>
      <c r="C364" s="262" t="s">
        <v>2371</v>
      </c>
      <c r="D364" s="262" t="s">
        <v>2792</v>
      </c>
      <c r="E364" s="263">
        <v>6</v>
      </c>
      <c r="F364" s="262" t="s">
        <v>2419</v>
      </c>
      <c r="G364" s="262" t="s">
        <v>2432</v>
      </c>
      <c r="H364" s="395"/>
    </row>
    <row r="365" spans="1:8" ht="14.55" hidden="1" customHeight="1" x14ac:dyDescent="0.3">
      <c r="A365" s="262" t="s">
        <v>2765</v>
      </c>
      <c r="B365" s="262" t="s">
        <v>2370</v>
      </c>
      <c r="C365" s="262" t="s">
        <v>2371</v>
      </c>
      <c r="D365" s="262" t="s">
        <v>2793</v>
      </c>
      <c r="E365" s="263">
        <v>6</v>
      </c>
      <c r="F365" s="262" t="s">
        <v>2379</v>
      </c>
      <c r="G365" s="262" t="s">
        <v>2568</v>
      </c>
      <c r="H365" s="395"/>
    </row>
    <row r="366" spans="1:8" ht="14.55" hidden="1" customHeight="1" x14ac:dyDescent="0.3">
      <c r="A366" s="262" t="s">
        <v>2765</v>
      </c>
      <c r="B366" s="262" t="s">
        <v>2370</v>
      </c>
      <c r="C366" s="262" t="s">
        <v>2371</v>
      </c>
      <c r="D366" s="262" t="s">
        <v>2794</v>
      </c>
      <c r="E366" s="263">
        <v>6</v>
      </c>
      <c r="F366" s="262" t="s">
        <v>2376</v>
      </c>
      <c r="G366" s="262" t="s">
        <v>2394</v>
      </c>
      <c r="H366" s="395"/>
    </row>
    <row r="367" spans="1:8" ht="14.55" hidden="1" customHeight="1" x14ac:dyDescent="0.3">
      <c r="A367" s="262" t="s">
        <v>2765</v>
      </c>
      <c r="B367" s="262" t="s">
        <v>2370</v>
      </c>
      <c r="C367" s="262" t="s">
        <v>2371</v>
      </c>
      <c r="D367" s="262" t="s">
        <v>2795</v>
      </c>
      <c r="E367" s="263">
        <v>6</v>
      </c>
      <c r="F367" s="262" t="s">
        <v>2419</v>
      </c>
      <c r="G367" s="262" t="s">
        <v>2480</v>
      </c>
      <c r="H367" s="395"/>
    </row>
    <row r="368" spans="1:8" ht="14.55" hidden="1" customHeight="1" x14ac:dyDescent="0.3">
      <c r="A368" s="262" t="s">
        <v>2765</v>
      </c>
      <c r="B368" s="262" t="s">
        <v>2370</v>
      </c>
      <c r="C368" s="262" t="s">
        <v>2371</v>
      </c>
      <c r="D368" s="262" t="s">
        <v>2796</v>
      </c>
      <c r="E368" s="263">
        <v>7</v>
      </c>
      <c r="F368" s="262" t="s">
        <v>2389</v>
      </c>
      <c r="G368" s="262" t="s">
        <v>2390</v>
      </c>
      <c r="H368" s="395"/>
    </row>
    <row r="369" spans="1:8" ht="14.55" hidden="1" customHeight="1" x14ac:dyDescent="0.3">
      <c r="A369" s="262" t="s">
        <v>2765</v>
      </c>
      <c r="B369" s="262" t="s">
        <v>2370</v>
      </c>
      <c r="C369" s="262" t="s">
        <v>2371</v>
      </c>
      <c r="D369" s="262" t="s">
        <v>2797</v>
      </c>
      <c r="E369" s="263">
        <v>6</v>
      </c>
      <c r="F369" s="262" t="s">
        <v>2419</v>
      </c>
      <c r="G369" s="262" t="s">
        <v>2432</v>
      </c>
      <c r="H369" s="395"/>
    </row>
    <row r="370" spans="1:8" ht="14.55" hidden="1" customHeight="1" x14ac:dyDescent="0.3">
      <c r="A370" s="262" t="s">
        <v>2765</v>
      </c>
      <c r="B370" s="262" t="s">
        <v>2380</v>
      </c>
      <c r="C370" s="262" t="s">
        <v>2371</v>
      </c>
      <c r="D370" s="262" t="s">
        <v>2798</v>
      </c>
      <c r="E370" s="263">
        <v>4</v>
      </c>
      <c r="F370" s="262" t="s">
        <v>2376</v>
      </c>
      <c r="G370" s="262" t="s">
        <v>2377</v>
      </c>
      <c r="H370" s="395"/>
    </row>
    <row r="371" spans="1:8" ht="14.55" hidden="1" customHeight="1" x14ac:dyDescent="0.3">
      <c r="A371" s="262" t="s">
        <v>2765</v>
      </c>
      <c r="B371" s="262" t="s">
        <v>2370</v>
      </c>
      <c r="C371" s="262" t="s">
        <v>2371</v>
      </c>
      <c r="D371" s="262" t="s">
        <v>2799</v>
      </c>
      <c r="E371" s="263">
        <v>6</v>
      </c>
      <c r="F371" s="262" t="s">
        <v>2389</v>
      </c>
      <c r="G371" s="262" t="s">
        <v>2800</v>
      </c>
      <c r="H371" s="395"/>
    </row>
    <row r="372" spans="1:8" ht="14.55" hidden="1" customHeight="1" x14ac:dyDescent="0.3">
      <c r="A372" s="262" t="s">
        <v>2765</v>
      </c>
      <c r="B372" s="262" t="s">
        <v>2370</v>
      </c>
      <c r="C372" s="262" t="s">
        <v>2371</v>
      </c>
      <c r="D372" s="262" t="s">
        <v>2801</v>
      </c>
      <c r="E372" s="263">
        <v>6</v>
      </c>
      <c r="F372" s="262" t="s">
        <v>2379</v>
      </c>
      <c r="G372" s="262" t="s">
        <v>2396</v>
      </c>
      <c r="H372" s="395"/>
    </row>
    <row r="373" spans="1:8" ht="14.55" hidden="1" customHeight="1" x14ac:dyDescent="0.3">
      <c r="A373" s="262" t="s">
        <v>2765</v>
      </c>
      <c r="B373" s="262" t="s">
        <v>2380</v>
      </c>
      <c r="C373" s="262" t="s">
        <v>2371</v>
      </c>
      <c r="D373" s="262" t="s">
        <v>2802</v>
      </c>
      <c r="E373" s="263">
        <v>6</v>
      </c>
      <c r="F373" s="262" t="s">
        <v>2373</v>
      </c>
      <c r="G373" s="262" t="s">
        <v>2453</v>
      </c>
      <c r="H373" s="395"/>
    </row>
    <row r="374" spans="1:8" ht="14.55" hidden="1" customHeight="1" x14ac:dyDescent="0.3">
      <c r="A374" s="262" t="s">
        <v>2765</v>
      </c>
      <c r="B374" s="262" t="s">
        <v>2370</v>
      </c>
      <c r="C374" s="262" t="s">
        <v>2371</v>
      </c>
      <c r="D374" s="262" t="s">
        <v>2803</v>
      </c>
      <c r="E374" s="263">
        <v>6</v>
      </c>
      <c r="F374" s="262" t="s">
        <v>2376</v>
      </c>
      <c r="G374" s="262" t="s">
        <v>2377</v>
      </c>
      <c r="H374" s="395"/>
    </row>
    <row r="375" spans="1:8" ht="14.55" hidden="1" customHeight="1" x14ac:dyDescent="0.3">
      <c r="A375" s="262" t="s">
        <v>2765</v>
      </c>
      <c r="B375" s="262" t="s">
        <v>2370</v>
      </c>
      <c r="C375" s="262" t="s">
        <v>2371</v>
      </c>
      <c r="D375" s="262" t="s">
        <v>2804</v>
      </c>
      <c r="E375" s="263">
        <v>8</v>
      </c>
      <c r="F375" s="262" t="s">
        <v>2419</v>
      </c>
      <c r="G375" s="262" t="s">
        <v>2420</v>
      </c>
      <c r="H375" s="395"/>
    </row>
    <row r="376" spans="1:8" ht="14.55" hidden="1" customHeight="1" x14ac:dyDescent="0.3">
      <c r="A376" s="262" t="s">
        <v>2765</v>
      </c>
      <c r="B376" s="262" t="s">
        <v>2370</v>
      </c>
      <c r="C376" s="262" t="s">
        <v>2371</v>
      </c>
      <c r="D376" s="262" t="s">
        <v>2805</v>
      </c>
      <c r="E376" s="263">
        <v>6</v>
      </c>
      <c r="F376" s="262" t="s">
        <v>2419</v>
      </c>
      <c r="G376" s="262" t="s">
        <v>2420</v>
      </c>
      <c r="H376" s="395"/>
    </row>
    <row r="377" spans="1:8" ht="14.55" hidden="1" customHeight="1" x14ac:dyDescent="0.3">
      <c r="A377" s="262" t="s">
        <v>2765</v>
      </c>
      <c r="B377" s="262" t="s">
        <v>2380</v>
      </c>
      <c r="C377" s="262" t="s">
        <v>2371</v>
      </c>
      <c r="D377" s="262" t="s">
        <v>2806</v>
      </c>
      <c r="E377" s="263">
        <v>8</v>
      </c>
      <c r="F377" s="262" t="s">
        <v>2373</v>
      </c>
      <c r="G377" s="262" t="s">
        <v>2374</v>
      </c>
      <c r="H377" s="395"/>
    </row>
    <row r="378" spans="1:8" ht="14.55" hidden="1" customHeight="1" x14ac:dyDescent="0.3">
      <c r="A378" s="262" t="s">
        <v>2765</v>
      </c>
      <c r="B378" s="262" t="s">
        <v>2370</v>
      </c>
      <c r="C378" s="262" t="s">
        <v>2371</v>
      </c>
      <c r="D378" s="262" t="s">
        <v>2807</v>
      </c>
      <c r="E378" s="263">
        <v>6</v>
      </c>
      <c r="F378" s="262" t="s">
        <v>2419</v>
      </c>
      <c r="G378" s="262" t="s">
        <v>2480</v>
      </c>
      <c r="H378" s="395"/>
    </row>
    <row r="379" spans="1:8" ht="14.55" hidden="1" customHeight="1" x14ac:dyDescent="0.3">
      <c r="A379" s="262" t="s">
        <v>2765</v>
      </c>
      <c r="B379" s="262" t="s">
        <v>2370</v>
      </c>
      <c r="C379" s="262" t="s">
        <v>2371</v>
      </c>
      <c r="D379" s="262" t="s">
        <v>2808</v>
      </c>
      <c r="E379" s="263">
        <v>6</v>
      </c>
      <c r="F379" s="262" t="s">
        <v>2373</v>
      </c>
      <c r="G379" s="262" t="s">
        <v>2392</v>
      </c>
      <c r="H379" s="395"/>
    </row>
    <row r="380" spans="1:8" ht="14.55" hidden="1" customHeight="1" x14ac:dyDescent="0.3">
      <c r="A380" s="262" t="s">
        <v>2765</v>
      </c>
      <c r="B380" s="262" t="s">
        <v>2370</v>
      </c>
      <c r="C380" s="262" t="s">
        <v>2371</v>
      </c>
      <c r="D380" s="262" t="s">
        <v>2809</v>
      </c>
      <c r="E380" s="263">
        <v>6</v>
      </c>
      <c r="F380" s="262" t="s">
        <v>2389</v>
      </c>
      <c r="G380" s="262" t="s">
        <v>2428</v>
      </c>
      <c r="H380" s="395"/>
    </row>
    <row r="381" spans="1:8" ht="14.55" hidden="1" customHeight="1" x14ac:dyDescent="0.3">
      <c r="A381" s="262" t="s">
        <v>2765</v>
      </c>
      <c r="B381" s="262" t="s">
        <v>2370</v>
      </c>
      <c r="C381" s="262" t="s">
        <v>2371</v>
      </c>
      <c r="D381" s="262" t="s">
        <v>2810</v>
      </c>
      <c r="E381" s="263">
        <v>6</v>
      </c>
      <c r="F381" s="262" t="s">
        <v>2379</v>
      </c>
      <c r="G381" s="262" t="s">
        <v>2568</v>
      </c>
      <c r="H381" s="395"/>
    </row>
    <row r="382" spans="1:8" ht="14.55" hidden="1" customHeight="1" x14ac:dyDescent="0.3">
      <c r="A382" s="262" t="s">
        <v>2765</v>
      </c>
      <c r="B382" s="262" t="s">
        <v>2370</v>
      </c>
      <c r="C382" s="262" t="s">
        <v>2371</v>
      </c>
      <c r="D382" s="262" t="s">
        <v>2811</v>
      </c>
      <c r="E382" s="263">
        <v>8</v>
      </c>
      <c r="F382" s="262" t="s">
        <v>2376</v>
      </c>
      <c r="G382" s="262" t="s">
        <v>2451</v>
      </c>
      <c r="H382" s="395"/>
    </row>
    <row r="383" spans="1:8" ht="14.55" hidden="1" customHeight="1" x14ac:dyDescent="0.3">
      <c r="A383" s="262" t="s">
        <v>2765</v>
      </c>
      <c r="B383" s="262" t="s">
        <v>2370</v>
      </c>
      <c r="C383" s="262" t="s">
        <v>2371</v>
      </c>
      <c r="D383" s="262" t="s">
        <v>2812</v>
      </c>
      <c r="E383" s="263">
        <v>6</v>
      </c>
      <c r="F383" s="262" t="s">
        <v>2389</v>
      </c>
      <c r="G383" s="262" t="s">
        <v>2408</v>
      </c>
      <c r="H383" s="395"/>
    </row>
    <row r="384" spans="1:8" ht="14.55" hidden="1" customHeight="1" x14ac:dyDescent="0.3">
      <c r="A384" s="262" t="s">
        <v>2765</v>
      </c>
      <c r="B384" s="262" t="s">
        <v>2370</v>
      </c>
      <c r="C384" s="262" t="s">
        <v>2371</v>
      </c>
      <c r="D384" s="262" t="s">
        <v>2813</v>
      </c>
      <c r="E384" s="263">
        <v>6</v>
      </c>
      <c r="F384" s="262" t="s">
        <v>2419</v>
      </c>
      <c r="G384" s="262" t="s">
        <v>2420</v>
      </c>
      <c r="H384" s="395"/>
    </row>
    <row r="385" spans="1:8" x14ac:dyDescent="0.3">
      <c r="A385" s="264" t="s">
        <v>2765</v>
      </c>
      <c r="B385" s="264" t="s">
        <v>2380</v>
      </c>
      <c r="C385" s="264" t="s">
        <v>2371</v>
      </c>
      <c r="D385" s="264" t="s">
        <v>2814</v>
      </c>
      <c r="E385" s="265">
        <v>6</v>
      </c>
      <c r="F385" s="264" t="s">
        <v>2379</v>
      </c>
      <c r="G385" s="264" t="s">
        <v>2402</v>
      </c>
      <c r="H385" s="396"/>
    </row>
    <row r="386" spans="1:8" ht="14.55" hidden="1" customHeight="1" x14ac:dyDescent="0.3">
      <c r="A386" s="262" t="s">
        <v>2765</v>
      </c>
      <c r="B386" s="262" t="s">
        <v>2380</v>
      </c>
      <c r="C386" s="262" t="s">
        <v>2371</v>
      </c>
      <c r="D386" s="262" t="s">
        <v>2815</v>
      </c>
      <c r="E386" s="263">
        <v>8</v>
      </c>
      <c r="F386" s="262" t="s">
        <v>2373</v>
      </c>
      <c r="G386" s="262" t="s">
        <v>2392</v>
      </c>
      <c r="H386" s="395"/>
    </row>
    <row r="387" spans="1:8" ht="14.55" hidden="1" customHeight="1" x14ac:dyDescent="0.3">
      <c r="A387" s="262" t="s">
        <v>2765</v>
      </c>
      <c r="B387" s="262" t="s">
        <v>2370</v>
      </c>
      <c r="C387" s="262" t="s">
        <v>2371</v>
      </c>
      <c r="D387" s="262" t="s">
        <v>2816</v>
      </c>
      <c r="E387" s="263">
        <v>4</v>
      </c>
      <c r="F387" s="262" t="s">
        <v>2376</v>
      </c>
      <c r="G387" s="262" t="s">
        <v>2406</v>
      </c>
      <c r="H387" s="395"/>
    </row>
    <row r="388" spans="1:8" ht="14.55" hidden="1" customHeight="1" x14ac:dyDescent="0.3">
      <c r="A388" s="262" t="s">
        <v>2765</v>
      </c>
      <c r="B388" s="262" t="s">
        <v>2370</v>
      </c>
      <c r="C388" s="262" t="s">
        <v>2371</v>
      </c>
      <c r="D388" s="262" t="s">
        <v>2817</v>
      </c>
      <c r="E388" s="263">
        <v>6</v>
      </c>
      <c r="F388" s="262" t="s">
        <v>2389</v>
      </c>
      <c r="G388" s="262" t="s">
        <v>2390</v>
      </c>
      <c r="H388" s="395"/>
    </row>
    <row r="389" spans="1:8" ht="14.55" hidden="1" customHeight="1" x14ac:dyDescent="0.3">
      <c r="A389" s="262" t="s">
        <v>2765</v>
      </c>
      <c r="B389" s="262" t="s">
        <v>2380</v>
      </c>
      <c r="C389" s="262" t="s">
        <v>2371</v>
      </c>
      <c r="D389" s="262" t="s">
        <v>2818</v>
      </c>
      <c r="E389" s="263">
        <v>8</v>
      </c>
      <c r="F389" s="262" t="s">
        <v>2419</v>
      </c>
      <c r="G389" s="262" t="s">
        <v>2420</v>
      </c>
      <c r="H389" s="395"/>
    </row>
    <row r="390" spans="1:8" ht="14.55" hidden="1" customHeight="1" x14ac:dyDescent="0.3">
      <c r="A390" s="262" t="s">
        <v>2765</v>
      </c>
      <c r="B390" s="262" t="s">
        <v>2370</v>
      </c>
      <c r="C390" s="262" t="s">
        <v>2371</v>
      </c>
      <c r="D390" s="262" t="s">
        <v>2819</v>
      </c>
      <c r="E390" s="263">
        <v>6</v>
      </c>
      <c r="F390" s="262" t="s">
        <v>2419</v>
      </c>
      <c r="G390" s="262" t="s">
        <v>2480</v>
      </c>
      <c r="H390" s="395"/>
    </row>
    <row r="391" spans="1:8" ht="14.55" hidden="1" customHeight="1" x14ac:dyDescent="0.3">
      <c r="A391" s="262" t="s">
        <v>2765</v>
      </c>
      <c r="B391" s="262" t="s">
        <v>2370</v>
      </c>
      <c r="C391" s="262" t="s">
        <v>2371</v>
      </c>
      <c r="D391" s="262" t="s">
        <v>2820</v>
      </c>
      <c r="E391" s="263">
        <v>8</v>
      </c>
      <c r="F391" s="262" t="s">
        <v>2419</v>
      </c>
      <c r="G391" s="262" t="s">
        <v>2432</v>
      </c>
      <c r="H391" s="395"/>
    </row>
    <row r="392" spans="1:8" ht="14.55" hidden="1" customHeight="1" x14ac:dyDescent="0.3">
      <c r="A392" s="262" t="s">
        <v>2765</v>
      </c>
      <c r="B392" s="262" t="s">
        <v>2370</v>
      </c>
      <c r="C392" s="262" t="s">
        <v>2371</v>
      </c>
      <c r="D392" s="262" t="s">
        <v>2821</v>
      </c>
      <c r="E392" s="263">
        <v>4</v>
      </c>
      <c r="F392" s="262" t="s">
        <v>2373</v>
      </c>
      <c r="G392" s="262" t="s">
        <v>2449</v>
      </c>
      <c r="H392" s="395"/>
    </row>
    <row r="393" spans="1:8" x14ac:dyDescent="0.3">
      <c r="A393" s="264" t="s">
        <v>2765</v>
      </c>
      <c r="B393" s="264" t="s">
        <v>2370</v>
      </c>
      <c r="C393" s="264" t="s">
        <v>2371</v>
      </c>
      <c r="D393" s="264" t="s">
        <v>2822</v>
      </c>
      <c r="E393" s="265">
        <v>6</v>
      </c>
      <c r="F393" s="264" t="s">
        <v>2379</v>
      </c>
      <c r="G393" s="264" t="s">
        <v>2402</v>
      </c>
      <c r="H393" s="396"/>
    </row>
    <row r="394" spans="1:8" ht="14.55" hidden="1" customHeight="1" x14ac:dyDescent="0.3">
      <c r="A394" s="262" t="s">
        <v>2765</v>
      </c>
      <c r="B394" s="262" t="s">
        <v>2380</v>
      </c>
      <c r="C394" s="262" t="s">
        <v>2371</v>
      </c>
      <c r="D394" s="262" t="s">
        <v>2823</v>
      </c>
      <c r="E394" s="263">
        <v>4</v>
      </c>
      <c r="F394" s="262" t="s">
        <v>2419</v>
      </c>
      <c r="G394" s="262" t="s">
        <v>2480</v>
      </c>
      <c r="H394" s="395"/>
    </row>
    <row r="395" spans="1:8" ht="14.55" hidden="1" customHeight="1" x14ac:dyDescent="0.3">
      <c r="A395" s="262" t="s">
        <v>2765</v>
      </c>
      <c r="B395" s="262" t="s">
        <v>2370</v>
      </c>
      <c r="C395" s="262" t="s">
        <v>2371</v>
      </c>
      <c r="D395" s="262" t="s">
        <v>2824</v>
      </c>
      <c r="E395" s="263">
        <v>6</v>
      </c>
      <c r="F395" s="262" t="s">
        <v>2376</v>
      </c>
      <c r="G395" s="262" t="s">
        <v>2406</v>
      </c>
      <c r="H395" s="395"/>
    </row>
    <row r="396" spans="1:8" ht="14.55" hidden="1" customHeight="1" x14ac:dyDescent="0.3">
      <c r="A396" s="262" t="s">
        <v>2765</v>
      </c>
      <c r="B396" s="262" t="s">
        <v>2370</v>
      </c>
      <c r="C396" s="262" t="s">
        <v>2371</v>
      </c>
      <c r="D396" s="262" t="s">
        <v>2825</v>
      </c>
      <c r="E396" s="263">
        <v>6</v>
      </c>
      <c r="F396" s="262" t="s">
        <v>2373</v>
      </c>
      <c r="G396" s="262" t="s">
        <v>2600</v>
      </c>
      <c r="H396" s="395"/>
    </row>
    <row r="397" spans="1:8" ht="14.55" hidden="1" customHeight="1" x14ac:dyDescent="0.3">
      <c r="A397" s="262" t="s">
        <v>2765</v>
      </c>
      <c r="B397" s="262" t="s">
        <v>2370</v>
      </c>
      <c r="C397" s="262" t="s">
        <v>2371</v>
      </c>
      <c r="D397" s="262" t="s">
        <v>2826</v>
      </c>
      <c r="E397" s="263">
        <v>6</v>
      </c>
      <c r="F397" s="262" t="s">
        <v>2373</v>
      </c>
      <c r="G397" s="262" t="s">
        <v>2449</v>
      </c>
      <c r="H397" s="395"/>
    </row>
    <row r="398" spans="1:8" ht="14.55" hidden="1" customHeight="1" x14ac:dyDescent="0.3">
      <c r="A398" s="262" t="s">
        <v>2765</v>
      </c>
      <c r="B398" s="262" t="s">
        <v>2370</v>
      </c>
      <c r="C398" s="262" t="s">
        <v>2371</v>
      </c>
      <c r="D398" s="262" t="s">
        <v>2827</v>
      </c>
      <c r="E398" s="263">
        <v>6</v>
      </c>
      <c r="F398" s="262" t="s">
        <v>2419</v>
      </c>
      <c r="G398" s="262" t="s">
        <v>2480</v>
      </c>
      <c r="H398" s="395"/>
    </row>
    <row r="399" spans="1:8" ht="14.55" hidden="1" customHeight="1" x14ac:dyDescent="0.3">
      <c r="A399" s="262" t="s">
        <v>2765</v>
      </c>
      <c r="B399" s="262" t="s">
        <v>2370</v>
      </c>
      <c r="C399" s="262" t="s">
        <v>2371</v>
      </c>
      <c r="D399" s="262" t="s">
        <v>2828</v>
      </c>
      <c r="E399" s="263">
        <v>8</v>
      </c>
      <c r="F399" s="262" t="s">
        <v>2376</v>
      </c>
      <c r="G399" s="262" t="s">
        <v>2377</v>
      </c>
      <c r="H399" s="395"/>
    </row>
    <row r="400" spans="1:8" ht="14.55" hidden="1" customHeight="1" x14ac:dyDescent="0.3">
      <c r="A400" s="262" t="s">
        <v>2765</v>
      </c>
      <c r="B400" s="262" t="s">
        <v>2370</v>
      </c>
      <c r="C400" s="262" t="s">
        <v>2371</v>
      </c>
      <c r="D400" s="262" t="s">
        <v>2829</v>
      </c>
      <c r="E400" s="263">
        <v>8</v>
      </c>
      <c r="F400" s="262" t="s">
        <v>2373</v>
      </c>
      <c r="G400" s="262" t="s">
        <v>2453</v>
      </c>
      <c r="H400" s="395"/>
    </row>
    <row r="401" spans="1:8" ht="14.55" hidden="1" customHeight="1" x14ac:dyDescent="0.3">
      <c r="A401" s="262" t="s">
        <v>2765</v>
      </c>
      <c r="B401" s="262" t="s">
        <v>2370</v>
      </c>
      <c r="C401" s="262" t="s">
        <v>2371</v>
      </c>
      <c r="D401" s="262" t="s">
        <v>2830</v>
      </c>
      <c r="E401" s="263">
        <v>6</v>
      </c>
      <c r="F401" s="262" t="s">
        <v>2389</v>
      </c>
      <c r="G401" s="262" t="s">
        <v>2408</v>
      </c>
      <c r="H401" s="395"/>
    </row>
    <row r="402" spans="1:8" ht="14.55" hidden="1" customHeight="1" x14ac:dyDescent="0.3">
      <c r="A402" s="262" t="s">
        <v>2765</v>
      </c>
      <c r="B402" s="262" t="s">
        <v>2380</v>
      </c>
      <c r="C402" s="262" t="s">
        <v>2371</v>
      </c>
      <c r="D402" s="262" t="s">
        <v>2831</v>
      </c>
      <c r="E402" s="263">
        <v>4</v>
      </c>
      <c r="F402" s="262" t="s">
        <v>2373</v>
      </c>
      <c r="G402" s="262" t="s">
        <v>2374</v>
      </c>
      <c r="H402" s="395"/>
    </row>
    <row r="403" spans="1:8" ht="14.55" hidden="1" customHeight="1" x14ac:dyDescent="0.3">
      <c r="A403" s="262" t="s">
        <v>2765</v>
      </c>
      <c r="B403" s="262" t="s">
        <v>2370</v>
      </c>
      <c r="C403" s="262" t="s">
        <v>2371</v>
      </c>
      <c r="D403" s="262" t="s">
        <v>2832</v>
      </c>
      <c r="E403" s="263">
        <v>8</v>
      </c>
      <c r="F403" s="262" t="s">
        <v>2379</v>
      </c>
      <c r="G403" s="262" t="s">
        <v>2396</v>
      </c>
      <c r="H403" s="395"/>
    </row>
    <row r="404" spans="1:8" ht="14.55" hidden="1" customHeight="1" x14ac:dyDescent="0.3">
      <c r="A404" s="262" t="s">
        <v>2765</v>
      </c>
      <c r="B404" s="262" t="s">
        <v>2380</v>
      </c>
      <c r="C404" s="262" t="s">
        <v>2371</v>
      </c>
      <c r="D404" s="262" t="s">
        <v>2833</v>
      </c>
      <c r="E404" s="263">
        <v>6</v>
      </c>
      <c r="F404" s="262" t="s">
        <v>2379</v>
      </c>
      <c r="G404" s="262" t="s">
        <v>2568</v>
      </c>
      <c r="H404" s="395"/>
    </row>
    <row r="405" spans="1:8" ht="14.55" hidden="1" customHeight="1" x14ac:dyDescent="0.3">
      <c r="A405" s="262" t="s">
        <v>2765</v>
      </c>
      <c r="B405" s="262" t="s">
        <v>2370</v>
      </c>
      <c r="C405" s="262" t="s">
        <v>2371</v>
      </c>
      <c r="D405" s="262" t="s">
        <v>2834</v>
      </c>
      <c r="E405" s="263">
        <v>6</v>
      </c>
      <c r="F405" s="262" t="s">
        <v>2373</v>
      </c>
      <c r="G405" s="262" t="s">
        <v>2453</v>
      </c>
      <c r="H405" s="395"/>
    </row>
    <row r="406" spans="1:8" ht="14.55" hidden="1" customHeight="1" x14ac:dyDescent="0.3">
      <c r="A406" s="262" t="s">
        <v>2765</v>
      </c>
      <c r="B406" s="262" t="s">
        <v>2380</v>
      </c>
      <c r="C406" s="262" t="s">
        <v>2371</v>
      </c>
      <c r="D406" s="262" t="s">
        <v>2835</v>
      </c>
      <c r="E406" s="263">
        <v>8</v>
      </c>
      <c r="F406" s="262" t="s">
        <v>2379</v>
      </c>
      <c r="G406" s="262" t="s">
        <v>2463</v>
      </c>
      <c r="H406" s="395"/>
    </row>
    <row r="407" spans="1:8" ht="14.55" hidden="1" customHeight="1" x14ac:dyDescent="0.3">
      <c r="A407" s="262" t="s">
        <v>2765</v>
      </c>
      <c r="B407" s="262" t="s">
        <v>2370</v>
      </c>
      <c r="C407" s="262" t="s">
        <v>2371</v>
      </c>
      <c r="D407" s="262" t="s">
        <v>2836</v>
      </c>
      <c r="E407" s="263">
        <v>4</v>
      </c>
      <c r="F407" s="262" t="s">
        <v>2389</v>
      </c>
      <c r="G407" s="262" t="s">
        <v>2408</v>
      </c>
      <c r="H407" s="395"/>
    </row>
    <row r="408" spans="1:8" ht="14.55" hidden="1" customHeight="1" x14ac:dyDescent="0.3">
      <c r="A408" s="262" t="s">
        <v>2765</v>
      </c>
      <c r="B408" s="262" t="s">
        <v>2370</v>
      </c>
      <c r="C408" s="262" t="s">
        <v>2371</v>
      </c>
      <c r="D408" s="262" t="s">
        <v>2837</v>
      </c>
      <c r="E408" s="263">
        <v>8</v>
      </c>
      <c r="F408" s="262" t="s">
        <v>2379</v>
      </c>
      <c r="G408" s="262" t="s">
        <v>2396</v>
      </c>
      <c r="H408" s="395"/>
    </row>
    <row r="409" spans="1:8" ht="14.55" hidden="1" customHeight="1" x14ac:dyDescent="0.3">
      <c r="A409" s="262" t="s">
        <v>2765</v>
      </c>
      <c r="B409" s="262" t="s">
        <v>2370</v>
      </c>
      <c r="C409" s="262" t="s">
        <v>2371</v>
      </c>
      <c r="D409" s="262" t="s">
        <v>2838</v>
      </c>
      <c r="E409" s="263">
        <v>8</v>
      </c>
      <c r="F409" s="262" t="s">
        <v>2419</v>
      </c>
      <c r="G409" s="262" t="s">
        <v>2432</v>
      </c>
      <c r="H409" s="395"/>
    </row>
    <row r="410" spans="1:8" ht="14.55" hidden="1" customHeight="1" x14ac:dyDescent="0.3">
      <c r="A410" s="262" t="s">
        <v>2765</v>
      </c>
      <c r="B410" s="262" t="s">
        <v>2380</v>
      </c>
      <c r="C410" s="262" t="s">
        <v>2371</v>
      </c>
      <c r="D410" s="262" t="s">
        <v>2839</v>
      </c>
      <c r="E410" s="263">
        <v>8</v>
      </c>
      <c r="F410" s="262" t="s">
        <v>2373</v>
      </c>
      <c r="G410" s="262" t="s">
        <v>2374</v>
      </c>
      <c r="H410" s="395"/>
    </row>
    <row r="411" spans="1:8" ht="14.55" hidden="1" customHeight="1" x14ac:dyDescent="0.3">
      <c r="A411" s="262" t="s">
        <v>2765</v>
      </c>
      <c r="B411" s="262" t="s">
        <v>2370</v>
      </c>
      <c r="C411" s="262" t="s">
        <v>2371</v>
      </c>
      <c r="D411" s="262" t="s">
        <v>2840</v>
      </c>
      <c r="E411" s="263">
        <v>6</v>
      </c>
      <c r="F411" s="262" t="s">
        <v>2419</v>
      </c>
      <c r="G411" s="262" t="s">
        <v>2488</v>
      </c>
      <c r="H411" s="395"/>
    </row>
    <row r="412" spans="1:8" ht="14.55" hidden="1" customHeight="1" x14ac:dyDescent="0.3">
      <c r="A412" s="262" t="s">
        <v>2765</v>
      </c>
      <c r="B412" s="262" t="s">
        <v>2380</v>
      </c>
      <c r="C412" s="262" t="s">
        <v>2371</v>
      </c>
      <c r="D412" s="262" t="s">
        <v>2841</v>
      </c>
      <c r="E412" s="263">
        <v>8</v>
      </c>
      <c r="F412" s="262" t="s">
        <v>2379</v>
      </c>
      <c r="G412" s="262" t="s">
        <v>2584</v>
      </c>
      <c r="H412" s="395"/>
    </row>
    <row r="413" spans="1:8" ht="14.55" hidden="1" customHeight="1" x14ac:dyDescent="0.3">
      <c r="A413" s="262" t="s">
        <v>2765</v>
      </c>
      <c r="B413" s="262" t="s">
        <v>2380</v>
      </c>
      <c r="C413" s="262" t="s">
        <v>2371</v>
      </c>
      <c r="D413" s="262" t="s">
        <v>2842</v>
      </c>
      <c r="E413" s="263">
        <v>6</v>
      </c>
      <c r="F413" s="262" t="s">
        <v>2373</v>
      </c>
      <c r="G413" s="262" t="s">
        <v>2453</v>
      </c>
      <c r="H413" s="395"/>
    </row>
    <row r="414" spans="1:8" ht="14.55" hidden="1" customHeight="1" x14ac:dyDescent="0.3">
      <c r="A414" s="262" t="s">
        <v>2843</v>
      </c>
      <c r="B414" s="262" t="s">
        <v>2370</v>
      </c>
      <c r="C414" s="262" t="s">
        <v>2371</v>
      </c>
      <c r="D414" s="262" t="s">
        <v>2844</v>
      </c>
      <c r="E414" s="263">
        <v>6</v>
      </c>
      <c r="F414" s="262" t="s">
        <v>2379</v>
      </c>
      <c r="G414" s="262" t="s">
        <v>2470</v>
      </c>
      <c r="H414" s="395"/>
    </row>
    <row r="415" spans="1:8" ht="14.55" hidden="1" customHeight="1" x14ac:dyDescent="0.3">
      <c r="A415" s="262" t="s">
        <v>2843</v>
      </c>
      <c r="B415" s="262" t="s">
        <v>2380</v>
      </c>
      <c r="C415" s="262" t="s">
        <v>2371</v>
      </c>
      <c r="D415" s="262" t="s">
        <v>2845</v>
      </c>
      <c r="E415" s="263">
        <v>8</v>
      </c>
      <c r="F415" s="262" t="s">
        <v>2419</v>
      </c>
      <c r="G415" s="262" t="s">
        <v>2420</v>
      </c>
      <c r="H415" s="395"/>
    </row>
    <row r="416" spans="1:8" ht="14.55" hidden="1" customHeight="1" x14ac:dyDescent="0.3">
      <c r="A416" s="262" t="s">
        <v>2843</v>
      </c>
      <c r="B416" s="262" t="s">
        <v>2370</v>
      </c>
      <c r="C416" s="262" t="s">
        <v>2371</v>
      </c>
      <c r="D416" s="262" t="s">
        <v>2846</v>
      </c>
      <c r="E416" s="263">
        <v>8</v>
      </c>
      <c r="F416" s="262" t="s">
        <v>2419</v>
      </c>
      <c r="G416" s="262" t="s">
        <v>2420</v>
      </c>
      <c r="H416" s="395"/>
    </row>
    <row r="417" spans="1:8" ht="14.55" hidden="1" customHeight="1" x14ac:dyDescent="0.3">
      <c r="A417" s="262" t="s">
        <v>2843</v>
      </c>
      <c r="B417" s="262" t="s">
        <v>2370</v>
      </c>
      <c r="C417" s="262" t="s">
        <v>2371</v>
      </c>
      <c r="D417" s="262" t="s">
        <v>2847</v>
      </c>
      <c r="E417" s="263">
        <v>6</v>
      </c>
      <c r="F417" s="262" t="s">
        <v>2379</v>
      </c>
      <c r="G417" s="262" t="s">
        <v>2568</v>
      </c>
      <c r="H417" s="395"/>
    </row>
    <row r="418" spans="1:8" ht="14.55" hidden="1" customHeight="1" x14ac:dyDescent="0.3">
      <c r="A418" s="262" t="s">
        <v>2843</v>
      </c>
      <c r="B418" s="262" t="s">
        <v>2380</v>
      </c>
      <c r="C418" s="262" t="s">
        <v>2371</v>
      </c>
      <c r="D418" s="262" t="s">
        <v>2848</v>
      </c>
      <c r="E418" s="263">
        <v>8</v>
      </c>
      <c r="F418" s="262" t="s">
        <v>2379</v>
      </c>
      <c r="G418" s="262" t="s">
        <v>2396</v>
      </c>
      <c r="H418" s="395"/>
    </row>
    <row r="419" spans="1:8" ht="14.55" hidden="1" customHeight="1" x14ac:dyDescent="0.3">
      <c r="A419" s="262" t="s">
        <v>2843</v>
      </c>
      <c r="B419" s="262" t="s">
        <v>2370</v>
      </c>
      <c r="C419" s="262" t="s">
        <v>2371</v>
      </c>
      <c r="D419" s="262" t="s">
        <v>2849</v>
      </c>
      <c r="E419" s="263">
        <v>6</v>
      </c>
      <c r="F419" s="262" t="s">
        <v>2389</v>
      </c>
      <c r="G419" s="262" t="s">
        <v>2850</v>
      </c>
      <c r="H419" s="395"/>
    </row>
    <row r="420" spans="1:8" ht="14.55" hidden="1" customHeight="1" x14ac:dyDescent="0.3">
      <c r="A420" s="262" t="s">
        <v>2843</v>
      </c>
      <c r="B420" s="262" t="s">
        <v>2370</v>
      </c>
      <c r="C420" s="262" t="s">
        <v>2371</v>
      </c>
      <c r="D420" s="262" t="s">
        <v>2851</v>
      </c>
      <c r="E420" s="263">
        <v>6</v>
      </c>
      <c r="F420" s="262" t="s">
        <v>2389</v>
      </c>
      <c r="G420" s="262" t="s">
        <v>2408</v>
      </c>
      <c r="H420" s="395"/>
    </row>
    <row r="421" spans="1:8" ht="14.55" hidden="1" customHeight="1" x14ac:dyDescent="0.3">
      <c r="A421" s="262" t="s">
        <v>2843</v>
      </c>
      <c r="B421" s="262" t="s">
        <v>2370</v>
      </c>
      <c r="C421" s="262" t="s">
        <v>2371</v>
      </c>
      <c r="D421" s="262" t="s">
        <v>2852</v>
      </c>
      <c r="E421" s="263">
        <v>4</v>
      </c>
      <c r="F421" s="262" t="s">
        <v>2373</v>
      </c>
      <c r="G421" s="262" t="s">
        <v>2596</v>
      </c>
      <c r="H421" s="395"/>
    </row>
    <row r="422" spans="1:8" ht="14.55" hidden="1" customHeight="1" x14ac:dyDescent="0.3">
      <c r="A422" s="262" t="s">
        <v>2843</v>
      </c>
      <c r="B422" s="262" t="s">
        <v>2380</v>
      </c>
      <c r="C422" s="262" t="s">
        <v>2371</v>
      </c>
      <c r="D422" s="262" t="s">
        <v>2853</v>
      </c>
      <c r="E422" s="263">
        <v>6</v>
      </c>
      <c r="F422" s="262" t="s">
        <v>2379</v>
      </c>
      <c r="G422" s="262" t="s">
        <v>2568</v>
      </c>
      <c r="H422" s="395"/>
    </row>
    <row r="423" spans="1:8" ht="14.55" hidden="1" customHeight="1" x14ac:dyDescent="0.3">
      <c r="A423" s="262" t="s">
        <v>2843</v>
      </c>
      <c r="B423" s="262" t="s">
        <v>2370</v>
      </c>
      <c r="C423" s="262" t="s">
        <v>2371</v>
      </c>
      <c r="D423" s="262" t="s">
        <v>2854</v>
      </c>
      <c r="E423" s="263">
        <v>6</v>
      </c>
      <c r="F423" s="262" t="s">
        <v>2373</v>
      </c>
      <c r="G423" s="262" t="s">
        <v>2392</v>
      </c>
      <c r="H423" s="395"/>
    </row>
    <row r="424" spans="1:8" ht="14.55" hidden="1" customHeight="1" x14ac:dyDescent="0.3">
      <c r="A424" s="262" t="s">
        <v>2843</v>
      </c>
      <c r="B424" s="262" t="s">
        <v>2370</v>
      </c>
      <c r="C424" s="262" t="s">
        <v>2371</v>
      </c>
      <c r="D424" s="262" t="s">
        <v>2855</v>
      </c>
      <c r="E424" s="263">
        <v>6</v>
      </c>
      <c r="F424" s="262" t="s">
        <v>2389</v>
      </c>
      <c r="G424" s="262" t="s">
        <v>2850</v>
      </c>
      <c r="H424" s="395"/>
    </row>
    <row r="425" spans="1:8" ht="14.55" hidden="1" customHeight="1" x14ac:dyDescent="0.3">
      <c r="A425" s="262" t="s">
        <v>2843</v>
      </c>
      <c r="B425" s="262" t="s">
        <v>2380</v>
      </c>
      <c r="C425" s="262" t="s">
        <v>2371</v>
      </c>
      <c r="D425" s="262" t="s">
        <v>2856</v>
      </c>
      <c r="E425" s="263">
        <v>8</v>
      </c>
      <c r="F425" s="262" t="s">
        <v>2419</v>
      </c>
      <c r="G425" s="262" t="s">
        <v>2857</v>
      </c>
      <c r="H425" s="395"/>
    </row>
    <row r="426" spans="1:8" ht="14.55" hidden="1" customHeight="1" x14ac:dyDescent="0.3">
      <c r="A426" s="262" t="s">
        <v>2843</v>
      </c>
      <c r="B426" s="262" t="s">
        <v>2370</v>
      </c>
      <c r="C426" s="262" t="s">
        <v>2371</v>
      </c>
      <c r="D426" s="262" t="s">
        <v>2858</v>
      </c>
      <c r="E426" s="263">
        <v>8</v>
      </c>
      <c r="F426" s="262" t="s">
        <v>2376</v>
      </c>
      <c r="G426" s="262" t="s">
        <v>2377</v>
      </c>
      <c r="H426" s="395"/>
    </row>
    <row r="427" spans="1:8" ht="14.55" hidden="1" customHeight="1" x14ac:dyDescent="0.3">
      <c r="A427" s="262" t="s">
        <v>2843</v>
      </c>
      <c r="B427" s="262" t="s">
        <v>2370</v>
      </c>
      <c r="C427" s="262" t="s">
        <v>2371</v>
      </c>
      <c r="D427" s="262" t="s">
        <v>2859</v>
      </c>
      <c r="E427" s="263">
        <v>8</v>
      </c>
      <c r="F427" s="262" t="s">
        <v>2376</v>
      </c>
      <c r="G427" s="262" t="s">
        <v>2377</v>
      </c>
      <c r="H427" s="395"/>
    </row>
    <row r="428" spans="1:8" ht="14.55" hidden="1" customHeight="1" x14ac:dyDescent="0.3">
      <c r="A428" s="262" t="s">
        <v>2843</v>
      </c>
      <c r="B428" s="262" t="s">
        <v>2370</v>
      </c>
      <c r="C428" s="262" t="s">
        <v>2371</v>
      </c>
      <c r="D428" s="262" t="s">
        <v>2860</v>
      </c>
      <c r="E428" s="263">
        <v>4</v>
      </c>
      <c r="F428" s="262" t="s">
        <v>2389</v>
      </c>
      <c r="G428" s="262" t="s">
        <v>2408</v>
      </c>
      <c r="H428" s="395"/>
    </row>
    <row r="429" spans="1:8" ht="14.55" hidden="1" customHeight="1" x14ac:dyDescent="0.3">
      <c r="A429" s="262" t="s">
        <v>2843</v>
      </c>
      <c r="B429" s="262" t="s">
        <v>2380</v>
      </c>
      <c r="C429" s="262" t="s">
        <v>2371</v>
      </c>
      <c r="D429" s="262" t="s">
        <v>2861</v>
      </c>
      <c r="E429" s="263">
        <v>6</v>
      </c>
      <c r="F429" s="262" t="s">
        <v>2389</v>
      </c>
      <c r="G429" s="262" t="s">
        <v>2428</v>
      </c>
      <c r="H429" s="395"/>
    </row>
    <row r="430" spans="1:8" ht="14.55" hidden="1" customHeight="1" x14ac:dyDescent="0.3">
      <c r="A430" s="262" t="s">
        <v>2843</v>
      </c>
      <c r="B430" s="262" t="s">
        <v>2370</v>
      </c>
      <c r="C430" s="262" t="s">
        <v>2371</v>
      </c>
      <c r="D430" s="262" t="s">
        <v>2862</v>
      </c>
      <c r="E430" s="263">
        <v>4</v>
      </c>
      <c r="F430" s="262" t="s">
        <v>2373</v>
      </c>
      <c r="G430" s="262" t="s">
        <v>2453</v>
      </c>
      <c r="H430" s="395"/>
    </row>
    <row r="431" spans="1:8" ht="14.55" hidden="1" customHeight="1" x14ac:dyDescent="0.3">
      <c r="A431" s="262" t="s">
        <v>2843</v>
      </c>
      <c r="B431" s="262" t="s">
        <v>2370</v>
      </c>
      <c r="C431" s="262" t="s">
        <v>2371</v>
      </c>
      <c r="D431" s="262" t="s">
        <v>2863</v>
      </c>
      <c r="E431" s="263">
        <v>6</v>
      </c>
      <c r="F431" s="262" t="s">
        <v>2419</v>
      </c>
      <c r="G431" s="262" t="s">
        <v>2420</v>
      </c>
      <c r="H431" s="395"/>
    </row>
    <row r="432" spans="1:8" ht="14.55" hidden="1" customHeight="1" x14ac:dyDescent="0.3">
      <c r="A432" s="262" t="s">
        <v>2843</v>
      </c>
      <c r="B432" s="262" t="s">
        <v>2370</v>
      </c>
      <c r="C432" s="262" t="s">
        <v>2371</v>
      </c>
      <c r="D432" s="262" t="s">
        <v>2864</v>
      </c>
      <c r="E432" s="263">
        <v>6</v>
      </c>
      <c r="F432" s="262" t="s">
        <v>2373</v>
      </c>
      <c r="G432" s="262" t="s">
        <v>2374</v>
      </c>
      <c r="H432" s="395"/>
    </row>
    <row r="433" spans="1:8" ht="14.55" hidden="1" customHeight="1" x14ac:dyDescent="0.3">
      <c r="A433" s="262" t="s">
        <v>2843</v>
      </c>
      <c r="B433" s="262" t="s">
        <v>2370</v>
      </c>
      <c r="C433" s="262" t="s">
        <v>2371</v>
      </c>
      <c r="D433" s="262" t="s">
        <v>2865</v>
      </c>
      <c r="E433" s="263">
        <v>6</v>
      </c>
      <c r="F433" s="262" t="s">
        <v>2389</v>
      </c>
      <c r="G433" s="262" t="s">
        <v>2428</v>
      </c>
      <c r="H433" s="395"/>
    </row>
    <row r="434" spans="1:8" ht="14.55" hidden="1" customHeight="1" x14ac:dyDescent="0.3">
      <c r="A434" s="262" t="s">
        <v>2843</v>
      </c>
      <c r="B434" s="262" t="s">
        <v>2380</v>
      </c>
      <c r="C434" s="262" t="s">
        <v>2371</v>
      </c>
      <c r="D434" s="262" t="s">
        <v>2866</v>
      </c>
      <c r="E434" s="263">
        <v>4</v>
      </c>
      <c r="F434" s="262" t="s">
        <v>2419</v>
      </c>
      <c r="G434" s="262" t="s">
        <v>2480</v>
      </c>
      <c r="H434" s="395"/>
    </row>
    <row r="435" spans="1:8" ht="14.55" hidden="1" customHeight="1" x14ac:dyDescent="0.3">
      <c r="A435" s="262" t="s">
        <v>2843</v>
      </c>
      <c r="B435" s="262" t="s">
        <v>2380</v>
      </c>
      <c r="C435" s="262" t="s">
        <v>2371</v>
      </c>
      <c r="D435" s="262" t="s">
        <v>2867</v>
      </c>
      <c r="E435" s="263">
        <v>8</v>
      </c>
      <c r="F435" s="262" t="s">
        <v>2419</v>
      </c>
      <c r="G435" s="262" t="s">
        <v>2420</v>
      </c>
      <c r="H435" s="395"/>
    </row>
    <row r="436" spans="1:8" ht="14.55" hidden="1" customHeight="1" x14ac:dyDescent="0.3">
      <c r="A436" s="262" t="s">
        <v>2843</v>
      </c>
      <c r="B436" s="262" t="s">
        <v>2370</v>
      </c>
      <c r="C436" s="262" t="s">
        <v>2371</v>
      </c>
      <c r="D436" s="262" t="s">
        <v>2868</v>
      </c>
      <c r="E436" s="263">
        <v>4</v>
      </c>
      <c r="F436" s="262" t="s">
        <v>2373</v>
      </c>
      <c r="G436" s="262" t="s">
        <v>2449</v>
      </c>
      <c r="H436" s="395"/>
    </row>
    <row r="437" spans="1:8" ht="14.55" hidden="1" customHeight="1" x14ac:dyDescent="0.3">
      <c r="A437" s="262" t="s">
        <v>2843</v>
      </c>
      <c r="B437" s="262" t="s">
        <v>2380</v>
      </c>
      <c r="C437" s="262" t="s">
        <v>2371</v>
      </c>
      <c r="D437" s="262" t="s">
        <v>2869</v>
      </c>
      <c r="E437" s="263">
        <v>6</v>
      </c>
      <c r="F437" s="262" t="s">
        <v>2373</v>
      </c>
      <c r="G437" s="262" t="s">
        <v>2453</v>
      </c>
      <c r="H437" s="395"/>
    </row>
    <row r="438" spans="1:8" ht="14.55" hidden="1" customHeight="1" x14ac:dyDescent="0.3">
      <c r="A438" s="262" t="s">
        <v>2843</v>
      </c>
      <c r="B438" s="262" t="s">
        <v>2370</v>
      </c>
      <c r="C438" s="262" t="s">
        <v>2371</v>
      </c>
      <c r="D438" s="262" t="s">
        <v>2870</v>
      </c>
      <c r="E438" s="263">
        <v>4</v>
      </c>
      <c r="F438" s="262" t="s">
        <v>2419</v>
      </c>
      <c r="G438" s="262" t="s">
        <v>2605</v>
      </c>
      <c r="H438" s="395"/>
    </row>
    <row r="439" spans="1:8" ht="14.55" hidden="1" customHeight="1" x14ac:dyDescent="0.3">
      <c r="A439" s="262" t="s">
        <v>2843</v>
      </c>
      <c r="B439" s="262" t="s">
        <v>2380</v>
      </c>
      <c r="C439" s="262" t="s">
        <v>2371</v>
      </c>
      <c r="D439" s="262" t="s">
        <v>2871</v>
      </c>
      <c r="E439" s="263">
        <v>8</v>
      </c>
      <c r="F439" s="262" t="s">
        <v>2419</v>
      </c>
      <c r="G439" s="262" t="s">
        <v>2432</v>
      </c>
      <c r="H439" s="395"/>
    </row>
    <row r="440" spans="1:8" ht="14.55" hidden="1" customHeight="1" x14ac:dyDescent="0.3">
      <c r="A440" s="262" t="s">
        <v>2843</v>
      </c>
      <c r="B440" s="262" t="s">
        <v>2370</v>
      </c>
      <c r="C440" s="262" t="s">
        <v>2371</v>
      </c>
      <c r="D440" s="262" t="s">
        <v>2872</v>
      </c>
      <c r="E440" s="263">
        <v>6</v>
      </c>
      <c r="F440" s="262" t="s">
        <v>2419</v>
      </c>
      <c r="G440" s="262" t="s">
        <v>2420</v>
      </c>
      <c r="H440" s="395"/>
    </row>
    <row r="441" spans="1:8" ht="14.55" hidden="1" customHeight="1" x14ac:dyDescent="0.3">
      <c r="A441" s="262" t="s">
        <v>2843</v>
      </c>
      <c r="B441" s="262" t="s">
        <v>2370</v>
      </c>
      <c r="C441" s="262" t="s">
        <v>2371</v>
      </c>
      <c r="D441" s="262" t="s">
        <v>2873</v>
      </c>
      <c r="E441" s="263">
        <v>4</v>
      </c>
      <c r="F441" s="262" t="s">
        <v>2389</v>
      </c>
      <c r="G441" s="262" t="s">
        <v>2428</v>
      </c>
      <c r="H441" s="395"/>
    </row>
    <row r="442" spans="1:8" ht="14.55" hidden="1" customHeight="1" x14ac:dyDescent="0.3">
      <c r="A442" s="262" t="s">
        <v>2843</v>
      </c>
      <c r="B442" s="262" t="s">
        <v>2370</v>
      </c>
      <c r="C442" s="262" t="s">
        <v>2371</v>
      </c>
      <c r="D442" s="262" t="s">
        <v>2874</v>
      </c>
      <c r="E442" s="263">
        <v>8</v>
      </c>
      <c r="F442" s="262" t="s">
        <v>2419</v>
      </c>
      <c r="G442" s="262" t="s">
        <v>2432</v>
      </c>
      <c r="H442" s="395"/>
    </row>
    <row r="443" spans="1:8" ht="14.55" hidden="1" customHeight="1" x14ac:dyDescent="0.3">
      <c r="A443" s="262" t="s">
        <v>2843</v>
      </c>
      <c r="B443" s="262" t="s">
        <v>2380</v>
      </c>
      <c r="C443" s="262" t="s">
        <v>2371</v>
      </c>
      <c r="D443" s="262" t="s">
        <v>2875</v>
      </c>
      <c r="E443" s="263">
        <v>6</v>
      </c>
      <c r="F443" s="262" t="s">
        <v>2376</v>
      </c>
      <c r="G443" s="262" t="s">
        <v>2377</v>
      </c>
      <c r="H443" s="395"/>
    </row>
    <row r="444" spans="1:8" ht="14.55" hidden="1" customHeight="1" x14ac:dyDescent="0.3">
      <c r="A444" s="262" t="s">
        <v>2843</v>
      </c>
      <c r="B444" s="262" t="s">
        <v>2380</v>
      </c>
      <c r="C444" s="262" t="s">
        <v>2371</v>
      </c>
      <c r="D444" s="262" t="s">
        <v>2876</v>
      </c>
      <c r="E444" s="263">
        <v>4</v>
      </c>
      <c r="F444" s="262" t="s">
        <v>2419</v>
      </c>
      <c r="G444" s="262" t="s">
        <v>2480</v>
      </c>
      <c r="H444" s="395"/>
    </row>
    <row r="445" spans="1:8" ht="14.55" hidden="1" customHeight="1" x14ac:dyDescent="0.3">
      <c r="A445" s="262" t="s">
        <v>2843</v>
      </c>
      <c r="B445" s="262" t="s">
        <v>2370</v>
      </c>
      <c r="C445" s="262" t="s">
        <v>2371</v>
      </c>
      <c r="D445" s="262" t="s">
        <v>2877</v>
      </c>
      <c r="E445" s="263">
        <v>8</v>
      </c>
      <c r="F445" s="262" t="s">
        <v>2419</v>
      </c>
      <c r="G445" s="262" t="s">
        <v>2432</v>
      </c>
      <c r="H445" s="395"/>
    </row>
    <row r="446" spans="1:8" ht="14.55" hidden="1" customHeight="1" x14ac:dyDescent="0.3">
      <c r="A446" s="262" t="s">
        <v>2843</v>
      </c>
      <c r="B446" s="262" t="s">
        <v>2370</v>
      </c>
      <c r="C446" s="262" t="s">
        <v>2371</v>
      </c>
      <c r="D446" s="262" t="s">
        <v>2878</v>
      </c>
      <c r="E446" s="263">
        <v>8</v>
      </c>
      <c r="F446" s="262" t="s">
        <v>2376</v>
      </c>
      <c r="G446" s="262" t="s">
        <v>2377</v>
      </c>
      <c r="H446" s="395"/>
    </row>
    <row r="447" spans="1:8" ht="14.55" hidden="1" customHeight="1" x14ac:dyDescent="0.3">
      <c r="A447" s="262" t="s">
        <v>2843</v>
      </c>
      <c r="B447" s="262" t="s">
        <v>2370</v>
      </c>
      <c r="C447" s="262" t="s">
        <v>2371</v>
      </c>
      <c r="D447" s="262" t="s">
        <v>2879</v>
      </c>
      <c r="E447" s="263">
        <v>6</v>
      </c>
      <c r="F447" s="262" t="s">
        <v>2880</v>
      </c>
      <c r="G447" s="262" t="s">
        <v>2392</v>
      </c>
      <c r="H447" s="395"/>
    </row>
    <row r="448" spans="1:8" ht="14.55" hidden="1" customHeight="1" x14ac:dyDescent="0.3">
      <c r="A448" s="262" t="s">
        <v>2843</v>
      </c>
      <c r="B448" s="262" t="s">
        <v>2380</v>
      </c>
      <c r="C448" s="262" t="s">
        <v>2371</v>
      </c>
      <c r="D448" s="262" t="s">
        <v>2881</v>
      </c>
      <c r="E448" s="263">
        <v>8</v>
      </c>
      <c r="F448" s="262" t="s">
        <v>2419</v>
      </c>
      <c r="G448" s="262" t="s">
        <v>2432</v>
      </c>
      <c r="H448" s="395"/>
    </row>
    <row r="449" spans="1:8" ht="14.55" hidden="1" customHeight="1" x14ac:dyDescent="0.3">
      <c r="A449" s="262" t="s">
        <v>2843</v>
      </c>
      <c r="B449" s="262" t="s">
        <v>2370</v>
      </c>
      <c r="C449" s="262" t="s">
        <v>2371</v>
      </c>
      <c r="D449" s="262" t="s">
        <v>2882</v>
      </c>
      <c r="E449" s="263">
        <v>6</v>
      </c>
      <c r="F449" s="262" t="s">
        <v>2389</v>
      </c>
      <c r="G449" s="262" t="s">
        <v>2428</v>
      </c>
      <c r="H449" s="395"/>
    </row>
    <row r="450" spans="1:8" ht="14.55" hidden="1" customHeight="1" x14ac:dyDescent="0.3">
      <c r="A450" s="262" t="s">
        <v>2843</v>
      </c>
      <c r="B450" s="262" t="s">
        <v>2380</v>
      </c>
      <c r="C450" s="262" t="s">
        <v>2371</v>
      </c>
      <c r="D450" s="262" t="s">
        <v>2883</v>
      </c>
      <c r="E450" s="263">
        <v>6</v>
      </c>
      <c r="F450" s="262" t="s">
        <v>2389</v>
      </c>
      <c r="G450" s="262" t="s">
        <v>2428</v>
      </c>
      <c r="H450" s="395"/>
    </row>
    <row r="451" spans="1:8" ht="14.55" hidden="1" customHeight="1" x14ac:dyDescent="0.3">
      <c r="A451" s="262" t="s">
        <v>2843</v>
      </c>
      <c r="B451" s="262" t="s">
        <v>2380</v>
      </c>
      <c r="C451" s="262" t="s">
        <v>2371</v>
      </c>
      <c r="D451" s="262" t="s">
        <v>2884</v>
      </c>
      <c r="E451" s="263">
        <v>8</v>
      </c>
      <c r="F451" s="262" t="s">
        <v>2419</v>
      </c>
      <c r="G451" s="262" t="s">
        <v>2885</v>
      </c>
      <c r="H451" s="395"/>
    </row>
    <row r="452" spans="1:8" ht="14.55" hidden="1" customHeight="1" x14ac:dyDescent="0.3">
      <c r="A452" s="262" t="s">
        <v>2843</v>
      </c>
      <c r="B452" s="262" t="s">
        <v>2370</v>
      </c>
      <c r="C452" s="262" t="s">
        <v>2371</v>
      </c>
      <c r="D452" s="262" t="s">
        <v>2886</v>
      </c>
      <c r="E452" s="263">
        <v>6</v>
      </c>
      <c r="F452" s="262" t="s">
        <v>2373</v>
      </c>
      <c r="G452" s="262" t="s">
        <v>2374</v>
      </c>
      <c r="H452" s="395"/>
    </row>
    <row r="453" spans="1:8" ht="14.55" hidden="1" customHeight="1" x14ac:dyDescent="0.3">
      <c r="A453" s="262" t="s">
        <v>2843</v>
      </c>
      <c r="B453" s="262" t="s">
        <v>2370</v>
      </c>
      <c r="C453" s="262" t="s">
        <v>2371</v>
      </c>
      <c r="D453" s="262" t="s">
        <v>2887</v>
      </c>
      <c r="E453" s="263">
        <v>8</v>
      </c>
      <c r="F453" s="262" t="s">
        <v>2376</v>
      </c>
      <c r="G453" s="262" t="s">
        <v>2406</v>
      </c>
      <c r="H453" s="395"/>
    </row>
    <row r="454" spans="1:8" ht="14.55" hidden="1" customHeight="1" x14ac:dyDescent="0.3">
      <c r="A454" s="262" t="s">
        <v>2843</v>
      </c>
      <c r="B454" s="262" t="s">
        <v>2370</v>
      </c>
      <c r="C454" s="262" t="s">
        <v>2371</v>
      </c>
      <c r="D454" s="262" t="s">
        <v>2888</v>
      </c>
      <c r="E454" s="263">
        <v>8</v>
      </c>
      <c r="F454" s="262" t="s">
        <v>2373</v>
      </c>
      <c r="G454" s="262" t="s">
        <v>2889</v>
      </c>
      <c r="H454" s="395"/>
    </row>
    <row r="455" spans="1:8" ht="14.55" hidden="1" customHeight="1" x14ac:dyDescent="0.3">
      <c r="A455" s="262" t="s">
        <v>2843</v>
      </c>
      <c r="B455" s="262" t="s">
        <v>2370</v>
      </c>
      <c r="C455" s="262" t="s">
        <v>2371</v>
      </c>
      <c r="D455" s="262" t="s">
        <v>2890</v>
      </c>
      <c r="E455" s="263">
        <v>8</v>
      </c>
      <c r="F455" s="262" t="s">
        <v>2376</v>
      </c>
      <c r="G455" s="262" t="s">
        <v>2377</v>
      </c>
      <c r="H455" s="395"/>
    </row>
    <row r="456" spans="1:8" ht="14.55" hidden="1" customHeight="1" x14ac:dyDescent="0.3">
      <c r="A456" s="262" t="s">
        <v>2843</v>
      </c>
      <c r="B456" s="262" t="s">
        <v>2370</v>
      </c>
      <c r="C456" s="262" t="s">
        <v>2371</v>
      </c>
      <c r="D456" s="262" t="s">
        <v>2891</v>
      </c>
      <c r="E456" s="263">
        <v>6</v>
      </c>
      <c r="F456" s="262" t="s">
        <v>2376</v>
      </c>
      <c r="G456" s="262" t="s">
        <v>2406</v>
      </c>
      <c r="H456" s="395"/>
    </row>
    <row r="457" spans="1:8" ht="14.55" hidden="1" customHeight="1" x14ac:dyDescent="0.3">
      <c r="A457" s="262" t="s">
        <v>2843</v>
      </c>
      <c r="B457" s="262" t="s">
        <v>2380</v>
      </c>
      <c r="C457" s="262" t="s">
        <v>2371</v>
      </c>
      <c r="D457" s="262" t="s">
        <v>2892</v>
      </c>
      <c r="E457" s="263">
        <v>6</v>
      </c>
      <c r="F457" s="262" t="s">
        <v>2389</v>
      </c>
      <c r="G457" s="262" t="s">
        <v>2428</v>
      </c>
      <c r="H457" s="395"/>
    </row>
    <row r="458" spans="1:8" ht="14.55" hidden="1" customHeight="1" x14ac:dyDescent="0.3">
      <c r="A458" s="262" t="s">
        <v>2843</v>
      </c>
      <c r="B458" s="262" t="s">
        <v>2370</v>
      </c>
      <c r="C458" s="262" t="s">
        <v>2371</v>
      </c>
      <c r="D458" s="262" t="s">
        <v>2893</v>
      </c>
      <c r="E458" s="263">
        <v>6</v>
      </c>
      <c r="F458" s="262" t="s">
        <v>2389</v>
      </c>
      <c r="G458" s="262" t="s">
        <v>2408</v>
      </c>
      <c r="H458" s="395"/>
    </row>
    <row r="459" spans="1:8" ht="14.55" hidden="1" customHeight="1" x14ac:dyDescent="0.3">
      <c r="A459" s="262" t="s">
        <v>2843</v>
      </c>
      <c r="B459" s="262" t="s">
        <v>2370</v>
      </c>
      <c r="C459" s="262" t="s">
        <v>2371</v>
      </c>
      <c r="D459" s="262" t="s">
        <v>2894</v>
      </c>
      <c r="E459" s="263">
        <v>6</v>
      </c>
      <c r="F459" s="262" t="s">
        <v>2389</v>
      </c>
      <c r="G459" s="262" t="s">
        <v>2428</v>
      </c>
      <c r="H459" s="395"/>
    </row>
    <row r="460" spans="1:8" ht="14.55" hidden="1" customHeight="1" x14ac:dyDescent="0.3">
      <c r="A460" s="262" t="s">
        <v>2843</v>
      </c>
      <c r="B460" s="262" t="s">
        <v>2370</v>
      </c>
      <c r="C460" s="262" t="s">
        <v>2371</v>
      </c>
      <c r="D460" s="262" t="s">
        <v>2895</v>
      </c>
      <c r="E460" s="263">
        <v>8</v>
      </c>
      <c r="F460" s="262" t="s">
        <v>2373</v>
      </c>
      <c r="G460" s="262" t="s">
        <v>2374</v>
      </c>
      <c r="H460" s="395"/>
    </row>
    <row r="461" spans="1:8" ht="14.55" hidden="1" customHeight="1" x14ac:dyDescent="0.3">
      <c r="A461" s="262" t="s">
        <v>2843</v>
      </c>
      <c r="B461" s="262" t="s">
        <v>2370</v>
      </c>
      <c r="C461" s="262" t="s">
        <v>2371</v>
      </c>
      <c r="D461" s="262" t="s">
        <v>2896</v>
      </c>
      <c r="E461" s="263">
        <v>6</v>
      </c>
      <c r="F461" s="262" t="s">
        <v>2379</v>
      </c>
      <c r="G461" s="262" t="s">
        <v>2584</v>
      </c>
      <c r="H461" s="395"/>
    </row>
    <row r="462" spans="1:8" ht="14.55" hidden="1" customHeight="1" x14ac:dyDescent="0.3">
      <c r="A462" s="262" t="s">
        <v>2843</v>
      </c>
      <c r="B462" s="262" t="s">
        <v>2370</v>
      </c>
      <c r="C462" s="262" t="s">
        <v>2371</v>
      </c>
      <c r="D462" s="262" t="s">
        <v>2897</v>
      </c>
      <c r="E462" s="263">
        <v>6</v>
      </c>
      <c r="F462" s="262" t="s">
        <v>2379</v>
      </c>
      <c r="G462" s="262" t="s">
        <v>2568</v>
      </c>
      <c r="H462" s="395"/>
    </row>
    <row r="463" spans="1:8" ht="14.55" hidden="1" customHeight="1" x14ac:dyDescent="0.3">
      <c r="A463" s="262" t="s">
        <v>2843</v>
      </c>
      <c r="B463" s="262" t="s">
        <v>2370</v>
      </c>
      <c r="C463" s="262" t="s">
        <v>2371</v>
      </c>
      <c r="D463" s="262" t="s">
        <v>2898</v>
      </c>
      <c r="E463" s="263">
        <v>6</v>
      </c>
      <c r="F463" s="262" t="s">
        <v>2389</v>
      </c>
      <c r="G463" s="262" t="s">
        <v>2428</v>
      </c>
      <c r="H463" s="395"/>
    </row>
    <row r="464" spans="1:8" ht="14.55" hidden="1" customHeight="1" x14ac:dyDescent="0.3">
      <c r="A464" s="262" t="s">
        <v>2843</v>
      </c>
      <c r="B464" s="262" t="s">
        <v>2380</v>
      </c>
      <c r="C464" s="262" t="s">
        <v>2371</v>
      </c>
      <c r="D464" s="262" t="s">
        <v>2899</v>
      </c>
      <c r="E464" s="263">
        <v>6</v>
      </c>
      <c r="F464" s="262" t="s">
        <v>2379</v>
      </c>
      <c r="G464" s="262" t="s">
        <v>2396</v>
      </c>
      <c r="H464" s="395"/>
    </row>
    <row r="465" spans="1:8" ht="14.55" hidden="1" customHeight="1" x14ac:dyDescent="0.3">
      <c r="A465" s="262" t="s">
        <v>2843</v>
      </c>
      <c r="B465" s="262" t="s">
        <v>2380</v>
      </c>
      <c r="C465" s="262" t="s">
        <v>2371</v>
      </c>
      <c r="D465" s="262" t="s">
        <v>2900</v>
      </c>
      <c r="E465" s="263">
        <v>4</v>
      </c>
      <c r="F465" s="262" t="s">
        <v>2376</v>
      </c>
      <c r="G465" s="262" t="s">
        <v>2377</v>
      </c>
      <c r="H465" s="395"/>
    </row>
    <row r="466" spans="1:8" x14ac:dyDescent="0.3">
      <c r="A466" s="264" t="s">
        <v>2843</v>
      </c>
      <c r="B466" s="264" t="s">
        <v>2380</v>
      </c>
      <c r="C466" s="264" t="s">
        <v>2371</v>
      </c>
      <c r="D466" s="264" t="s">
        <v>2901</v>
      </c>
      <c r="E466" s="265">
        <v>8</v>
      </c>
      <c r="F466" s="264" t="s">
        <v>2379</v>
      </c>
      <c r="G466" s="264" t="s">
        <v>2402</v>
      </c>
      <c r="H466" s="396"/>
    </row>
    <row r="467" spans="1:8" ht="14.55" hidden="1" customHeight="1" x14ac:dyDescent="0.3">
      <c r="A467" s="262" t="s">
        <v>2843</v>
      </c>
      <c r="B467" s="262" t="s">
        <v>2370</v>
      </c>
      <c r="C467" s="262" t="s">
        <v>2371</v>
      </c>
      <c r="D467" s="262" t="s">
        <v>2902</v>
      </c>
      <c r="E467" s="263">
        <v>8</v>
      </c>
      <c r="F467" s="262" t="s">
        <v>2376</v>
      </c>
      <c r="G467" s="262" t="s">
        <v>2377</v>
      </c>
      <c r="H467" s="395"/>
    </row>
    <row r="468" spans="1:8" ht="14.55" hidden="1" customHeight="1" x14ac:dyDescent="0.3">
      <c r="A468" s="262" t="s">
        <v>2843</v>
      </c>
      <c r="B468" s="262" t="s">
        <v>2370</v>
      </c>
      <c r="C468" s="262" t="s">
        <v>2371</v>
      </c>
      <c r="D468" s="262" t="s">
        <v>2903</v>
      </c>
      <c r="E468" s="263">
        <v>4</v>
      </c>
      <c r="F468" s="262" t="s">
        <v>2389</v>
      </c>
      <c r="G468" s="262" t="s">
        <v>2428</v>
      </c>
      <c r="H468" s="395"/>
    </row>
    <row r="469" spans="1:8" ht="14.55" hidden="1" customHeight="1" x14ac:dyDescent="0.3">
      <c r="A469" s="262" t="s">
        <v>2843</v>
      </c>
      <c r="B469" s="262" t="s">
        <v>2370</v>
      </c>
      <c r="C469" s="262" t="s">
        <v>2371</v>
      </c>
      <c r="D469" s="262" t="s">
        <v>2904</v>
      </c>
      <c r="E469" s="263">
        <v>8</v>
      </c>
      <c r="F469" s="262" t="s">
        <v>2376</v>
      </c>
      <c r="G469" s="262" t="s">
        <v>2377</v>
      </c>
      <c r="H469" s="395"/>
    </row>
    <row r="470" spans="1:8" ht="14.55" hidden="1" customHeight="1" x14ac:dyDescent="0.3">
      <c r="A470" s="262" t="s">
        <v>2843</v>
      </c>
      <c r="B470" s="262" t="s">
        <v>2370</v>
      </c>
      <c r="C470" s="262" t="s">
        <v>2371</v>
      </c>
      <c r="D470" s="262" t="s">
        <v>2905</v>
      </c>
      <c r="E470" s="263">
        <v>4</v>
      </c>
      <c r="F470" s="262" t="s">
        <v>2419</v>
      </c>
      <c r="G470" s="262" t="s">
        <v>2605</v>
      </c>
      <c r="H470" s="395"/>
    </row>
    <row r="471" spans="1:8" ht="14.55" hidden="1" customHeight="1" x14ac:dyDescent="0.3">
      <c r="A471" s="262" t="s">
        <v>2843</v>
      </c>
      <c r="B471" s="262" t="s">
        <v>2370</v>
      </c>
      <c r="C471" s="262" t="s">
        <v>2371</v>
      </c>
      <c r="D471" s="262" t="s">
        <v>2906</v>
      </c>
      <c r="E471" s="263">
        <v>6</v>
      </c>
      <c r="F471" s="262" t="s">
        <v>2373</v>
      </c>
      <c r="G471" s="262" t="s">
        <v>2392</v>
      </c>
      <c r="H471" s="395"/>
    </row>
    <row r="472" spans="1:8" ht="14.55" hidden="1" customHeight="1" x14ac:dyDescent="0.3">
      <c r="A472" s="262" t="s">
        <v>2843</v>
      </c>
      <c r="B472" s="262" t="s">
        <v>2370</v>
      </c>
      <c r="C472" s="262" t="s">
        <v>2371</v>
      </c>
      <c r="D472" s="262" t="s">
        <v>2907</v>
      </c>
      <c r="E472" s="263">
        <v>6</v>
      </c>
      <c r="F472" s="262" t="s">
        <v>2389</v>
      </c>
      <c r="G472" s="262" t="s">
        <v>2408</v>
      </c>
      <c r="H472" s="395"/>
    </row>
    <row r="473" spans="1:8" ht="14.55" hidden="1" customHeight="1" x14ac:dyDescent="0.3">
      <c r="A473" s="262" t="s">
        <v>2843</v>
      </c>
      <c r="B473" s="262" t="s">
        <v>2380</v>
      </c>
      <c r="C473" s="262" t="s">
        <v>2371</v>
      </c>
      <c r="D473" s="262" t="s">
        <v>2908</v>
      </c>
      <c r="E473" s="263">
        <v>8</v>
      </c>
      <c r="F473" s="262" t="s">
        <v>2373</v>
      </c>
      <c r="G473" s="262" t="s">
        <v>2374</v>
      </c>
      <c r="H473" s="395"/>
    </row>
    <row r="474" spans="1:8" ht="14.55" hidden="1" customHeight="1" x14ac:dyDescent="0.3">
      <c r="A474" s="262" t="s">
        <v>2843</v>
      </c>
      <c r="B474" s="262" t="s">
        <v>2380</v>
      </c>
      <c r="C474" s="262" t="s">
        <v>2371</v>
      </c>
      <c r="D474" s="262" t="s">
        <v>2909</v>
      </c>
      <c r="E474" s="263">
        <v>6</v>
      </c>
      <c r="F474" s="262" t="s">
        <v>2373</v>
      </c>
      <c r="G474" s="262" t="s">
        <v>2392</v>
      </c>
      <c r="H474" s="395"/>
    </row>
    <row r="475" spans="1:8" ht="14.55" hidden="1" customHeight="1" x14ac:dyDescent="0.3">
      <c r="A475" s="262" t="s">
        <v>2843</v>
      </c>
      <c r="B475" s="262" t="s">
        <v>2370</v>
      </c>
      <c r="C475" s="262" t="s">
        <v>2371</v>
      </c>
      <c r="D475" s="262" t="s">
        <v>2910</v>
      </c>
      <c r="E475" s="263">
        <v>6</v>
      </c>
      <c r="F475" s="262" t="s">
        <v>2379</v>
      </c>
      <c r="G475" s="262" t="s">
        <v>2383</v>
      </c>
      <c r="H475" s="395"/>
    </row>
    <row r="476" spans="1:8" ht="14.55" hidden="1" customHeight="1" x14ac:dyDescent="0.3">
      <c r="A476" s="262" t="s">
        <v>2843</v>
      </c>
      <c r="B476" s="262" t="s">
        <v>2370</v>
      </c>
      <c r="C476" s="262" t="s">
        <v>2371</v>
      </c>
      <c r="D476" s="262" t="s">
        <v>2911</v>
      </c>
      <c r="E476" s="263">
        <v>6</v>
      </c>
      <c r="F476" s="262" t="s">
        <v>2379</v>
      </c>
      <c r="G476" s="262" t="s">
        <v>2568</v>
      </c>
      <c r="H476" s="395"/>
    </row>
    <row r="477" spans="1:8" ht="14.55" hidden="1" customHeight="1" x14ac:dyDescent="0.3">
      <c r="A477" s="262" t="s">
        <v>2843</v>
      </c>
      <c r="B477" s="262" t="s">
        <v>2370</v>
      </c>
      <c r="C477" s="262" t="s">
        <v>2371</v>
      </c>
      <c r="D477" s="262" t="s">
        <v>2912</v>
      </c>
      <c r="E477" s="263">
        <v>8</v>
      </c>
      <c r="F477" s="262" t="s">
        <v>2376</v>
      </c>
      <c r="G477" s="262" t="s">
        <v>2377</v>
      </c>
      <c r="H477" s="395"/>
    </row>
    <row r="478" spans="1:8" ht="14.55" hidden="1" customHeight="1" x14ac:dyDescent="0.3">
      <c r="A478" s="262" t="s">
        <v>2843</v>
      </c>
      <c r="B478" s="262" t="s">
        <v>2370</v>
      </c>
      <c r="C478" s="262" t="s">
        <v>2371</v>
      </c>
      <c r="D478" s="262" t="s">
        <v>2913</v>
      </c>
      <c r="E478" s="263">
        <v>8</v>
      </c>
      <c r="F478" s="262" t="s">
        <v>2373</v>
      </c>
      <c r="G478" s="262" t="s">
        <v>2374</v>
      </c>
      <c r="H478" s="395"/>
    </row>
    <row r="479" spans="1:8" ht="14.55" hidden="1" customHeight="1" x14ac:dyDescent="0.3">
      <c r="A479" s="262" t="s">
        <v>2843</v>
      </c>
      <c r="B479" s="262" t="s">
        <v>2380</v>
      </c>
      <c r="C479" s="262" t="s">
        <v>2371</v>
      </c>
      <c r="D479" s="262" t="s">
        <v>2914</v>
      </c>
      <c r="E479" s="263">
        <v>8</v>
      </c>
      <c r="F479" s="262" t="s">
        <v>2419</v>
      </c>
      <c r="G479" s="262" t="s">
        <v>2915</v>
      </c>
      <c r="H479" s="395"/>
    </row>
    <row r="480" spans="1:8" ht="14.55" hidden="1" customHeight="1" x14ac:dyDescent="0.3">
      <c r="A480" s="262" t="s">
        <v>2843</v>
      </c>
      <c r="B480" s="262" t="s">
        <v>2380</v>
      </c>
      <c r="C480" s="262" t="s">
        <v>2371</v>
      </c>
      <c r="D480" s="262" t="s">
        <v>2916</v>
      </c>
      <c r="E480" s="263">
        <v>8</v>
      </c>
      <c r="F480" s="262" t="s">
        <v>2419</v>
      </c>
      <c r="G480" s="262" t="s">
        <v>2432</v>
      </c>
      <c r="H480" s="395"/>
    </row>
    <row r="481" spans="1:8" ht="14.55" hidden="1" customHeight="1" x14ac:dyDescent="0.3">
      <c r="A481" s="262" t="s">
        <v>2843</v>
      </c>
      <c r="B481" s="262" t="s">
        <v>2370</v>
      </c>
      <c r="C481" s="262" t="s">
        <v>2371</v>
      </c>
      <c r="D481" s="262" t="s">
        <v>2917</v>
      </c>
      <c r="E481" s="263">
        <v>8</v>
      </c>
      <c r="F481" s="262" t="s">
        <v>2419</v>
      </c>
      <c r="G481" s="262" t="s">
        <v>2420</v>
      </c>
      <c r="H481" s="395"/>
    </row>
    <row r="482" spans="1:8" x14ac:dyDescent="0.3">
      <c r="A482" s="264" t="s">
        <v>2843</v>
      </c>
      <c r="B482" s="264" t="s">
        <v>2380</v>
      </c>
      <c r="C482" s="264" t="s">
        <v>2371</v>
      </c>
      <c r="D482" s="264" t="s">
        <v>2918</v>
      </c>
      <c r="E482" s="265">
        <v>6</v>
      </c>
      <c r="F482" s="264" t="s">
        <v>2379</v>
      </c>
      <c r="G482" s="264" t="s">
        <v>2402</v>
      </c>
      <c r="H482" s="396"/>
    </row>
    <row r="483" spans="1:8" ht="14.55" hidden="1" customHeight="1" x14ac:dyDescent="0.3">
      <c r="A483" s="262" t="s">
        <v>2843</v>
      </c>
      <c r="B483" s="262" t="s">
        <v>2370</v>
      </c>
      <c r="C483" s="262" t="s">
        <v>2371</v>
      </c>
      <c r="D483" s="262" t="s">
        <v>2919</v>
      </c>
      <c r="E483" s="263">
        <v>8</v>
      </c>
      <c r="F483" s="262" t="s">
        <v>2389</v>
      </c>
      <c r="G483" s="262" t="s">
        <v>2428</v>
      </c>
      <c r="H483" s="395"/>
    </row>
    <row r="484" spans="1:8" ht="14.55" hidden="1" customHeight="1" x14ac:dyDescent="0.3">
      <c r="A484" s="262" t="s">
        <v>2843</v>
      </c>
      <c r="B484" s="262" t="s">
        <v>2380</v>
      </c>
      <c r="C484" s="262" t="s">
        <v>2371</v>
      </c>
      <c r="D484" s="262" t="s">
        <v>2920</v>
      </c>
      <c r="E484" s="263">
        <v>6</v>
      </c>
      <c r="F484" s="262" t="s">
        <v>2389</v>
      </c>
      <c r="G484" s="262" t="s">
        <v>2408</v>
      </c>
      <c r="H484" s="395"/>
    </row>
    <row r="485" spans="1:8" ht="14.55" hidden="1" customHeight="1" x14ac:dyDescent="0.3">
      <c r="A485" s="262" t="s">
        <v>2843</v>
      </c>
      <c r="B485" s="262" t="s">
        <v>2380</v>
      </c>
      <c r="C485" s="262" t="s">
        <v>2371</v>
      </c>
      <c r="D485" s="262" t="s">
        <v>2921</v>
      </c>
      <c r="E485" s="263">
        <v>8</v>
      </c>
      <c r="F485" s="262" t="s">
        <v>2379</v>
      </c>
      <c r="G485" s="262" t="s">
        <v>2396</v>
      </c>
      <c r="H485" s="395"/>
    </row>
    <row r="486" spans="1:8" ht="14.55" hidden="1" customHeight="1" x14ac:dyDescent="0.3">
      <c r="A486" s="262" t="s">
        <v>2922</v>
      </c>
      <c r="B486" s="262" t="s">
        <v>2380</v>
      </c>
      <c r="C486" s="262" t="s">
        <v>2371</v>
      </c>
      <c r="D486" s="262" t="s">
        <v>2923</v>
      </c>
      <c r="E486" s="263">
        <v>6</v>
      </c>
      <c r="F486" s="262" t="s">
        <v>2419</v>
      </c>
      <c r="G486" s="262" t="s">
        <v>2420</v>
      </c>
      <c r="H486" s="395"/>
    </row>
    <row r="487" spans="1:8" ht="14.55" hidden="1" customHeight="1" x14ac:dyDescent="0.3">
      <c r="A487" s="262" t="s">
        <v>2922</v>
      </c>
      <c r="B487" s="262" t="s">
        <v>2380</v>
      </c>
      <c r="C487" s="262" t="s">
        <v>2371</v>
      </c>
      <c r="D487" s="262" t="s">
        <v>2924</v>
      </c>
      <c r="E487" s="263">
        <v>6</v>
      </c>
      <c r="F487" s="262" t="s">
        <v>2419</v>
      </c>
      <c r="G487" s="262" t="s">
        <v>2885</v>
      </c>
      <c r="H487" s="395"/>
    </row>
    <row r="488" spans="1:8" ht="14.55" hidden="1" customHeight="1" x14ac:dyDescent="0.3">
      <c r="A488" s="262" t="s">
        <v>2922</v>
      </c>
      <c r="B488" s="262" t="s">
        <v>2370</v>
      </c>
      <c r="C488" s="262" t="s">
        <v>2371</v>
      </c>
      <c r="D488" s="262" t="s">
        <v>2925</v>
      </c>
      <c r="E488" s="263">
        <v>6</v>
      </c>
      <c r="F488" s="262" t="s">
        <v>2373</v>
      </c>
      <c r="G488" s="262" t="s">
        <v>2926</v>
      </c>
      <c r="H488" s="395"/>
    </row>
    <row r="489" spans="1:8" ht="14.55" hidden="1" customHeight="1" x14ac:dyDescent="0.3">
      <c r="A489" s="262" t="s">
        <v>2922</v>
      </c>
      <c r="B489" s="262" t="s">
        <v>2370</v>
      </c>
      <c r="C489" s="262" t="s">
        <v>2371</v>
      </c>
      <c r="D489" s="262" t="s">
        <v>2927</v>
      </c>
      <c r="E489" s="263">
        <v>8</v>
      </c>
      <c r="F489" s="262" t="s">
        <v>2376</v>
      </c>
      <c r="G489" s="262" t="s">
        <v>2928</v>
      </c>
      <c r="H489" s="395"/>
    </row>
    <row r="490" spans="1:8" ht="14.55" hidden="1" customHeight="1" x14ac:dyDescent="0.3">
      <c r="A490" s="262" t="s">
        <v>2922</v>
      </c>
      <c r="B490" s="262" t="s">
        <v>2370</v>
      </c>
      <c r="C490" s="262" t="s">
        <v>2371</v>
      </c>
      <c r="D490" s="262" t="s">
        <v>2929</v>
      </c>
      <c r="E490" s="263">
        <v>8</v>
      </c>
      <c r="F490" s="262" t="s">
        <v>2376</v>
      </c>
      <c r="G490" s="262" t="s">
        <v>2377</v>
      </c>
      <c r="H490" s="395"/>
    </row>
    <row r="491" spans="1:8" ht="14.55" hidden="1" customHeight="1" x14ac:dyDescent="0.3">
      <c r="A491" s="262" t="s">
        <v>2922</v>
      </c>
      <c r="B491" s="262" t="s">
        <v>2370</v>
      </c>
      <c r="C491" s="262" t="s">
        <v>2371</v>
      </c>
      <c r="D491" s="262" t="s">
        <v>2930</v>
      </c>
      <c r="E491" s="263">
        <v>8</v>
      </c>
      <c r="F491" s="262" t="s">
        <v>2419</v>
      </c>
      <c r="G491" s="262" t="s">
        <v>2420</v>
      </c>
      <c r="H491" s="395"/>
    </row>
    <row r="492" spans="1:8" ht="14.55" hidden="1" customHeight="1" x14ac:dyDescent="0.3">
      <c r="A492" s="262" t="s">
        <v>2922</v>
      </c>
      <c r="B492" s="262" t="s">
        <v>2370</v>
      </c>
      <c r="C492" s="262" t="s">
        <v>2371</v>
      </c>
      <c r="D492" s="262" t="s">
        <v>2931</v>
      </c>
      <c r="E492" s="263">
        <v>4</v>
      </c>
      <c r="F492" s="262" t="s">
        <v>2419</v>
      </c>
      <c r="G492" s="262" t="s">
        <v>2420</v>
      </c>
      <c r="H492" s="395"/>
    </row>
    <row r="493" spans="1:8" ht="14.55" hidden="1" customHeight="1" x14ac:dyDescent="0.3">
      <c r="A493" s="262" t="s">
        <v>2922</v>
      </c>
      <c r="B493" s="262" t="s">
        <v>2370</v>
      </c>
      <c r="C493" s="262" t="s">
        <v>2371</v>
      </c>
      <c r="D493" s="262" t="s">
        <v>2932</v>
      </c>
      <c r="E493" s="263">
        <v>8</v>
      </c>
      <c r="F493" s="262" t="s">
        <v>2373</v>
      </c>
      <c r="G493" s="262" t="s">
        <v>2453</v>
      </c>
      <c r="H493" s="395"/>
    </row>
    <row r="494" spans="1:8" ht="14.55" hidden="1" customHeight="1" x14ac:dyDescent="0.3">
      <c r="A494" s="262" t="s">
        <v>2922</v>
      </c>
      <c r="B494" s="262" t="s">
        <v>2370</v>
      </c>
      <c r="C494" s="262" t="s">
        <v>2371</v>
      </c>
      <c r="D494" s="262" t="s">
        <v>2933</v>
      </c>
      <c r="E494" s="263">
        <v>8</v>
      </c>
      <c r="F494" s="262" t="s">
        <v>2376</v>
      </c>
      <c r="G494" s="262" t="s">
        <v>2406</v>
      </c>
      <c r="H494" s="395"/>
    </row>
    <row r="495" spans="1:8" ht="14.55" hidden="1" customHeight="1" x14ac:dyDescent="0.3">
      <c r="A495" s="262" t="s">
        <v>2922</v>
      </c>
      <c r="B495" s="262" t="s">
        <v>2370</v>
      </c>
      <c r="C495" s="262" t="s">
        <v>2371</v>
      </c>
      <c r="D495" s="262" t="s">
        <v>2934</v>
      </c>
      <c r="E495" s="263">
        <v>8</v>
      </c>
      <c r="F495" s="262" t="s">
        <v>2376</v>
      </c>
      <c r="G495" s="262" t="s">
        <v>2406</v>
      </c>
      <c r="H495" s="395"/>
    </row>
    <row r="496" spans="1:8" ht="14.55" hidden="1" customHeight="1" x14ac:dyDescent="0.3">
      <c r="A496" s="262" t="s">
        <v>2922</v>
      </c>
      <c r="B496" s="262" t="s">
        <v>2380</v>
      </c>
      <c r="C496" s="262" t="s">
        <v>2371</v>
      </c>
      <c r="D496" s="262" t="s">
        <v>2935</v>
      </c>
      <c r="E496" s="263">
        <v>4</v>
      </c>
      <c r="F496" s="262" t="s">
        <v>2419</v>
      </c>
      <c r="G496" s="262" t="s">
        <v>2885</v>
      </c>
      <c r="H496" s="395"/>
    </row>
    <row r="497" spans="1:8" ht="14.55" hidden="1" customHeight="1" x14ac:dyDescent="0.3">
      <c r="A497" s="262" t="s">
        <v>2922</v>
      </c>
      <c r="B497" s="262" t="s">
        <v>2370</v>
      </c>
      <c r="C497" s="262" t="s">
        <v>2371</v>
      </c>
      <c r="D497" s="262" t="s">
        <v>2936</v>
      </c>
      <c r="E497" s="263">
        <v>4</v>
      </c>
      <c r="F497" s="262" t="s">
        <v>2419</v>
      </c>
      <c r="G497" s="262" t="s">
        <v>2420</v>
      </c>
      <c r="H497" s="395"/>
    </row>
    <row r="498" spans="1:8" ht="14.55" hidden="1" customHeight="1" x14ac:dyDescent="0.3">
      <c r="A498" s="262" t="s">
        <v>2922</v>
      </c>
      <c r="B498" s="262" t="s">
        <v>2380</v>
      </c>
      <c r="C498" s="262" t="s">
        <v>2371</v>
      </c>
      <c r="D498" s="262" t="s">
        <v>2937</v>
      </c>
      <c r="E498" s="263">
        <v>4</v>
      </c>
      <c r="F498" s="262" t="s">
        <v>2419</v>
      </c>
      <c r="G498" s="262" t="s">
        <v>2885</v>
      </c>
      <c r="H498" s="395"/>
    </row>
    <row r="499" spans="1:8" ht="14.55" hidden="1" customHeight="1" x14ac:dyDescent="0.3">
      <c r="A499" s="262" t="s">
        <v>2922</v>
      </c>
      <c r="B499" s="262" t="s">
        <v>2370</v>
      </c>
      <c r="C499" s="262" t="s">
        <v>2371</v>
      </c>
      <c r="D499" s="262" t="s">
        <v>2938</v>
      </c>
      <c r="E499" s="263">
        <v>4</v>
      </c>
      <c r="F499" s="262" t="s">
        <v>2419</v>
      </c>
      <c r="G499" s="262" t="s">
        <v>2420</v>
      </c>
      <c r="H499" s="395"/>
    </row>
    <row r="500" spans="1:8" ht="14.55" hidden="1" customHeight="1" x14ac:dyDescent="0.3">
      <c r="A500" s="262" t="s">
        <v>2922</v>
      </c>
      <c r="B500" s="262" t="s">
        <v>2370</v>
      </c>
      <c r="C500" s="262" t="s">
        <v>2371</v>
      </c>
      <c r="D500" s="262" t="s">
        <v>2939</v>
      </c>
      <c r="E500" s="263">
        <v>4</v>
      </c>
      <c r="F500" s="262" t="s">
        <v>2419</v>
      </c>
      <c r="G500" s="262" t="s">
        <v>2420</v>
      </c>
      <c r="H500" s="395"/>
    </row>
    <row r="501" spans="1:8" ht="14.55" hidden="1" customHeight="1" x14ac:dyDescent="0.3">
      <c r="A501" s="262" t="s">
        <v>2922</v>
      </c>
      <c r="B501" s="262" t="s">
        <v>2370</v>
      </c>
      <c r="C501" s="262" t="s">
        <v>2371</v>
      </c>
      <c r="D501" s="262" t="s">
        <v>2940</v>
      </c>
      <c r="E501" s="263">
        <v>4</v>
      </c>
      <c r="F501" s="262" t="s">
        <v>2373</v>
      </c>
      <c r="G501" s="262" t="s">
        <v>2596</v>
      </c>
      <c r="H501" s="395"/>
    </row>
    <row r="502" spans="1:8" ht="14.55" hidden="1" customHeight="1" x14ac:dyDescent="0.3">
      <c r="A502" s="262" t="s">
        <v>2922</v>
      </c>
      <c r="B502" s="262" t="s">
        <v>2370</v>
      </c>
      <c r="C502" s="262" t="s">
        <v>2371</v>
      </c>
      <c r="D502" s="262" t="s">
        <v>2941</v>
      </c>
      <c r="E502" s="263">
        <v>4</v>
      </c>
      <c r="F502" s="262" t="s">
        <v>2419</v>
      </c>
      <c r="G502" s="262" t="s">
        <v>2420</v>
      </c>
      <c r="H502" s="395"/>
    </row>
    <row r="503" spans="1:8" ht="14.55" hidden="1" customHeight="1" x14ac:dyDescent="0.3">
      <c r="A503" s="262" t="s">
        <v>2922</v>
      </c>
      <c r="B503" s="262" t="s">
        <v>2370</v>
      </c>
      <c r="C503" s="262" t="s">
        <v>2371</v>
      </c>
      <c r="D503" s="262" t="s">
        <v>2942</v>
      </c>
      <c r="E503" s="263">
        <v>4</v>
      </c>
      <c r="F503" s="262" t="s">
        <v>2419</v>
      </c>
      <c r="G503" s="262" t="s">
        <v>2885</v>
      </c>
      <c r="H503" s="395"/>
    </row>
    <row r="504" spans="1:8" ht="14.55" hidden="1" customHeight="1" x14ac:dyDescent="0.3">
      <c r="A504" s="262" t="s">
        <v>2922</v>
      </c>
      <c r="B504" s="262" t="s">
        <v>2370</v>
      </c>
      <c r="C504" s="262" t="s">
        <v>2371</v>
      </c>
      <c r="D504" s="262" t="s">
        <v>2943</v>
      </c>
      <c r="E504" s="263">
        <v>4</v>
      </c>
      <c r="F504" s="262" t="s">
        <v>2419</v>
      </c>
      <c r="G504" s="262" t="s">
        <v>2420</v>
      </c>
      <c r="H504" s="395"/>
    </row>
    <row r="505" spans="1:8" ht="14.55" hidden="1" customHeight="1" x14ac:dyDescent="0.3">
      <c r="A505" s="262" t="s">
        <v>2922</v>
      </c>
      <c r="B505" s="262" t="s">
        <v>2380</v>
      </c>
      <c r="C505" s="262" t="s">
        <v>2371</v>
      </c>
      <c r="D505" s="262" t="s">
        <v>2944</v>
      </c>
      <c r="E505" s="263">
        <v>4</v>
      </c>
      <c r="F505" s="262" t="s">
        <v>2419</v>
      </c>
      <c r="G505" s="262" t="s">
        <v>2420</v>
      </c>
      <c r="H505" s="395"/>
    </row>
    <row r="506" spans="1:8" ht="14.55" hidden="1" customHeight="1" x14ac:dyDescent="0.3">
      <c r="A506" s="262" t="s">
        <v>2922</v>
      </c>
      <c r="B506" s="262" t="s">
        <v>2370</v>
      </c>
      <c r="C506" s="262" t="s">
        <v>2371</v>
      </c>
      <c r="D506" s="262" t="s">
        <v>2945</v>
      </c>
      <c r="E506" s="263">
        <v>8</v>
      </c>
      <c r="F506" s="262" t="s">
        <v>2376</v>
      </c>
      <c r="G506" s="262" t="s">
        <v>2406</v>
      </c>
      <c r="H506" s="395"/>
    </row>
    <row r="507" spans="1:8" ht="14.55" hidden="1" customHeight="1" x14ac:dyDescent="0.3">
      <c r="A507" s="262" t="s">
        <v>2922</v>
      </c>
      <c r="B507" s="262" t="s">
        <v>2370</v>
      </c>
      <c r="C507" s="262" t="s">
        <v>2371</v>
      </c>
      <c r="D507" s="262" t="s">
        <v>2946</v>
      </c>
      <c r="E507" s="263">
        <v>6</v>
      </c>
      <c r="F507" s="262" t="s">
        <v>2419</v>
      </c>
      <c r="G507" s="262" t="s">
        <v>2488</v>
      </c>
      <c r="H507" s="395"/>
    </row>
    <row r="508" spans="1:8" ht="14.55" hidden="1" customHeight="1" x14ac:dyDescent="0.3">
      <c r="A508" s="262" t="s">
        <v>2922</v>
      </c>
      <c r="B508" s="262" t="s">
        <v>2380</v>
      </c>
      <c r="C508" s="262" t="s">
        <v>2371</v>
      </c>
      <c r="D508" s="262" t="s">
        <v>2947</v>
      </c>
      <c r="E508" s="263">
        <v>8</v>
      </c>
      <c r="F508" s="262" t="s">
        <v>2419</v>
      </c>
      <c r="G508" s="262" t="s">
        <v>2488</v>
      </c>
      <c r="H508" s="395"/>
    </row>
    <row r="509" spans="1:8" ht="14.55" hidden="1" customHeight="1" x14ac:dyDescent="0.3">
      <c r="A509" s="262" t="s">
        <v>2922</v>
      </c>
      <c r="B509" s="262" t="s">
        <v>2370</v>
      </c>
      <c r="C509" s="262" t="s">
        <v>2371</v>
      </c>
      <c r="D509" s="262" t="s">
        <v>2948</v>
      </c>
      <c r="E509" s="263">
        <v>6</v>
      </c>
      <c r="F509" s="262" t="s">
        <v>2373</v>
      </c>
      <c r="G509" s="262" t="s">
        <v>2644</v>
      </c>
      <c r="H509" s="395"/>
    </row>
    <row r="510" spans="1:8" ht="14.55" hidden="1" customHeight="1" x14ac:dyDescent="0.3">
      <c r="A510" s="262" t="s">
        <v>2922</v>
      </c>
      <c r="B510" s="262" t="s">
        <v>2380</v>
      </c>
      <c r="C510" s="262" t="s">
        <v>2371</v>
      </c>
      <c r="D510" s="262" t="s">
        <v>2949</v>
      </c>
      <c r="E510" s="263">
        <v>6</v>
      </c>
      <c r="F510" s="262" t="s">
        <v>2389</v>
      </c>
      <c r="G510" s="262" t="s">
        <v>2428</v>
      </c>
      <c r="H510" s="395"/>
    </row>
    <row r="511" spans="1:8" ht="14.55" hidden="1" customHeight="1" x14ac:dyDescent="0.3">
      <c r="A511" s="262" t="s">
        <v>2922</v>
      </c>
      <c r="B511" s="262" t="s">
        <v>2370</v>
      </c>
      <c r="C511" s="262" t="s">
        <v>2371</v>
      </c>
      <c r="D511" s="262" t="s">
        <v>2950</v>
      </c>
      <c r="E511" s="263">
        <v>8</v>
      </c>
      <c r="F511" s="262" t="s">
        <v>2373</v>
      </c>
      <c r="G511" s="262" t="s">
        <v>2723</v>
      </c>
      <c r="H511" s="395"/>
    </row>
    <row r="512" spans="1:8" ht="14.55" hidden="1" customHeight="1" x14ac:dyDescent="0.3">
      <c r="A512" s="262" t="s">
        <v>2922</v>
      </c>
      <c r="B512" s="262" t="s">
        <v>2370</v>
      </c>
      <c r="C512" s="262" t="s">
        <v>2371</v>
      </c>
      <c r="D512" s="262" t="s">
        <v>2951</v>
      </c>
      <c r="E512" s="263">
        <v>6</v>
      </c>
      <c r="F512" s="262" t="s">
        <v>2419</v>
      </c>
      <c r="G512" s="262" t="s">
        <v>2480</v>
      </c>
      <c r="H512" s="395"/>
    </row>
    <row r="513" spans="1:8" ht="14.55" hidden="1" customHeight="1" x14ac:dyDescent="0.3">
      <c r="A513" s="262" t="s">
        <v>2922</v>
      </c>
      <c r="B513" s="262" t="s">
        <v>2380</v>
      </c>
      <c r="C513" s="262" t="s">
        <v>2371</v>
      </c>
      <c r="D513" s="262" t="s">
        <v>2952</v>
      </c>
      <c r="E513" s="263">
        <v>8</v>
      </c>
      <c r="F513" s="262" t="s">
        <v>2379</v>
      </c>
      <c r="G513" s="262" t="s">
        <v>2953</v>
      </c>
      <c r="H513" s="395"/>
    </row>
    <row r="514" spans="1:8" ht="14.55" hidden="1" customHeight="1" x14ac:dyDescent="0.3">
      <c r="A514" s="262" t="s">
        <v>2922</v>
      </c>
      <c r="B514" s="262" t="s">
        <v>2380</v>
      </c>
      <c r="C514" s="262" t="s">
        <v>2371</v>
      </c>
      <c r="D514" s="262" t="s">
        <v>2954</v>
      </c>
      <c r="E514" s="263">
        <v>4</v>
      </c>
      <c r="F514" s="262" t="s">
        <v>2373</v>
      </c>
      <c r="G514" s="262" t="s">
        <v>2392</v>
      </c>
      <c r="H514" s="395"/>
    </row>
    <row r="515" spans="1:8" ht="14.55" hidden="1" customHeight="1" x14ac:dyDescent="0.3">
      <c r="A515" s="262" t="s">
        <v>2922</v>
      </c>
      <c r="B515" s="262" t="s">
        <v>2370</v>
      </c>
      <c r="C515" s="262" t="s">
        <v>2371</v>
      </c>
      <c r="D515" s="262" t="s">
        <v>2955</v>
      </c>
      <c r="E515" s="263">
        <v>6</v>
      </c>
      <c r="F515" s="262" t="s">
        <v>2419</v>
      </c>
      <c r="G515" s="262" t="s">
        <v>2480</v>
      </c>
      <c r="H515" s="395"/>
    </row>
    <row r="516" spans="1:8" ht="14.55" hidden="1" customHeight="1" x14ac:dyDescent="0.3">
      <c r="A516" s="262" t="s">
        <v>2922</v>
      </c>
      <c r="B516" s="262" t="s">
        <v>2380</v>
      </c>
      <c r="C516" s="262" t="s">
        <v>2371</v>
      </c>
      <c r="D516" s="262" t="s">
        <v>2956</v>
      </c>
      <c r="E516" s="263">
        <v>8</v>
      </c>
      <c r="F516" s="262" t="s">
        <v>2379</v>
      </c>
      <c r="G516" s="262" t="s">
        <v>2957</v>
      </c>
      <c r="H516" s="395"/>
    </row>
    <row r="517" spans="1:8" ht="14.55" hidden="1" customHeight="1" x14ac:dyDescent="0.3">
      <c r="A517" s="262" t="s">
        <v>2922</v>
      </c>
      <c r="B517" s="262" t="s">
        <v>2370</v>
      </c>
      <c r="C517" s="262" t="s">
        <v>2371</v>
      </c>
      <c r="D517" s="262" t="s">
        <v>2958</v>
      </c>
      <c r="E517" s="263">
        <v>6</v>
      </c>
      <c r="F517" s="262" t="s">
        <v>2389</v>
      </c>
      <c r="G517" s="262" t="s">
        <v>2428</v>
      </c>
      <c r="H517" s="395"/>
    </row>
    <row r="518" spans="1:8" ht="14.55" hidden="1" customHeight="1" x14ac:dyDescent="0.3">
      <c r="A518" s="262" t="s">
        <v>2922</v>
      </c>
      <c r="B518" s="262" t="s">
        <v>2380</v>
      </c>
      <c r="C518" s="262" t="s">
        <v>2371</v>
      </c>
      <c r="D518" s="262" t="s">
        <v>2959</v>
      </c>
      <c r="E518" s="263">
        <v>8</v>
      </c>
      <c r="F518" s="262" t="s">
        <v>2376</v>
      </c>
      <c r="G518" s="262" t="s">
        <v>2377</v>
      </c>
      <c r="H518" s="395"/>
    </row>
    <row r="519" spans="1:8" ht="14.55" hidden="1" customHeight="1" x14ac:dyDescent="0.3">
      <c r="A519" s="262" t="s">
        <v>2922</v>
      </c>
      <c r="B519" s="262" t="s">
        <v>2380</v>
      </c>
      <c r="C519" s="262" t="s">
        <v>2371</v>
      </c>
      <c r="D519" s="262" t="s">
        <v>2960</v>
      </c>
      <c r="E519" s="263">
        <v>8</v>
      </c>
      <c r="F519" s="262" t="s">
        <v>2373</v>
      </c>
      <c r="G519" s="262" t="s">
        <v>2374</v>
      </c>
      <c r="H519" s="395"/>
    </row>
    <row r="520" spans="1:8" ht="14.55" hidden="1" customHeight="1" x14ac:dyDescent="0.3">
      <c r="A520" s="262" t="s">
        <v>2922</v>
      </c>
      <c r="B520" s="262" t="s">
        <v>2380</v>
      </c>
      <c r="C520" s="262" t="s">
        <v>2371</v>
      </c>
      <c r="D520" s="262" t="s">
        <v>2961</v>
      </c>
      <c r="E520" s="263">
        <v>8</v>
      </c>
      <c r="F520" s="262" t="s">
        <v>2379</v>
      </c>
      <c r="G520" s="262" t="s">
        <v>2396</v>
      </c>
      <c r="H520" s="395"/>
    </row>
    <row r="521" spans="1:8" ht="14.55" hidden="1" customHeight="1" x14ac:dyDescent="0.3">
      <c r="A521" s="262" t="s">
        <v>2922</v>
      </c>
      <c r="B521" s="262" t="s">
        <v>2370</v>
      </c>
      <c r="C521" s="262" t="s">
        <v>2371</v>
      </c>
      <c r="D521" s="262" t="s">
        <v>2962</v>
      </c>
      <c r="E521" s="263">
        <v>6</v>
      </c>
      <c r="F521" s="262" t="s">
        <v>2419</v>
      </c>
      <c r="G521" s="262" t="s">
        <v>2420</v>
      </c>
      <c r="H521" s="395"/>
    </row>
    <row r="522" spans="1:8" ht="14.55" hidden="1" customHeight="1" x14ac:dyDescent="0.3">
      <c r="A522" s="262" t="s">
        <v>2922</v>
      </c>
      <c r="B522" s="262" t="s">
        <v>2370</v>
      </c>
      <c r="C522" s="262" t="s">
        <v>2371</v>
      </c>
      <c r="D522" s="262" t="s">
        <v>2963</v>
      </c>
      <c r="E522" s="263">
        <v>6</v>
      </c>
      <c r="F522" s="262" t="s">
        <v>2373</v>
      </c>
      <c r="G522" s="262" t="s">
        <v>2374</v>
      </c>
      <c r="H522" s="395"/>
    </row>
    <row r="523" spans="1:8" ht="14.55" hidden="1" customHeight="1" x14ac:dyDescent="0.3">
      <c r="A523" s="262" t="s">
        <v>2922</v>
      </c>
      <c r="B523" s="262" t="s">
        <v>2370</v>
      </c>
      <c r="C523" s="262" t="s">
        <v>2371</v>
      </c>
      <c r="D523" s="262" t="s">
        <v>2964</v>
      </c>
      <c r="E523" s="263">
        <v>8</v>
      </c>
      <c r="F523" s="262" t="s">
        <v>2379</v>
      </c>
      <c r="G523" s="262" t="s">
        <v>2396</v>
      </c>
      <c r="H523" s="395"/>
    </row>
    <row r="524" spans="1:8" ht="14.55" hidden="1" customHeight="1" x14ac:dyDescent="0.3">
      <c r="A524" s="262" t="s">
        <v>2922</v>
      </c>
      <c r="B524" s="262" t="s">
        <v>2380</v>
      </c>
      <c r="C524" s="262" t="s">
        <v>2371</v>
      </c>
      <c r="D524" s="262" t="s">
        <v>2965</v>
      </c>
      <c r="E524" s="263">
        <v>8</v>
      </c>
      <c r="F524" s="262" t="s">
        <v>2379</v>
      </c>
      <c r="G524" s="262" t="s">
        <v>2470</v>
      </c>
      <c r="H524" s="395"/>
    </row>
    <row r="525" spans="1:8" ht="14.55" hidden="1" customHeight="1" x14ac:dyDescent="0.3">
      <c r="A525" s="262" t="s">
        <v>2922</v>
      </c>
      <c r="B525" s="262" t="s">
        <v>2370</v>
      </c>
      <c r="C525" s="262" t="s">
        <v>2371</v>
      </c>
      <c r="D525" s="262" t="s">
        <v>2966</v>
      </c>
      <c r="E525" s="263">
        <v>4</v>
      </c>
      <c r="F525" s="262" t="s">
        <v>2379</v>
      </c>
      <c r="G525" s="262" t="s">
        <v>2396</v>
      </c>
      <c r="H525" s="395"/>
    </row>
    <row r="526" spans="1:8" ht="14.55" hidden="1" customHeight="1" x14ac:dyDescent="0.3">
      <c r="A526" s="262" t="s">
        <v>2922</v>
      </c>
      <c r="B526" s="262" t="s">
        <v>2370</v>
      </c>
      <c r="C526" s="262" t="s">
        <v>2371</v>
      </c>
      <c r="D526" s="262" t="s">
        <v>2967</v>
      </c>
      <c r="E526" s="263">
        <v>6</v>
      </c>
      <c r="F526" s="262" t="s">
        <v>2389</v>
      </c>
      <c r="G526" s="262" t="s">
        <v>2428</v>
      </c>
      <c r="H526" s="395"/>
    </row>
    <row r="527" spans="1:8" ht="14.55" hidden="1" customHeight="1" x14ac:dyDescent="0.3">
      <c r="A527" s="262" t="s">
        <v>2922</v>
      </c>
      <c r="B527" s="262" t="s">
        <v>2370</v>
      </c>
      <c r="C527" s="262" t="s">
        <v>2371</v>
      </c>
      <c r="D527" s="262" t="s">
        <v>2968</v>
      </c>
      <c r="E527" s="263">
        <v>6</v>
      </c>
      <c r="F527" s="262" t="s">
        <v>2389</v>
      </c>
      <c r="G527" s="262" t="s">
        <v>2428</v>
      </c>
      <c r="H527" s="395"/>
    </row>
    <row r="528" spans="1:8" ht="14.55" hidden="1" customHeight="1" x14ac:dyDescent="0.3">
      <c r="A528" s="262" t="s">
        <v>2922</v>
      </c>
      <c r="B528" s="262" t="s">
        <v>2370</v>
      </c>
      <c r="C528" s="262" t="s">
        <v>2371</v>
      </c>
      <c r="D528" s="262" t="s">
        <v>2969</v>
      </c>
      <c r="E528" s="263">
        <v>4</v>
      </c>
      <c r="F528" s="262" t="s">
        <v>2389</v>
      </c>
      <c r="G528" s="262" t="s">
        <v>2408</v>
      </c>
      <c r="H528" s="395"/>
    </row>
    <row r="529" spans="1:8" ht="14.55" hidden="1" customHeight="1" x14ac:dyDescent="0.3">
      <c r="A529" s="262" t="s">
        <v>2922</v>
      </c>
      <c r="B529" s="262" t="s">
        <v>2380</v>
      </c>
      <c r="C529" s="262" t="s">
        <v>2371</v>
      </c>
      <c r="D529" s="262" t="s">
        <v>2970</v>
      </c>
      <c r="E529" s="263">
        <v>6</v>
      </c>
      <c r="F529" s="262" t="s">
        <v>2389</v>
      </c>
      <c r="G529" s="262" t="s">
        <v>2408</v>
      </c>
      <c r="H529" s="395"/>
    </row>
    <row r="530" spans="1:8" ht="14.55" hidden="1" customHeight="1" x14ac:dyDescent="0.3">
      <c r="A530" s="262" t="s">
        <v>2922</v>
      </c>
      <c r="B530" s="262" t="s">
        <v>2370</v>
      </c>
      <c r="C530" s="262" t="s">
        <v>2371</v>
      </c>
      <c r="D530" s="262" t="s">
        <v>2971</v>
      </c>
      <c r="E530" s="263">
        <v>8</v>
      </c>
      <c r="F530" s="262" t="s">
        <v>2373</v>
      </c>
      <c r="G530" s="262" t="s">
        <v>2374</v>
      </c>
      <c r="H530" s="395"/>
    </row>
    <row r="531" spans="1:8" ht="14.55" hidden="1" customHeight="1" x14ac:dyDescent="0.3">
      <c r="A531" s="262" t="s">
        <v>2922</v>
      </c>
      <c r="B531" s="262" t="s">
        <v>2380</v>
      </c>
      <c r="C531" s="262" t="s">
        <v>2371</v>
      </c>
      <c r="D531" s="262" t="s">
        <v>2972</v>
      </c>
      <c r="E531" s="263">
        <v>8</v>
      </c>
      <c r="F531" s="262" t="s">
        <v>2379</v>
      </c>
      <c r="G531" s="262" t="s">
        <v>2463</v>
      </c>
      <c r="H531" s="395"/>
    </row>
    <row r="532" spans="1:8" ht="14.55" hidden="1" customHeight="1" x14ac:dyDescent="0.3">
      <c r="A532" s="262" t="s">
        <v>2922</v>
      </c>
      <c r="B532" s="262" t="s">
        <v>2370</v>
      </c>
      <c r="C532" s="262" t="s">
        <v>2371</v>
      </c>
      <c r="D532" s="262" t="s">
        <v>2973</v>
      </c>
      <c r="E532" s="263">
        <v>8</v>
      </c>
      <c r="F532" s="262" t="s">
        <v>2419</v>
      </c>
      <c r="G532" s="262" t="s">
        <v>2420</v>
      </c>
      <c r="H532" s="395"/>
    </row>
    <row r="533" spans="1:8" x14ac:dyDescent="0.3">
      <c r="A533" s="264" t="s">
        <v>2922</v>
      </c>
      <c r="B533" s="264" t="s">
        <v>2370</v>
      </c>
      <c r="C533" s="264" t="s">
        <v>2371</v>
      </c>
      <c r="D533" s="264" t="s">
        <v>2974</v>
      </c>
      <c r="E533" s="265">
        <v>4</v>
      </c>
      <c r="F533" s="264" t="s">
        <v>2379</v>
      </c>
      <c r="G533" s="264" t="s">
        <v>2402</v>
      </c>
      <c r="H533" s="396"/>
    </row>
    <row r="534" spans="1:8" ht="14.55" hidden="1" customHeight="1" x14ac:dyDescent="0.3">
      <c r="A534" s="262" t="s">
        <v>2922</v>
      </c>
      <c r="B534" s="262" t="s">
        <v>2370</v>
      </c>
      <c r="C534" s="262" t="s">
        <v>2371</v>
      </c>
      <c r="D534" s="262" t="s">
        <v>2975</v>
      </c>
      <c r="E534" s="263">
        <v>7</v>
      </c>
      <c r="F534" s="262" t="s">
        <v>2419</v>
      </c>
      <c r="G534" s="262" t="s">
        <v>2420</v>
      </c>
      <c r="H534" s="395"/>
    </row>
    <row r="535" spans="1:8" ht="14.55" hidden="1" customHeight="1" x14ac:dyDescent="0.3">
      <c r="A535" s="262" t="s">
        <v>2922</v>
      </c>
      <c r="B535" s="262" t="s">
        <v>2370</v>
      </c>
      <c r="C535" s="262" t="s">
        <v>2371</v>
      </c>
      <c r="D535" s="262" t="s">
        <v>2976</v>
      </c>
      <c r="E535" s="263">
        <v>6</v>
      </c>
      <c r="F535" s="262" t="s">
        <v>2373</v>
      </c>
      <c r="G535" s="262" t="s">
        <v>2596</v>
      </c>
      <c r="H535" s="395"/>
    </row>
    <row r="536" spans="1:8" ht="14.55" hidden="1" customHeight="1" x14ac:dyDescent="0.3">
      <c r="A536" s="262" t="s">
        <v>2922</v>
      </c>
      <c r="B536" s="262" t="s">
        <v>2370</v>
      </c>
      <c r="C536" s="262" t="s">
        <v>2371</v>
      </c>
      <c r="D536" s="262" t="s">
        <v>2977</v>
      </c>
      <c r="E536" s="263">
        <v>6</v>
      </c>
      <c r="F536" s="262" t="s">
        <v>2419</v>
      </c>
      <c r="G536" s="262" t="s">
        <v>2480</v>
      </c>
      <c r="H536" s="395"/>
    </row>
    <row r="537" spans="1:8" ht="14.55" hidden="1" customHeight="1" x14ac:dyDescent="0.3">
      <c r="A537" s="262" t="s">
        <v>2922</v>
      </c>
      <c r="B537" s="262" t="s">
        <v>2370</v>
      </c>
      <c r="C537" s="262" t="s">
        <v>2371</v>
      </c>
      <c r="D537" s="262" t="s">
        <v>2978</v>
      </c>
      <c r="E537" s="263">
        <v>8</v>
      </c>
      <c r="F537" s="262" t="s">
        <v>2379</v>
      </c>
      <c r="G537" s="262" t="s">
        <v>2463</v>
      </c>
      <c r="H537" s="395"/>
    </row>
    <row r="538" spans="1:8" ht="14.55" hidden="1" customHeight="1" x14ac:dyDescent="0.3">
      <c r="A538" s="262" t="s">
        <v>2922</v>
      </c>
      <c r="B538" s="262" t="s">
        <v>2370</v>
      </c>
      <c r="C538" s="262" t="s">
        <v>2371</v>
      </c>
      <c r="D538" s="262" t="s">
        <v>2979</v>
      </c>
      <c r="E538" s="263">
        <v>8</v>
      </c>
      <c r="F538" s="262" t="s">
        <v>2373</v>
      </c>
      <c r="G538" s="262" t="s">
        <v>2596</v>
      </c>
      <c r="H538" s="395"/>
    </row>
    <row r="539" spans="1:8" ht="14.55" hidden="1" customHeight="1" x14ac:dyDescent="0.3">
      <c r="A539" s="262" t="s">
        <v>2922</v>
      </c>
      <c r="B539" s="262" t="s">
        <v>2370</v>
      </c>
      <c r="C539" s="262" t="s">
        <v>2371</v>
      </c>
      <c r="D539" s="262" t="s">
        <v>2980</v>
      </c>
      <c r="E539" s="263">
        <v>4</v>
      </c>
      <c r="F539" s="262" t="s">
        <v>2419</v>
      </c>
      <c r="G539" s="262" t="s">
        <v>2605</v>
      </c>
      <c r="H539" s="395"/>
    </row>
    <row r="540" spans="1:8" ht="14.55" hidden="1" customHeight="1" x14ac:dyDescent="0.3">
      <c r="A540" s="262" t="s">
        <v>2922</v>
      </c>
      <c r="B540" s="262" t="s">
        <v>2370</v>
      </c>
      <c r="C540" s="262" t="s">
        <v>2371</v>
      </c>
      <c r="D540" s="262" t="s">
        <v>2981</v>
      </c>
      <c r="E540" s="263">
        <v>6</v>
      </c>
      <c r="F540" s="262" t="s">
        <v>2389</v>
      </c>
      <c r="G540" s="262" t="s">
        <v>2428</v>
      </c>
      <c r="H540" s="395"/>
    </row>
    <row r="541" spans="1:8" ht="14.55" hidden="1" customHeight="1" x14ac:dyDescent="0.3">
      <c r="A541" s="262" t="s">
        <v>2922</v>
      </c>
      <c r="B541" s="262" t="s">
        <v>2380</v>
      </c>
      <c r="C541" s="262" t="s">
        <v>2371</v>
      </c>
      <c r="D541" s="262" t="s">
        <v>2982</v>
      </c>
      <c r="E541" s="263">
        <v>6</v>
      </c>
      <c r="F541" s="262" t="s">
        <v>2373</v>
      </c>
      <c r="G541" s="262" t="s">
        <v>2453</v>
      </c>
      <c r="H541" s="395"/>
    </row>
    <row r="542" spans="1:8" ht="14.55" hidden="1" customHeight="1" x14ac:dyDescent="0.3">
      <c r="A542" s="262" t="s">
        <v>2922</v>
      </c>
      <c r="B542" s="262" t="s">
        <v>2380</v>
      </c>
      <c r="C542" s="262" t="s">
        <v>2371</v>
      </c>
      <c r="D542" s="262" t="s">
        <v>2983</v>
      </c>
      <c r="E542" s="263">
        <v>4</v>
      </c>
      <c r="F542" s="262" t="s">
        <v>2373</v>
      </c>
      <c r="G542" s="262" t="s">
        <v>2392</v>
      </c>
      <c r="H542" s="395"/>
    </row>
    <row r="543" spans="1:8" ht="14.55" hidden="1" customHeight="1" x14ac:dyDescent="0.3">
      <c r="A543" s="262" t="s">
        <v>2922</v>
      </c>
      <c r="B543" s="262" t="s">
        <v>2380</v>
      </c>
      <c r="C543" s="262" t="s">
        <v>2371</v>
      </c>
      <c r="D543" s="262" t="s">
        <v>2984</v>
      </c>
      <c r="E543" s="263">
        <v>8</v>
      </c>
      <c r="F543" s="262" t="s">
        <v>2419</v>
      </c>
      <c r="G543" s="262" t="s">
        <v>2432</v>
      </c>
      <c r="H543" s="395"/>
    </row>
    <row r="544" spans="1:8" ht="14.55" hidden="1" customHeight="1" x14ac:dyDescent="0.3">
      <c r="A544" s="262" t="s">
        <v>2922</v>
      </c>
      <c r="B544" s="262" t="s">
        <v>2370</v>
      </c>
      <c r="C544" s="262" t="s">
        <v>2371</v>
      </c>
      <c r="D544" s="262" t="s">
        <v>2985</v>
      </c>
      <c r="E544" s="263">
        <v>6</v>
      </c>
      <c r="F544" s="262" t="s">
        <v>2373</v>
      </c>
      <c r="G544" s="262" t="s">
        <v>2392</v>
      </c>
      <c r="H544" s="395"/>
    </row>
    <row r="545" spans="1:8" ht="14.55" hidden="1" customHeight="1" x14ac:dyDescent="0.3">
      <c r="A545" s="262" t="s">
        <v>2922</v>
      </c>
      <c r="B545" s="262" t="s">
        <v>2380</v>
      </c>
      <c r="C545" s="262" t="s">
        <v>2371</v>
      </c>
      <c r="D545" s="262" t="s">
        <v>2986</v>
      </c>
      <c r="E545" s="263">
        <v>8</v>
      </c>
      <c r="F545" s="262" t="s">
        <v>2379</v>
      </c>
      <c r="G545" s="262" t="s">
        <v>2463</v>
      </c>
      <c r="H545" s="395"/>
    </row>
    <row r="546" spans="1:8" ht="14.55" hidden="1" customHeight="1" x14ac:dyDescent="0.3">
      <c r="A546" s="262" t="s">
        <v>2922</v>
      </c>
      <c r="B546" s="262" t="s">
        <v>2370</v>
      </c>
      <c r="C546" s="262" t="s">
        <v>2371</v>
      </c>
      <c r="D546" s="262" t="s">
        <v>2987</v>
      </c>
      <c r="E546" s="263">
        <v>4</v>
      </c>
      <c r="F546" s="262" t="s">
        <v>2419</v>
      </c>
      <c r="G546" s="262" t="s">
        <v>2480</v>
      </c>
      <c r="H546" s="395"/>
    </row>
    <row r="547" spans="1:8" x14ac:dyDescent="0.3">
      <c r="A547" s="264" t="s">
        <v>2922</v>
      </c>
      <c r="B547" s="264" t="s">
        <v>2370</v>
      </c>
      <c r="C547" s="264" t="s">
        <v>2371</v>
      </c>
      <c r="D547" s="264" t="s">
        <v>2988</v>
      </c>
      <c r="E547" s="265">
        <v>8</v>
      </c>
      <c r="F547" s="264" t="s">
        <v>2379</v>
      </c>
      <c r="G547" s="264" t="s">
        <v>2402</v>
      </c>
      <c r="H547" s="396"/>
    </row>
    <row r="548" spans="1:8" ht="14.55" hidden="1" customHeight="1" x14ac:dyDescent="0.3">
      <c r="A548" s="262" t="s">
        <v>2922</v>
      </c>
      <c r="B548" s="262" t="s">
        <v>2370</v>
      </c>
      <c r="C548" s="262" t="s">
        <v>2371</v>
      </c>
      <c r="D548" s="262" t="s">
        <v>2989</v>
      </c>
      <c r="E548" s="263">
        <v>8</v>
      </c>
      <c r="F548" s="262" t="s">
        <v>2373</v>
      </c>
      <c r="G548" s="262" t="s">
        <v>2449</v>
      </c>
      <c r="H548" s="395"/>
    </row>
    <row r="549" spans="1:8" ht="14.55" hidden="1" customHeight="1" x14ac:dyDescent="0.3">
      <c r="A549" s="262" t="s">
        <v>2922</v>
      </c>
      <c r="B549" s="262" t="s">
        <v>2370</v>
      </c>
      <c r="C549" s="262" t="s">
        <v>2371</v>
      </c>
      <c r="D549" s="262" t="s">
        <v>2990</v>
      </c>
      <c r="E549" s="263">
        <v>6</v>
      </c>
      <c r="F549" s="262" t="s">
        <v>2373</v>
      </c>
      <c r="G549" s="262" t="s">
        <v>2374</v>
      </c>
      <c r="H549" s="395"/>
    </row>
    <row r="550" spans="1:8" ht="14.55" hidden="1" customHeight="1" x14ac:dyDescent="0.3">
      <c r="A550" s="262" t="s">
        <v>2922</v>
      </c>
      <c r="B550" s="262" t="s">
        <v>2370</v>
      </c>
      <c r="C550" s="262" t="s">
        <v>2371</v>
      </c>
      <c r="D550" s="262" t="s">
        <v>2991</v>
      </c>
      <c r="E550" s="263">
        <v>8</v>
      </c>
      <c r="F550" s="262" t="s">
        <v>2419</v>
      </c>
      <c r="G550" s="262" t="s">
        <v>2432</v>
      </c>
      <c r="H550" s="395"/>
    </row>
    <row r="551" spans="1:8" ht="14.55" hidden="1" customHeight="1" x14ac:dyDescent="0.3">
      <c r="A551" s="262" t="s">
        <v>2922</v>
      </c>
      <c r="B551" s="262" t="s">
        <v>2370</v>
      </c>
      <c r="C551" s="262" t="s">
        <v>2371</v>
      </c>
      <c r="D551" s="262" t="s">
        <v>2992</v>
      </c>
      <c r="E551" s="263">
        <v>4</v>
      </c>
      <c r="F551" s="262" t="s">
        <v>2373</v>
      </c>
      <c r="G551" s="262" t="s">
        <v>2723</v>
      </c>
      <c r="H551" s="395"/>
    </row>
    <row r="552" spans="1:8" ht="14.55" hidden="1" customHeight="1" x14ac:dyDescent="0.3">
      <c r="A552" s="262" t="s">
        <v>2922</v>
      </c>
      <c r="B552" s="262" t="s">
        <v>2370</v>
      </c>
      <c r="C552" s="262" t="s">
        <v>2371</v>
      </c>
      <c r="D552" s="262" t="s">
        <v>2993</v>
      </c>
      <c r="E552" s="263">
        <v>6</v>
      </c>
      <c r="F552" s="262" t="s">
        <v>2419</v>
      </c>
      <c r="G552" s="262" t="s">
        <v>2420</v>
      </c>
      <c r="H552" s="395"/>
    </row>
    <row r="553" spans="1:8" ht="14.55" hidden="1" customHeight="1" x14ac:dyDescent="0.3">
      <c r="A553" s="262" t="s">
        <v>2994</v>
      </c>
      <c r="B553" s="262" t="s">
        <v>2370</v>
      </c>
      <c r="C553" s="262" t="s">
        <v>2371</v>
      </c>
      <c r="D553" s="262" t="s">
        <v>2995</v>
      </c>
      <c r="E553" s="263">
        <v>6</v>
      </c>
      <c r="F553" s="262" t="s">
        <v>2373</v>
      </c>
      <c r="G553" s="262" t="s">
        <v>2453</v>
      </c>
      <c r="H553" s="395"/>
    </row>
    <row r="554" spans="1:8" ht="14.55" hidden="1" customHeight="1" x14ac:dyDescent="0.3">
      <c r="A554" s="262" t="s">
        <v>2994</v>
      </c>
      <c r="B554" s="262" t="s">
        <v>2370</v>
      </c>
      <c r="C554" s="262" t="s">
        <v>2371</v>
      </c>
      <c r="D554" s="262" t="s">
        <v>2996</v>
      </c>
      <c r="E554" s="263">
        <v>8</v>
      </c>
      <c r="F554" s="262" t="s">
        <v>2419</v>
      </c>
      <c r="G554" s="262" t="s">
        <v>2420</v>
      </c>
      <c r="H554" s="395"/>
    </row>
    <row r="555" spans="1:8" ht="14.55" hidden="1" customHeight="1" x14ac:dyDescent="0.3">
      <c r="A555" s="262" t="s">
        <v>2994</v>
      </c>
      <c r="B555" s="262" t="s">
        <v>2380</v>
      </c>
      <c r="C555" s="262" t="s">
        <v>2371</v>
      </c>
      <c r="D555" s="262" t="s">
        <v>2997</v>
      </c>
      <c r="E555" s="263">
        <v>8</v>
      </c>
      <c r="F555" s="262" t="s">
        <v>2419</v>
      </c>
      <c r="G555" s="262" t="s">
        <v>2432</v>
      </c>
      <c r="H555" s="395"/>
    </row>
    <row r="556" spans="1:8" ht="14.55" hidden="1" customHeight="1" x14ac:dyDescent="0.3">
      <c r="A556" s="262" t="s">
        <v>2994</v>
      </c>
      <c r="B556" s="262" t="s">
        <v>2370</v>
      </c>
      <c r="C556" s="262" t="s">
        <v>2371</v>
      </c>
      <c r="D556" s="262" t="s">
        <v>2998</v>
      </c>
      <c r="E556" s="263">
        <v>6</v>
      </c>
      <c r="F556" s="262" t="s">
        <v>2373</v>
      </c>
      <c r="G556" s="262" t="s">
        <v>2392</v>
      </c>
      <c r="H556" s="395"/>
    </row>
    <row r="557" spans="1:8" ht="14.55" hidden="1" customHeight="1" x14ac:dyDescent="0.3">
      <c r="A557" s="262" t="s">
        <v>2994</v>
      </c>
      <c r="B557" s="262" t="s">
        <v>2370</v>
      </c>
      <c r="C557" s="262" t="s">
        <v>2371</v>
      </c>
      <c r="D557" s="262" t="s">
        <v>2999</v>
      </c>
      <c r="E557" s="263">
        <v>6</v>
      </c>
      <c r="F557" s="262" t="s">
        <v>2373</v>
      </c>
      <c r="G557" s="262" t="s">
        <v>2392</v>
      </c>
      <c r="H557" s="395"/>
    </row>
    <row r="558" spans="1:8" ht="14.55" hidden="1" customHeight="1" x14ac:dyDescent="0.3">
      <c r="A558" s="262" t="s">
        <v>2994</v>
      </c>
      <c r="B558" s="262" t="s">
        <v>2370</v>
      </c>
      <c r="C558" s="262" t="s">
        <v>2371</v>
      </c>
      <c r="D558" s="262" t="s">
        <v>3000</v>
      </c>
      <c r="E558" s="263">
        <v>8</v>
      </c>
      <c r="F558" s="262" t="s">
        <v>2419</v>
      </c>
      <c r="G558" s="262" t="s">
        <v>2432</v>
      </c>
      <c r="H558" s="395"/>
    </row>
    <row r="559" spans="1:8" ht="14.55" hidden="1" customHeight="1" x14ac:dyDescent="0.3">
      <c r="A559" s="262" t="s">
        <v>2994</v>
      </c>
      <c r="B559" s="262" t="s">
        <v>2380</v>
      </c>
      <c r="C559" s="262" t="s">
        <v>2371</v>
      </c>
      <c r="D559" s="262" t="s">
        <v>3001</v>
      </c>
      <c r="E559" s="263">
        <v>6</v>
      </c>
      <c r="F559" s="262" t="s">
        <v>2373</v>
      </c>
      <c r="G559" s="262" t="s">
        <v>3002</v>
      </c>
      <c r="H559" s="395"/>
    </row>
    <row r="560" spans="1:8" ht="14.55" hidden="1" customHeight="1" x14ac:dyDescent="0.3">
      <c r="A560" s="262" t="s">
        <v>2994</v>
      </c>
      <c r="B560" s="262" t="s">
        <v>2380</v>
      </c>
      <c r="C560" s="262" t="s">
        <v>2371</v>
      </c>
      <c r="D560" s="262" t="s">
        <v>3003</v>
      </c>
      <c r="E560" s="263">
        <v>8</v>
      </c>
      <c r="F560" s="262" t="s">
        <v>2373</v>
      </c>
      <c r="G560" s="262" t="s">
        <v>2449</v>
      </c>
      <c r="H560" s="395"/>
    </row>
    <row r="561" spans="1:8" ht="14.55" hidden="1" customHeight="1" x14ac:dyDescent="0.3">
      <c r="A561" s="262" t="s">
        <v>2994</v>
      </c>
      <c r="B561" s="262" t="s">
        <v>2370</v>
      </c>
      <c r="C561" s="262" t="s">
        <v>2371</v>
      </c>
      <c r="D561" s="262" t="s">
        <v>3004</v>
      </c>
      <c r="E561" s="263">
        <v>6</v>
      </c>
      <c r="F561" s="262" t="s">
        <v>2419</v>
      </c>
      <c r="G561" s="262" t="s">
        <v>2480</v>
      </c>
      <c r="H561" s="395"/>
    </row>
    <row r="562" spans="1:8" ht="14.55" hidden="1" customHeight="1" x14ac:dyDescent="0.3">
      <c r="A562" s="262" t="s">
        <v>2994</v>
      </c>
      <c r="B562" s="262" t="s">
        <v>2370</v>
      </c>
      <c r="C562" s="262" t="s">
        <v>2371</v>
      </c>
      <c r="D562" s="262" t="s">
        <v>3005</v>
      </c>
      <c r="E562" s="263">
        <v>6</v>
      </c>
      <c r="F562" s="262" t="s">
        <v>2373</v>
      </c>
      <c r="G562" s="262" t="s">
        <v>2392</v>
      </c>
      <c r="H562" s="395"/>
    </row>
    <row r="563" spans="1:8" ht="14.55" hidden="1" customHeight="1" x14ac:dyDescent="0.3">
      <c r="A563" s="262" t="s">
        <v>2994</v>
      </c>
      <c r="B563" s="262" t="s">
        <v>2370</v>
      </c>
      <c r="C563" s="262" t="s">
        <v>2371</v>
      </c>
      <c r="D563" s="262" t="s">
        <v>3006</v>
      </c>
      <c r="E563" s="263">
        <v>4</v>
      </c>
      <c r="F563" s="262" t="s">
        <v>2389</v>
      </c>
      <c r="G563" s="262" t="s">
        <v>2631</v>
      </c>
      <c r="H563" s="395"/>
    </row>
    <row r="564" spans="1:8" ht="14.55" hidden="1" customHeight="1" x14ac:dyDescent="0.3">
      <c r="A564" s="262" t="s">
        <v>2994</v>
      </c>
      <c r="B564" s="262" t="s">
        <v>2380</v>
      </c>
      <c r="C564" s="262" t="s">
        <v>2371</v>
      </c>
      <c r="D564" s="262" t="s">
        <v>3007</v>
      </c>
      <c r="E564" s="263">
        <v>8</v>
      </c>
      <c r="F564" s="262" t="s">
        <v>2373</v>
      </c>
      <c r="G564" s="262" t="s">
        <v>2374</v>
      </c>
      <c r="H564" s="395"/>
    </row>
    <row r="565" spans="1:8" ht="14.55" hidden="1" customHeight="1" x14ac:dyDescent="0.3">
      <c r="A565" s="262" t="s">
        <v>2994</v>
      </c>
      <c r="B565" s="262" t="s">
        <v>2370</v>
      </c>
      <c r="C565" s="262" t="s">
        <v>2371</v>
      </c>
      <c r="D565" s="262" t="s">
        <v>3008</v>
      </c>
      <c r="E565" s="263">
        <v>4</v>
      </c>
      <c r="F565" s="262" t="s">
        <v>2373</v>
      </c>
      <c r="G565" s="262" t="s">
        <v>2453</v>
      </c>
      <c r="H565" s="395"/>
    </row>
    <row r="566" spans="1:8" ht="14.55" hidden="1" customHeight="1" x14ac:dyDescent="0.3">
      <c r="A566" s="262" t="s">
        <v>2994</v>
      </c>
      <c r="B566" s="262" t="s">
        <v>2370</v>
      </c>
      <c r="C566" s="262" t="s">
        <v>2371</v>
      </c>
      <c r="D566" s="262" t="s">
        <v>3009</v>
      </c>
      <c r="E566" s="263">
        <v>6</v>
      </c>
      <c r="F566" s="262" t="s">
        <v>2419</v>
      </c>
      <c r="G566" s="262" t="s">
        <v>2488</v>
      </c>
      <c r="H566" s="395"/>
    </row>
    <row r="567" spans="1:8" ht="14.55" hidden="1" customHeight="1" x14ac:dyDescent="0.3">
      <c r="A567" s="262" t="s">
        <v>2994</v>
      </c>
      <c r="B567" s="262" t="s">
        <v>2380</v>
      </c>
      <c r="C567" s="262" t="s">
        <v>2371</v>
      </c>
      <c r="D567" s="262" t="s">
        <v>3010</v>
      </c>
      <c r="E567" s="263">
        <v>8</v>
      </c>
      <c r="F567" s="262" t="s">
        <v>2373</v>
      </c>
      <c r="G567" s="262" t="s">
        <v>2596</v>
      </c>
      <c r="H567" s="395"/>
    </row>
    <row r="568" spans="1:8" ht="14.55" hidden="1" customHeight="1" x14ac:dyDescent="0.3">
      <c r="A568" s="262" t="s">
        <v>2994</v>
      </c>
      <c r="B568" s="262" t="s">
        <v>2370</v>
      </c>
      <c r="C568" s="262" t="s">
        <v>2371</v>
      </c>
      <c r="D568" s="262" t="s">
        <v>3011</v>
      </c>
      <c r="E568" s="263">
        <v>8</v>
      </c>
      <c r="F568" s="262" t="s">
        <v>2376</v>
      </c>
      <c r="G568" s="262" t="s">
        <v>2406</v>
      </c>
      <c r="H568" s="395"/>
    </row>
    <row r="569" spans="1:8" ht="14.55" hidden="1" customHeight="1" x14ac:dyDescent="0.3">
      <c r="A569" s="262" t="s">
        <v>2994</v>
      </c>
      <c r="B569" s="262" t="s">
        <v>2380</v>
      </c>
      <c r="C569" s="262" t="s">
        <v>2371</v>
      </c>
      <c r="D569" s="262" t="s">
        <v>3012</v>
      </c>
      <c r="E569" s="263">
        <v>6</v>
      </c>
      <c r="F569" s="262" t="s">
        <v>2373</v>
      </c>
      <c r="G569" s="262" t="s">
        <v>2392</v>
      </c>
      <c r="H569" s="395"/>
    </row>
    <row r="570" spans="1:8" ht="14.55" hidden="1" customHeight="1" x14ac:dyDescent="0.3">
      <c r="A570" s="262" t="s">
        <v>2994</v>
      </c>
      <c r="B570" s="262" t="s">
        <v>2370</v>
      </c>
      <c r="C570" s="262" t="s">
        <v>2371</v>
      </c>
      <c r="D570" s="262" t="s">
        <v>3013</v>
      </c>
      <c r="E570" s="263">
        <v>8</v>
      </c>
      <c r="F570" s="262" t="s">
        <v>2419</v>
      </c>
      <c r="G570" s="262" t="s">
        <v>2432</v>
      </c>
      <c r="H570" s="395"/>
    </row>
    <row r="571" spans="1:8" ht="14.55" hidden="1" customHeight="1" x14ac:dyDescent="0.3">
      <c r="A571" s="262" t="s">
        <v>2994</v>
      </c>
      <c r="B571" s="262" t="s">
        <v>2370</v>
      </c>
      <c r="C571" s="262" t="s">
        <v>2371</v>
      </c>
      <c r="D571" s="262" t="s">
        <v>3014</v>
      </c>
      <c r="E571" s="263">
        <v>4</v>
      </c>
      <c r="F571" s="262" t="s">
        <v>2419</v>
      </c>
      <c r="G571" s="262" t="s">
        <v>2420</v>
      </c>
      <c r="H571" s="395"/>
    </row>
    <row r="572" spans="1:8" ht="14.55" hidden="1" customHeight="1" x14ac:dyDescent="0.3">
      <c r="A572" s="262" t="s">
        <v>2994</v>
      </c>
      <c r="B572" s="262" t="s">
        <v>2370</v>
      </c>
      <c r="C572" s="262" t="s">
        <v>2371</v>
      </c>
      <c r="D572" s="262" t="s">
        <v>3015</v>
      </c>
      <c r="E572" s="263">
        <v>8</v>
      </c>
      <c r="F572" s="262" t="s">
        <v>2376</v>
      </c>
      <c r="G572" s="262" t="s">
        <v>2377</v>
      </c>
      <c r="H572" s="395"/>
    </row>
    <row r="573" spans="1:8" ht="14.55" hidden="1" customHeight="1" x14ac:dyDescent="0.3">
      <c r="A573" s="262" t="s">
        <v>2994</v>
      </c>
      <c r="B573" s="262" t="s">
        <v>2370</v>
      </c>
      <c r="C573" s="262" t="s">
        <v>2371</v>
      </c>
      <c r="D573" s="262" t="s">
        <v>3016</v>
      </c>
      <c r="E573" s="263">
        <v>8</v>
      </c>
      <c r="F573" s="262" t="s">
        <v>2379</v>
      </c>
      <c r="G573" s="262" t="s">
        <v>2463</v>
      </c>
      <c r="H573" s="395"/>
    </row>
    <row r="574" spans="1:8" ht="14.55" hidden="1" customHeight="1" x14ac:dyDescent="0.3">
      <c r="A574" s="262" t="s">
        <v>2994</v>
      </c>
      <c r="B574" s="262" t="s">
        <v>2370</v>
      </c>
      <c r="C574" s="262" t="s">
        <v>2371</v>
      </c>
      <c r="D574" s="262" t="s">
        <v>3017</v>
      </c>
      <c r="E574" s="263">
        <v>6</v>
      </c>
      <c r="F574" s="262" t="s">
        <v>2379</v>
      </c>
      <c r="G574" s="262" t="s">
        <v>2396</v>
      </c>
      <c r="H574" s="395"/>
    </row>
    <row r="575" spans="1:8" ht="14.55" hidden="1" customHeight="1" x14ac:dyDescent="0.3">
      <c r="A575" s="262" t="s">
        <v>2994</v>
      </c>
      <c r="B575" s="262" t="s">
        <v>2370</v>
      </c>
      <c r="C575" s="262" t="s">
        <v>2371</v>
      </c>
      <c r="D575" s="262" t="s">
        <v>3018</v>
      </c>
      <c r="E575" s="263">
        <v>4</v>
      </c>
      <c r="F575" s="262" t="s">
        <v>2389</v>
      </c>
      <c r="G575" s="262" t="s">
        <v>2408</v>
      </c>
      <c r="H575" s="395"/>
    </row>
    <row r="576" spans="1:8" ht="14.55" hidden="1" customHeight="1" x14ac:dyDescent="0.3">
      <c r="A576" s="262" t="s">
        <v>2994</v>
      </c>
      <c r="B576" s="262" t="s">
        <v>2370</v>
      </c>
      <c r="C576" s="262" t="s">
        <v>2371</v>
      </c>
      <c r="D576" s="262" t="s">
        <v>3019</v>
      </c>
      <c r="E576" s="263">
        <v>6</v>
      </c>
      <c r="F576" s="262" t="s">
        <v>2373</v>
      </c>
      <c r="G576" s="262" t="s">
        <v>2392</v>
      </c>
      <c r="H576" s="395"/>
    </row>
    <row r="577" spans="1:8" ht="14.55" hidden="1" customHeight="1" x14ac:dyDescent="0.3">
      <c r="A577" s="262" t="s">
        <v>2994</v>
      </c>
      <c r="B577" s="262" t="s">
        <v>2370</v>
      </c>
      <c r="C577" s="262" t="s">
        <v>2371</v>
      </c>
      <c r="D577" s="262" t="s">
        <v>3020</v>
      </c>
      <c r="E577" s="263">
        <v>4</v>
      </c>
      <c r="F577" s="262" t="s">
        <v>2373</v>
      </c>
      <c r="G577" s="262" t="s">
        <v>2374</v>
      </c>
      <c r="H577" s="395"/>
    </row>
    <row r="578" spans="1:8" ht="14.55" hidden="1" customHeight="1" x14ac:dyDescent="0.3">
      <c r="A578" s="262" t="s">
        <v>2994</v>
      </c>
      <c r="B578" s="262" t="s">
        <v>2370</v>
      </c>
      <c r="C578" s="262" t="s">
        <v>2371</v>
      </c>
      <c r="D578" s="262" t="s">
        <v>3021</v>
      </c>
      <c r="E578" s="263">
        <v>4</v>
      </c>
      <c r="F578" s="262" t="s">
        <v>2373</v>
      </c>
      <c r="G578" s="262" t="s">
        <v>3022</v>
      </c>
      <c r="H578" s="395"/>
    </row>
    <row r="579" spans="1:8" ht="14.55" hidden="1" customHeight="1" x14ac:dyDescent="0.3">
      <c r="A579" s="262" t="s">
        <v>2994</v>
      </c>
      <c r="B579" s="262" t="s">
        <v>2370</v>
      </c>
      <c r="C579" s="262" t="s">
        <v>2371</v>
      </c>
      <c r="D579" s="262" t="s">
        <v>3023</v>
      </c>
      <c r="E579" s="263">
        <v>8</v>
      </c>
      <c r="F579" s="262" t="s">
        <v>2373</v>
      </c>
      <c r="G579" s="262" t="s">
        <v>2374</v>
      </c>
      <c r="H579" s="395"/>
    </row>
    <row r="580" spans="1:8" ht="14.55" hidden="1" customHeight="1" x14ac:dyDescent="0.3">
      <c r="A580" s="262" t="s">
        <v>2994</v>
      </c>
      <c r="B580" s="262" t="s">
        <v>2370</v>
      </c>
      <c r="C580" s="262" t="s">
        <v>2371</v>
      </c>
      <c r="D580" s="262" t="s">
        <v>3024</v>
      </c>
      <c r="E580" s="263">
        <v>8</v>
      </c>
      <c r="F580" s="262" t="s">
        <v>2373</v>
      </c>
      <c r="G580" s="262" t="s">
        <v>2374</v>
      </c>
      <c r="H580" s="395"/>
    </row>
    <row r="581" spans="1:8" ht="14.55" hidden="1" customHeight="1" x14ac:dyDescent="0.3">
      <c r="A581" s="262" t="s">
        <v>2994</v>
      </c>
      <c r="B581" s="262" t="s">
        <v>2370</v>
      </c>
      <c r="C581" s="262" t="s">
        <v>2371</v>
      </c>
      <c r="D581" s="262" t="s">
        <v>3025</v>
      </c>
      <c r="E581" s="263">
        <v>8</v>
      </c>
      <c r="F581" s="262" t="s">
        <v>2373</v>
      </c>
      <c r="G581" s="262" t="s">
        <v>2374</v>
      </c>
      <c r="H581" s="395"/>
    </row>
    <row r="582" spans="1:8" ht="14.55" hidden="1" customHeight="1" x14ac:dyDescent="0.3">
      <c r="A582" s="262" t="s">
        <v>2994</v>
      </c>
      <c r="B582" s="262" t="s">
        <v>2380</v>
      </c>
      <c r="C582" s="262" t="s">
        <v>2371</v>
      </c>
      <c r="D582" s="262" t="s">
        <v>3026</v>
      </c>
      <c r="E582" s="263">
        <v>8</v>
      </c>
      <c r="F582" s="262" t="s">
        <v>2373</v>
      </c>
      <c r="G582" s="262" t="s">
        <v>3027</v>
      </c>
      <c r="H582" s="395"/>
    </row>
    <row r="583" spans="1:8" ht="14.55" hidden="1" customHeight="1" x14ac:dyDescent="0.3">
      <c r="A583" s="262" t="s">
        <v>2994</v>
      </c>
      <c r="B583" s="262" t="s">
        <v>2370</v>
      </c>
      <c r="C583" s="262" t="s">
        <v>2371</v>
      </c>
      <c r="D583" s="262" t="s">
        <v>3028</v>
      </c>
      <c r="E583" s="263">
        <v>8</v>
      </c>
      <c r="F583" s="262" t="s">
        <v>2419</v>
      </c>
      <c r="G583" s="262" t="s">
        <v>2420</v>
      </c>
      <c r="H583" s="395"/>
    </row>
    <row r="584" spans="1:8" ht="14.55" hidden="1" customHeight="1" x14ac:dyDescent="0.3">
      <c r="A584" s="262" t="s">
        <v>2994</v>
      </c>
      <c r="B584" s="262" t="s">
        <v>2370</v>
      </c>
      <c r="C584" s="262" t="s">
        <v>2371</v>
      </c>
      <c r="D584" s="262" t="s">
        <v>3029</v>
      </c>
      <c r="E584" s="263">
        <v>8</v>
      </c>
      <c r="F584" s="262" t="s">
        <v>2373</v>
      </c>
      <c r="G584" s="262" t="s">
        <v>2374</v>
      </c>
      <c r="H584" s="395"/>
    </row>
    <row r="585" spans="1:8" ht="14.55" hidden="1" customHeight="1" x14ac:dyDescent="0.3">
      <c r="A585" s="262" t="s">
        <v>2994</v>
      </c>
      <c r="B585" s="262" t="s">
        <v>2370</v>
      </c>
      <c r="C585" s="262" t="s">
        <v>2371</v>
      </c>
      <c r="D585" s="262" t="s">
        <v>3030</v>
      </c>
      <c r="E585" s="263">
        <v>8</v>
      </c>
      <c r="F585" s="262" t="s">
        <v>2373</v>
      </c>
      <c r="G585" s="262" t="s">
        <v>2374</v>
      </c>
      <c r="H585" s="395"/>
    </row>
    <row r="586" spans="1:8" ht="14.55" hidden="1" customHeight="1" x14ac:dyDescent="0.3">
      <c r="A586" s="262" t="s">
        <v>2994</v>
      </c>
      <c r="B586" s="262" t="s">
        <v>2370</v>
      </c>
      <c r="C586" s="262" t="s">
        <v>2371</v>
      </c>
      <c r="D586" s="262" t="s">
        <v>3031</v>
      </c>
      <c r="E586" s="263">
        <v>8</v>
      </c>
      <c r="F586" s="262" t="s">
        <v>2373</v>
      </c>
      <c r="G586" s="262" t="s">
        <v>2374</v>
      </c>
      <c r="H586" s="395"/>
    </row>
    <row r="587" spans="1:8" ht="14.55" hidden="1" customHeight="1" x14ac:dyDescent="0.3">
      <c r="A587" s="262" t="s">
        <v>2994</v>
      </c>
      <c r="B587" s="262" t="s">
        <v>2370</v>
      </c>
      <c r="C587" s="262" t="s">
        <v>2371</v>
      </c>
      <c r="D587" s="262" t="s">
        <v>3032</v>
      </c>
      <c r="E587" s="263">
        <v>8</v>
      </c>
      <c r="F587" s="262" t="s">
        <v>2373</v>
      </c>
      <c r="G587" s="262" t="s">
        <v>2374</v>
      </c>
      <c r="H587" s="395"/>
    </row>
    <row r="588" spans="1:8" ht="14.55" hidden="1" customHeight="1" x14ac:dyDescent="0.3">
      <c r="A588" s="262" t="s">
        <v>2994</v>
      </c>
      <c r="B588" s="262" t="s">
        <v>2370</v>
      </c>
      <c r="C588" s="262" t="s">
        <v>2371</v>
      </c>
      <c r="D588" s="262" t="s">
        <v>3033</v>
      </c>
      <c r="E588" s="263">
        <v>8</v>
      </c>
      <c r="F588" s="262" t="s">
        <v>2373</v>
      </c>
      <c r="G588" s="262" t="s">
        <v>2374</v>
      </c>
      <c r="H588" s="395"/>
    </row>
    <row r="589" spans="1:8" ht="14.55" hidden="1" customHeight="1" x14ac:dyDescent="0.3">
      <c r="A589" s="262" t="s">
        <v>2994</v>
      </c>
      <c r="B589" s="262" t="s">
        <v>2370</v>
      </c>
      <c r="C589" s="262" t="s">
        <v>2371</v>
      </c>
      <c r="D589" s="262" t="s">
        <v>3034</v>
      </c>
      <c r="E589" s="263">
        <v>4</v>
      </c>
      <c r="F589" s="262" t="s">
        <v>2373</v>
      </c>
      <c r="G589" s="262" t="s">
        <v>2374</v>
      </c>
      <c r="H589" s="395"/>
    </row>
    <row r="590" spans="1:8" ht="14.55" hidden="1" customHeight="1" x14ac:dyDescent="0.3">
      <c r="A590" s="262" t="s">
        <v>2994</v>
      </c>
      <c r="B590" s="262" t="s">
        <v>2370</v>
      </c>
      <c r="C590" s="262" t="s">
        <v>2371</v>
      </c>
      <c r="D590" s="262" t="s">
        <v>3035</v>
      </c>
      <c r="E590" s="263">
        <v>8</v>
      </c>
      <c r="F590" s="262" t="s">
        <v>2376</v>
      </c>
      <c r="G590" s="262" t="s">
        <v>2406</v>
      </c>
      <c r="H590" s="395"/>
    </row>
    <row r="591" spans="1:8" ht="14.55" hidden="1" customHeight="1" x14ac:dyDescent="0.3">
      <c r="A591" s="262" t="s">
        <v>2994</v>
      </c>
      <c r="B591" s="262" t="s">
        <v>2370</v>
      </c>
      <c r="C591" s="262" t="s">
        <v>2371</v>
      </c>
      <c r="D591" s="262" t="s">
        <v>3036</v>
      </c>
      <c r="E591" s="263">
        <v>8</v>
      </c>
      <c r="F591" s="262" t="s">
        <v>2376</v>
      </c>
      <c r="G591" s="262" t="s">
        <v>2377</v>
      </c>
      <c r="H591" s="395"/>
    </row>
    <row r="592" spans="1:8" ht="14.55" hidden="1" customHeight="1" x14ac:dyDescent="0.3">
      <c r="A592" s="262" t="s">
        <v>2994</v>
      </c>
      <c r="B592" s="262" t="s">
        <v>2380</v>
      </c>
      <c r="C592" s="262" t="s">
        <v>2371</v>
      </c>
      <c r="D592" s="262" t="s">
        <v>3037</v>
      </c>
      <c r="E592" s="263">
        <v>4</v>
      </c>
      <c r="F592" s="262" t="s">
        <v>2419</v>
      </c>
      <c r="G592" s="262" t="s">
        <v>3038</v>
      </c>
      <c r="H592" s="395"/>
    </row>
    <row r="593" spans="1:8" ht="14.55" hidden="1" customHeight="1" x14ac:dyDescent="0.3">
      <c r="A593" s="262" t="s">
        <v>2994</v>
      </c>
      <c r="B593" s="262" t="s">
        <v>2370</v>
      </c>
      <c r="C593" s="262" t="s">
        <v>2371</v>
      </c>
      <c r="D593" s="262" t="s">
        <v>3039</v>
      </c>
      <c r="E593" s="263">
        <v>4</v>
      </c>
      <c r="F593" s="262" t="s">
        <v>2419</v>
      </c>
      <c r="G593" s="262" t="s">
        <v>2420</v>
      </c>
      <c r="H593" s="395"/>
    </row>
    <row r="594" spans="1:8" ht="14.55" hidden="1" customHeight="1" x14ac:dyDescent="0.3">
      <c r="A594" s="262" t="s">
        <v>2994</v>
      </c>
      <c r="B594" s="262" t="s">
        <v>2380</v>
      </c>
      <c r="C594" s="262" t="s">
        <v>2371</v>
      </c>
      <c r="D594" s="262" t="s">
        <v>3040</v>
      </c>
      <c r="E594" s="263">
        <v>4</v>
      </c>
      <c r="F594" s="262" t="s">
        <v>2419</v>
      </c>
      <c r="G594" s="262" t="s">
        <v>2420</v>
      </c>
      <c r="H594" s="395"/>
    </row>
    <row r="595" spans="1:8" ht="14.55" hidden="1" customHeight="1" x14ac:dyDescent="0.3">
      <c r="A595" s="262" t="s">
        <v>2994</v>
      </c>
      <c r="B595" s="262" t="s">
        <v>2370</v>
      </c>
      <c r="C595" s="262" t="s">
        <v>2371</v>
      </c>
      <c r="D595" s="262" t="s">
        <v>3041</v>
      </c>
      <c r="E595" s="263">
        <v>4</v>
      </c>
      <c r="F595" s="262" t="s">
        <v>2419</v>
      </c>
      <c r="G595" s="262" t="s">
        <v>2885</v>
      </c>
      <c r="H595" s="395"/>
    </row>
    <row r="596" spans="1:8" ht="14.55" hidden="1" customHeight="1" x14ac:dyDescent="0.3">
      <c r="A596" s="262" t="s">
        <v>2994</v>
      </c>
      <c r="B596" s="262" t="s">
        <v>2380</v>
      </c>
      <c r="C596" s="262" t="s">
        <v>2371</v>
      </c>
      <c r="D596" s="262" t="s">
        <v>3042</v>
      </c>
      <c r="E596" s="263">
        <v>4</v>
      </c>
      <c r="F596" s="262" t="s">
        <v>2419</v>
      </c>
      <c r="G596" s="262" t="s">
        <v>2420</v>
      </c>
      <c r="H596" s="395"/>
    </row>
    <row r="597" spans="1:8" ht="14.55" hidden="1" customHeight="1" x14ac:dyDescent="0.3">
      <c r="A597" s="262" t="s">
        <v>2994</v>
      </c>
      <c r="B597" s="262" t="s">
        <v>2380</v>
      </c>
      <c r="C597" s="262" t="s">
        <v>2371</v>
      </c>
      <c r="D597" s="262" t="s">
        <v>3043</v>
      </c>
      <c r="E597" s="263">
        <v>4</v>
      </c>
      <c r="F597" s="262" t="s">
        <v>2419</v>
      </c>
      <c r="G597" s="262" t="s">
        <v>2420</v>
      </c>
      <c r="H597" s="395"/>
    </row>
    <row r="598" spans="1:8" ht="14.55" hidden="1" customHeight="1" x14ac:dyDescent="0.3">
      <c r="A598" s="262" t="s">
        <v>2994</v>
      </c>
      <c r="B598" s="262" t="s">
        <v>2370</v>
      </c>
      <c r="C598" s="262" t="s">
        <v>2371</v>
      </c>
      <c r="D598" s="262" t="s">
        <v>3044</v>
      </c>
      <c r="E598" s="263">
        <v>8</v>
      </c>
      <c r="F598" s="262" t="s">
        <v>2419</v>
      </c>
      <c r="G598" s="262" t="s">
        <v>3045</v>
      </c>
      <c r="H598" s="395"/>
    </row>
    <row r="599" spans="1:8" ht="14.55" hidden="1" customHeight="1" x14ac:dyDescent="0.3">
      <c r="A599" s="262" t="s">
        <v>2994</v>
      </c>
      <c r="B599" s="262" t="s">
        <v>2380</v>
      </c>
      <c r="C599" s="262" t="s">
        <v>2371</v>
      </c>
      <c r="D599" s="262" t="s">
        <v>3046</v>
      </c>
      <c r="E599" s="263">
        <v>4</v>
      </c>
      <c r="F599" s="262" t="s">
        <v>2419</v>
      </c>
      <c r="G599" s="262" t="s">
        <v>2420</v>
      </c>
      <c r="H599" s="395"/>
    </row>
    <row r="600" spans="1:8" ht="14.55" hidden="1" customHeight="1" x14ac:dyDescent="0.3">
      <c r="A600" s="262" t="s">
        <v>2994</v>
      </c>
      <c r="B600" s="262" t="s">
        <v>2380</v>
      </c>
      <c r="C600" s="262" t="s">
        <v>2371</v>
      </c>
      <c r="D600" s="262" t="s">
        <v>3047</v>
      </c>
      <c r="E600" s="263">
        <v>4</v>
      </c>
      <c r="F600" s="262" t="s">
        <v>2419</v>
      </c>
      <c r="G600" s="262" t="s">
        <v>2420</v>
      </c>
      <c r="H600" s="395"/>
    </row>
    <row r="601" spans="1:8" ht="14.55" hidden="1" customHeight="1" x14ac:dyDescent="0.3">
      <c r="A601" s="262" t="s">
        <v>2994</v>
      </c>
      <c r="B601" s="262" t="s">
        <v>2370</v>
      </c>
      <c r="C601" s="262" t="s">
        <v>2371</v>
      </c>
      <c r="D601" s="262" t="s">
        <v>3048</v>
      </c>
      <c r="E601" s="263">
        <v>8</v>
      </c>
      <c r="F601" s="262" t="s">
        <v>2376</v>
      </c>
      <c r="G601" s="262" t="s">
        <v>2377</v>
      </c>
      <c r="H601" s="395"/>
    </row>
    <row r="602" spans="1:8" ht="14.55" hidden="1" customHeight="1" x14ac:dyDescent="0.3">
      <c r="A602" s="262" t="s">
        <v>2994</v>
      </c>
      <c r="B602" s="262" t="s">
        <v>2380</v>
      </c>
      <c r="C602" s="262" t="s">
        <v>2371</v>
      </c>
      <c r="D602" s="262" t="s">
        <v>3049</v>
      </c>
      <c r="E602" s="263">
        <v>4</v>
      </c>
      <c r="F602" s="262" t="s">
        <v>2419</v>
      </c>
      <c r="G602" s="262" t="s">
        <v>2420</v>
      </c>
      <c r="H602" s="395"/>
    </row>
    <row r="603" spans="1:8" ht="14.55" hidden="1" customHeight="1" x14ac:dyDescent="0.3">
      <c r="A603" s="262" t="s">
        <v>2994</v>
      </c>
      <c r="B603" s="262" t="s">
        <v>2370</v>
      </c>
      <c r="C603" s="262" t="s">
        <v>2371</v>
      </c>
      <c r="D603" s="262" t="s">
        <v>3050</v>
      </c>
      <c r="E603" s="263">
        <v>4</v>
      </c>
      <c r="F603" s="262" t="s">
        <v>2373</v>
      </c>
      <c r="G603" s="262" t="s">
        <v>2374</v>
      </c>
      <c r="H603" s="395"/>
    </row>
    <row r="604" spans="1:8" ht="14.55" hidden="1" customHeight="1" x14ac:dyDescent="0.3">
      <c r="A604" s="262" t="s">
        <v>2994</v>
      </c>
      <c r="B604" s="262" t="s">
        <v>2370</v>
      </c>
      <c r="C604" s="262" t="s">
        <v>2371</v>
      </c>
      <c r="D604" s="262" t="s">
        <v>3051</v>
      </c>
      <c r="E604" s="263">
        <v>8</v>
      </c>
      <c r="F604" s="262" t="s">
        <v>2373</v>
      </c>
      <c r="G604" s="262" t="s">
        <v>2374</v>
      </c>
      <c r="H604" s="395"/>
    </row>
    <row r="605" spans="1:8" ht="14.55" hidden="1" customHeight="1" x14ac:dyDescent="0.3">
      <c r="A605" s="262" t="s">
        <v>2994</v>
      </c>
      <c r="B605" s="262" t="s">
        <v>2370</v>
      </c>
      <c r="C605" s="262" t="s">
        <v>2371</v>
      </c>
      <c r="D605" s="262" t="s">
        <v>3052</v>
      </c>
      <c r="E605" s="263">
        <v>8</v>
      </c>
      <c r="F605" s="262" t="s">
        <v>2379</v>
      </c>
      <c r="G605" s="262" t="s">
        <v>2396</v>
      </c>
      <c r="H605" s="395"/>
    </row>
    <row r="606" spans="1:8" ht="14.55" hidden="1" customHeight="1" x14ac:dyDescent="0.3">
      <c r="A606" s="262" t="s">
        <v>2994</v>
      </c>
      <c r="B606" s="262" t="s">
        <v>2370</v>
      </c>
      <c r="C606" s="262" t="s">
        <v>2371</v>
      </c>
      <c r="D606" s="262" t="s">
        <v>3053</v>
      </c>
      <c r="E606" s="263">
        <v>8</v>
      </c>
      <c r="F606" s="262" t="s">
        <v>2379</v>
      </c>
      <c r="G606" s="262" t="s">
        <v>3054</v>
      </c>
      <c r="H606" s="395"/>
    </row>
    <row r="607" spans="1:8" ht="14.55" hidden="1" customHeight="1" x14ac:dyDescent="0.3">
      <c r="A607" s="262" t="s">
        <v>2994</v>
      </c>
      <c r="B607" s="262" t="s">
        <v>2380</v>
      </c>
      <c r="C607" s="262" t="s">
        <v>2371</v>
      </c>
      <c r="D607" s="262" t="s">
        <v>3055</v>
      </c>
      <c r="E607" s="263">
        <v>8</v>
      </c>
      <c r="F607" s="262" t="s">
        <v>2389</v>
      </c>
      <c r="G607" s="262" t="s">
        <v>2408</v>
      </c>
      <c r="H607" s="395"/>
    </row>
    <row r="608" spans="1:8" ht="14.55" hidden="1" customHeight="1" x14ac:dyDescent="0.3">
      <c r="A608" s="262" t="s">
        <v>2994</v>
      </c>
      <c r="B608" s="262" t="s">
        <v>2370</v>
      </c>
      <c r="C608" s="262" t="s">
        <v>2371</v>
      </c>
      <c r="D608" s="262" t="s">
        <v>3056</v>
      </c>
      <c r="E608" s="263">
        <v>4</v>
      </c>
      <c r="F608" s="262" t="s">
        <v>2379</v>
      </c>
      <c r="G608" s="262" t="s">
        <v>2383</v>
      </c>
      <c r="H608" s="395"/>
    </row>
    <row r="609" spans="1:8" x14ac:dyDescent="0.3">
      <c r="A609" s="264" t="s">
        <v>2994</v>
      </c>
      <c r="B609" s="264" t="s">
        <v>2370</v>
      </c>
      <c r="C609" s="264" t="s">
        <v>2371</v>
      </c>
      <c r="D609" s="264" t="s">
        <v>3057</v>
      </c>
      <c r="E609" s="265">
        <v>4</v>
      </c>
      <c r="F609" s="264" t="s">
        <v>2379</v>
      </c>
      <c r="G609" s="264" t="s">
        <v>2402</v>
      </c>
      <c r="H609" s="396"/>
    </row>
    <row r="610" spans="1:8" ht="14.55" hidden="1" customHeight="1" x14ac:dyDescent="0.3">
      <c r="A610" s="262" t="s">
        <v>2994</v>
      </c>
      <c r="B610" s="262" t="s">
        <v>2370</v>
      </c>
      <c r="C610" s="262" t="s">
        <v>2371</v>
      </c>
      <c r="D610" s="262" t="s">
        <v>3058</v>
      </c>
      <c r="E610" s="263">
        <v>4</v>
      </c>
      <c r="F610" s="262" t="s">
        <v>2389</v>
      </c>
      <c r="G610" s="262" t="s">
        <v>2428</v>
      </c>
      <c r="H610" s="395"/>
    </row>
    <row r="611" spans="1:8" ht="14.55" hidden="1" customHeight="1" x14ac:dyDescent="0.3">
      <c r="A611" s="262" t="s">
        <v>2994</v>
      </c>
      <c r="B611" s="262" t="s">
        <v>2370</v>
      </c>
      <c r="C611" s="262" t="s">
        <v>2371</v>
      </c>
      <c r="D611" s="262" t="s">
        <v>3059</v>
      </c>
      <c r="E611" s="263">
        <v>6</v>
      </c>
      <c r="F611" s="262" t="s">
        <v>2373</v>
      </c>
      <c r="G611" s="262" t="s">
        <v>2392</v>
      </c>
      <c r="H611" s="395"/>
    </row>
    <row r="612" spans="1:8" ht="14.55" hidden="1" customHeight="1" x14ac:dyDescent="0.3">
      <c r="A612" s="262" t="s">
        <v>2994</v>
      </c>
      <c r="B612" s="262" t="s">
        <v>2370</v>
      </c>
      <c r="C612" s="262" t="s">
        <v>2371</v>
      </c>
      <c r="D612" s="262" t="s">
        <v>3060</v>
      </c>
      <c r="E612" s="263">
        <v>8</v>
      </c>
      <c r="F612" s="262" t="s">
        <v>2376</v>
      </c>
      <c r="G612" s="262" t="s">
        <v>2451</v>
      </c>
      <c r="H612" s="395"/>
    </row>
    <row r="613" spans="1:8" ht="14.55" hidden="1" customHeight="1" x14ac:dyDescent="0.3">
      <c r="A613" s="262" t="s">
        <v>2994</v>
      </c>
      <c r="B613" s="262" t="s">
        <v>2380</v>
      </c>
      <c r="C613" s="262" t="s">
        <v>2371</v>
      </c>
      <c r="D613" s="262" t="s">
        <v>3061</v>
      </c>
      <c r="E613" s="263">
        <v>8</v>
      </c>
      <c r="F613" s="262" t="s">
        <v>2379</v>
      </c>
      <c r="G613" s="262" t="s">
        <v>2396</v>
      </c>
      <c r="H613" s="395"/>
    </row>
    <row r="614" spans="1:8" ht="14.55" hidden="1" customHeight="1" x14ac:dyDescent="0.3">
      <c r="A614" s="262" t="s">
        <v>2994</v>
      </c>
      <c r="B614" s="262" t="s">
        <v>2370</v>
      </c>
      <c r="C614" s="262" t="s">
        <v>2371</v>
      </c>
      <c r="D614" s="262" t="s">
        <v>3062</v>
      </c>
      <c r="E614" s="263">
        <v>4</v>
      </c>
      <c r="F614" s="262" t="s">
        <v>2419</v>
      </c>
      <c r="G614" s="262" t="s">
        <v>2488</v>
      </c>
      <c r="H614" s="395"/>
    </row>
    <row r="615" spans="1:8" ht="14.55" hidden="1" customHeight="1" x14ac:dyDescent="0.3">
      <c r="A615" s="262" t="s">
        <v>2994</v>
      </c>
      <c r="B615" s="262" t="s">
        <v>2380</v>
      </c>
      <c r="C615" s="262" t="s">
        <v>2371</v>
      </c>
      <c r="D615" s="262" t="s">
        <v>3063</v>
      </c>
      <c r="E615" s="263">
        <v>6</v>
      </c>
      <c r="F615" s="262" t="s">
        <v>2419</v>
      </c>
      <c r="G615" s="262" t="s">
        <v>2480</v>
      </c>
      <c r="H615" s="395"/>
    </row>
    <row r="616" spans="1:8" ht="14.55" hidden="1" customHeight="1" x14ac:dyDescent="0.3">
      <c r="A616" s="262" t="s">
        <v>2994</v>
      </c>
      <c r="B616" s="262" t="s">
        <v>2370</v>
      </c>
      <c r="C616" s="262" t="s">
        <v>2371</v>
      </c>
      <c r="D616" s="262" t="s">
        <v>3064</v>
      </c>
      <c r="E616" s="263">
        <v>6</v>
      </c>
      <c r="F616" s="262" t="s">
        <v>2389</v>
      </c>
      <c r="G616" s="262" t="s">
        <v>2428</v>
      </c>
      <c r="H616" s="395"/>
    </row>
    <row r="617" spans="1:8" ht="14.55" hidden="1" customHeight="1" x14ac:dyDescent="0.3">
      <c r="A617" s="262" t="s">
        <v>2994</v>
      </c>
      <c r="B617" s="262" t="s">
        <v>2370</v>
      </c>
      <c r="C617" s="262" t="s">
        <v>2371</v>
      </c>
      <c r="D617" s="262" t="s">
        <v>3065</v>
      </c>
      <c r="E617" s="263">
        <v>6</v>
      </c>
      <c r="F617" s="262" t="s">
        <v>2376</v>
      </c>
      <c r="G617" s="262" t="s">
        <v>2377</v>
      </c>
      <c r="H617" s="395"/>
    </row>
    <row r="618" spans="1:8" ht="14.55" hidden="1" customHeight="1" x14ac:dyDescent="0.3">
      <c r="A618" s="262" t="s">
        <v>2994</v>
      </c>
      <c r="B618" s="262" t="s">
        <v>2370</v>
      </c>
      <c r="C618" s="262" t="s">
        <v>2371</v>
      </c>
      <c r="D618" s="262" t="s">
        <v>3066</v>
      </c>
      <c r="E618" s="263">
        <v>6</v>
      </c>
      <c r="F618" s="262" t="s">
        <v>2376</v>
      </c>
      <c r="G618" s="262" t="s">
        <v>2394</v>
      </c>
      <c r="H618" s="395"/>
    </row>
    <row r="619" spans="1:8" ht="14.55" hidden="1" customHeight="1" x14ac:dyDescent="0.3">
      <c r="A619" s="262" t="s">
        <v>2994</v>
      </c>
      <c r="B619" s="262" t="s">
        <v>2370</v>
      </c>
      <c r="C619" s="262" t="s">
        <v>2371</v>
      </c>
      <c r="D619" s="262" t="s">
        <v>3067</v>
      </c>
      <c r="E619" s="263">
        <v>6</v>
      </c>
      <c r="F619" s="262" t="s">
        <v>2389</v>
      </c>
      <c r="G619" s="262" t="s">
        <v>2408</v>
      </c>
      <c r="H619" s="395"/>
    </row>
    <row r="620" spans="1:8" ht="14.55" hidden="1" customHeight="1" x14ac:dyDescent="0.3">
      <c r="A620" s="262" t="s">
        <v>2994</v>
      </c>
      <c r="B620" s="262" t="s">
        <v>2380</v>
      </c>
      <c r="C620" s="262" t="s">
        <v>2371</v>
      </c>
      <c r="D620" s="262" t="s">
        <v>3068</v>
      </c>
      <c r="E620" s="263">
        <v>6</v>
      </c>
      <c r="F620" s="262" t="s">
        <v>2389</v>
      </c>
      <c r="G620" s="262" t="s">
        <v>2428</v>
      </c>
      <c r="H620" s="395"/>
    </row>
    <row r="621" spans="1:8" ht="14.55" hidden="1" customHeight="1" x14ac:dyDescent="0.3">
      <c r="A621" s="262" t="s">
        <v>2994</v>
      </c>
      <c r="B621" s="262" t="s">
        <v>2370</v>
      </c>
      <c r="C621" s="262" t="s">
        <v>2371</v>
      </c>
      <c r="D621" s="262" t="s">
        <v>3069</v>
      </c>
      <c r="E621" s="263">
        <v>4</v>
      </c>
      <c r="F621" s="262" t="s">
        <v>2389</v>
      </c>
      <c r="G621" s="262" t="s">
        <v>2390</v>
      </c>
      <c r="H621" s="395"/>
    </row>
    <row r="622" spans="1:8" ht="14.55" hidden="1" customHeight="1" x14ac:dyDescent="0.3">
      <c r="A622" s="262" t="s">
        <v>2994</v>
      </c>
      <c r="B622" s="262" t="s">
        <v>2370</v>
      </c>
      <c r="C622" s="262" t="s">
        <v>2371</v>
      </c>
      <c r="D622" s="262" t="s">
        <v>3070</v>
      </c>
      <c r="E622" s="263">
        <v>4</v>
      </c>
      <c r="F622" s="262" t="s">
        <v>2419</v>
      </c>
      <c r="G622" s="262" t="s">
        <v>2480</v>
      </c>
      <c r="H622" s="395"/>
    </row>
    <row r="623" spans="1:8" ht="14.55" hidden="1" customHeight="1" x14ac:dyDescent="0.3">
      <c r="A623" s="262" t="s">
        <v>2994</v>
      </c>
      <c r="B623" s="262" t="s">
        <v>2370</v>
      </c>
      <c r="C623" s="262" t="s">
        <v>2371</v>
      </c>
      <c r="D623" s="262" t="s">
        <v>3071</v>
      </c>
      <c r="E623" s="263">
        <v>4</v>
      </c>
      <c r="F623" s="262" t="s">
        <v>2373</v>
      </c>
      <c r="G623" s="262" t="s">
        <v>2374</v>
      </c>
      <c r="H623" s="395"/>
    </row>
    <row r="624" spans="1:8" ht="14.55" hidden="1" customHeight="1" x14ac:dyDescent="0.3">
      <c r="A624" s="262" t="s">
        <v>2994</v>
      </c>
      <c r="B624" s="262" t="s">
        <v>2370</v>
      </c>
      <c r="C624" s="262" t="s">
        <v>2371</v>
      </c>
      <c r="D624" s="262" t="s">
        <v>3072</v>
      </c>
      <c r="E624" s="263">
        <v>8</v>
      </c>
      <c r="F624" s="262" t="s">
        <v>2419</v>
      </c>
      <c r="G624" s="262" t="s">
        <v>2420</v>
      </c>
      <c r="H624" s="395"/>
    </row>
    <row r="625" spans="1:8" ht="14.55" hidden="1" customHeight="1" x14ac:dyDescent="0.3">
      <c r="A625" s="262" t="s">
        <v>2994</v>
      </c>
      <c r="B625" s="262" t="s">
        <v>2370</v>
      </c>
      <c r="C625" s="262" t="s">
        <v>2371</v>
      </c>
      <c r="D625" s="262" t="s">
        <v>3073</v>
      </c>
      <c r="E625" s="263">
        <v>6</v>
      </c>
      <c r="F625" s="262" t="s">
        <v>2373</v>
      </c>
      <c r="G625" s="262" t="s">
        <v>2392</v>
      </c>
      <c r="H625" s="395"/>
    </row>
    <row r="626" spans="1:8" ht="14.55" hidden="1" customHeight="1" x14ac:dyDescent="0.3">
      <c r="A626" s="262" t="s">
        <v>2994</v>
      </c>
      <c r="B626" s="262" t="s">
        <v>2370</v>
      </c>
      <c r="C626" s="262" t="s">
        <v>2371</v>
      </c>
      <c r="D626" s="262" t="s">
        <v>3074</v>
      </c>
      <c r="E626" s="263">
        <v>6</v>
      </c>
      <c r="F626" s="262" t="s">
        <v>2389</v>
      </c>
      <c r="G626" s="262" t="s">
        <v>2408</v>
      </c>
      <c r="H626" s="395"/>
    </row>
    <row r="627" spans="1:8" ht="14.55" hidden="1" customHeight="1" x14ac:dyDescent="0.3">
      <c r="A627" s="262" t="s">
        <v>2994</v>
      </c>
      <c r="B627" s="262" t="s">
        <v>2380</v>
      </c>
      <c r="C627" s="262" t="s">
        <v>2371</v>
      </c>
      <c r="D627" s="262" t="s">
        <v>3075</v>
      </c>
      <c r="E627" s="263">
        <v>4</v>
      </c>
      <c r="F627" s="262" t="s">
        <v>2389</v>
      </c>
      <c r="G627" s="262" t="s">
        <v>2408</v>
      </c>
      <c r="H627" s="395"/>
    </row>
    <row r="628" spans="1:8" ht="14.55" hidden="1" customHeight="1" x14ac:dyDescent="0.3">
      <c r="A628" s="262" t="s">
        <v>2994</v>
      </c>
      <c r="B628" s="262" t="s">
        <v>2380</v>
      </c>
      <c r="C628" s="262" t="s">
        <v>2371</v>
      </c>
      <c r="D628" s="262" t="s">
        <v>3076</v>
      </c>
      <c r="E628" s="263">
        <v>6</v>
      </c>
      <c r="F628" s="262" t="s">
        <v>2379</v>
      </c>
      <c r="G628" s="262" t="s">
        <v>10</v>
      </c>
      <c r="H628" s="395"/>
    </row>
    <row r="629" spans="1:8" ht="14.55" hidden="1" customHeight="1" x14ac:dyDescent="0.3">
      <c r="A629" s="262" t="s">
        <v>2994</v>
      </c>
      <c r="B629" s="262" t="s">
        <v>2370</v>
      </c>
      <c r="C629" s="262" t="s">
        <v>2371</v>
      </c>
      <c r="D629" s="262" t="s">
        <v>3077</v>
      </c>
      <c r="E629" s="263">
        <v>8</v>
      </c>
      <c r="F629" s="262" t="s">
        <v>2389</v>
      </c>
      <c r="G629" s="262" t="s">
        <v>2850</v>
      </c>
      <c r="H629" s="395"/>
    </row>
    <row r="630" spans="1:8" ht="14.55" hidden="1" customHeight="1" x14ac:dyDescent="0.3">
      <c r="A630" s="262" t="s">
        <v>3078</v>
      </c>
      <c r="B630" s="262" t="s">
        <v>2370</v>
      </c>
      <c r="C630" s="262" t="s">
        <v>3079</v>
      </c>
      <c r="D630" s="262" t="s">
        <v>3080</v>
      </c>
      <c r="E630" s="263">
        <v>9</v>
      </c>
      <c r="F630" s="262" t="s">
        <v>2379</v>
      </c>
      <c r="G630" s="262" t="s">
        <v>2463</v>
      </c>
      <c r="H630" s="395"/>
    </row>
    <row r="631" spans="1:8" ht="14.55" hidden="1" customHeight="1" x14ac:dyDescent="0.3">
      <c r="A631" s="262" t="s">
        <v>3078</v>
      </c>
      <c r="B631" s="262" t="s">
        <v>2370</v>
      </c>
      <c r="C631" s="262" t="s">
        <v>3079</v>
      </c>
      <c r="D631" s="262" t="s">
        <v>3076</v>
      </c>
      <c r="E631" s="263">
        <v>5</v>
      </c>
      <c r="F631" s="262" t="s">
        <v>2379</v>
      </c>
      <c r="G631" s="262" t="s">
        <v>2463</v>
      </c>
      <c r="H631" s="395"/>
    </row>
    <row r="632" spans="1:8" ht="14.55" hidden="1" customHeight="1" x14ac:dyDescent="0.3">
      <c r="A632" s="262" t="s">
        <v>3081</v>
      </c>
      <c r="B632" s="262" t="s">
        <v>2370</v>
      </c>
      <c r="C632" s="262" t="s">
        <v>3079</v>
      </c>
      <c r="D632" s="262" t="s">
        <v>3082</v>
      </c>
      <c r="E632" s="263">
        <v>5</v>
      </c>
      <c r="F632" s="262" t="s">
        <v>2379</v>
      </c>
      <c r="G632" s="262" t="s">
        <v>2470</v>
      </c>
      <c r="H632" s="395"/>
    </row>
    <row r="633" spans="1:8" ht="14.55" hidden="1" customHeight="1" x14ac:dyDescent="0.3">
      <c r="A633" s="262" t="s">
        <v>3081</v>
      </c>
      <c r="B633" s="262" t="s">
        <v>2370</v>
      </c>
      <c r="C633" s="262" t="s">
        <v>3079</v>
      </c>
      <c r="D633" s="262" t="s">
        <v>2913</v>
      </c>
      <c r="E633" s="263">
        <v>7</v>
      </c>
      <c r="F633" s="262" t="s">
        <v>2373</v>
      </c>
      <c r="G633" s="262" t="s">
        <v>2374</v>
      </c>
      <c r="H633" s="395"/>
    </row>
    <row r="634" spans="1:8" ht="14.55" hidden="1" customHeight="1" x14ac:dyDescent="0.3">
      <c r="A634" s="262" t="s">
        <v>3081</v>
      </c>
      <c r="B634" s="262" t="s">
        <v>2370</v>
      </c>
      <c r="C634" s="262" t="s">
        <v>3079</v>
      </c>
      <c r="D634" s="262" t="s">
        <v>2499</v>
      </c>
      <c r="E634" s="263">
        <v>7</v>
      </c>
      <c r="F634" s="262" t="s">
        <v>2376</v>
      </c>
      <c r="G634" s="262" t="s">
        <v>2394</v>
      </c>
      <c r="H634" s="395"/>
    </row>
    <row r="635" spans="1:8" ht="14.55" hidden="1" customHeight="1" x14ac:dyDescent="0.3">
      <c r="A635" s="262" t="s">
        <v>3081</v>
      </c>
      <c r="B635" s="262" t="s">
        <v>2370</v>
      </c>
      <c r="C635" s="262" t="s">
        <v>3079</v>
      </c>
      <c r="D635" s="262" t="s">
        <v>3083</v>
      </c>
      <c r="E635" s="263">
        <v>7</v>
      </c>
      <c r="F635" s="262" t="s">
        <v>2389</v>
      </c>
      <c r="G635" s="262" t="s">
        <v>2627</v>
      </c>
      <c r="H635" s="395"/>
    </row>
    <row r="636" spans="1:8" ht="14.55" hidden="1" customHeight="1" x14ac:dyDescent="0.3">
      <c r="A636" s="262" t="s">
        <v>3081</v>
      </c>
      <c r="B636" s="262" t="s">
        <v>2370</v>
      </c>
      <c r="C636" s="262" t="s">
        <v>3079</v>
      </c>
      <c r="D636" s="262" t="s">
        <v>2526</v>
      </c>
      <c r="E636" s="263">
        <v>3</v>
      </c>
      <c r="F636" s="262" t="s">
        <v>2379</v>
      </c>
      <c r="G636" s="262" t="s">
        <v>2470</v>
      </c>
      <c r="H636" s="395"/>
    </row>
    <row r="637" spans="1:8" ht="14.55" hidden="1" customHeight="1" x14ac:dyDescent="0.3">
      <c r="A637" s="262" t="s">
        <v>3081</v>
      </c>
      <c r="B637" s="262" t="s">
        <v>2370</v>
      </c>
      <c r="C637" s="262" t="s">
        <v>3079</v>
      </c>
      <c r="D637" s="262" t="s">
        <v>3084</v>
      </c>
      <c r="E637" s="263">
        <v>7</v>
      </c>
      <c r="F637" s="262" t="s">
        <v>2379</v>
      </c>
      <c r="G637" s="262" t="s">
        <v>2463</v>
      </c>
      <c r="H637" s="395"/>
    </row>
    <row r="638" spans="1:8" ht="14.55" hidden="1" customHeight="1" x14ac:dyDescent="0.3">
      <c r="A638" s="262" t="s">
        <v>3081</v>
      </c>
      <c r="B638" s="262" t="s">
        <v>2370</v>
      </c>
      <c r="C638" s="262" t="s">
        <v>3079</v>
      </c>
      <c r="D638" s="262" t="s">
        <v>2881</v>
      </c>
      <c r="E638" s="263">
        <v>7</v>
      </c>
      <c r="F638" s="262" t="s">
        <v>2419</v>
      </c>
      <c r="G638" s="262" t="s">
        <v>2432</v>
      </c>
      <c r="H638" s="395"/>
    </row>
    <row r="639" spans="1:8" ht="14.55" hidden="1" customHeight="1" x14ac:dyDescent="0.3">
      <c r="A639" s="262" t="s">
        <v>3081</v>
      </c>
      <c r="B639" s="262" t="s">
        <v>2370</v>
      </c>
      <c r="C639" s="262" t="s">
        <v>3079</v>
      </c>
      <c r="D639" s="262" t="s">
        <v>3011</v>
      </c>
      <c r="E639" s="263">
        <v>7</v>
      </c>
      <c r="F639" s="262" t="s">
        <v>2376</v>
      </c>
      <c r="G639" s="262" t="s">
        <v>2406</v>
      </c>
      <c r="H639" s="395"/>
    </row>
    <row r="640" spans="1:8" ht="14.55" hidden="1" customHeight="1" x14ac:dyDescent="0.3">
      <c r="A640" s="262" t="s">
        <v>3081</v>
      </c>
      <c r="B640" s="262" t="s">
        <v>2370</v>
      </c>
      <c r="C640" s="262" t="s">
        <v>3079</v>
      </c>
      <c r="D640" s="262" t="s">
        <v>2696</v>
      </c>
      <c r="E640" s="263">
        <v>5</v>
      </c>
      <c r="F640" s="262" t="s">
        <v>2379</v>
      </c>
      <c r="G640" s="262" t="s">
        <v>2396</v>
      </c>
      <c r="H640" s="395"/>
    </row>
    <row r="641" spans="1:8" ht="14.55" hidden="1" customHeight="1" x14ac:dyDescent="0.3">
      <c r="A641" s="262" t="s">
        <v>3081</v>
      </c>
      <c r="B641" s="262" t="s">
        <v>2370</v>
      </c>
      <c r="C641" s="262" t="s">
        <v>3079</v>
      </c>
      <c r="D641" s="262" t="s">
        <v>2583</v>
      </c>
      <c r="E641" s="263">
        <v>7</v>
      </c>
      <c r="F641" s="262" t="s">
        <v>2379</v>
      </c>
      <c r="G641" s="262" t="s">
        <v>2396</v>
      </c>
      <c r="H641" s="395"/>
    </row>
    <row r="642" spans="1:8" ht="14.55" hidden="1" customHeight="1" x14ac:dyDescent="0.3">
      <c r="A642" s="262" t="s">
        <v>3081</v>
      </c>
      <c r="B642" s="262" t="s">
        <v>2370</v>
      </c>
      <c r="C642" s="262" t="s">
        <v>3079</v>
      </c>
      <c r="D642" s="262" t="s">
        <v>3085</v>
      </c>
      <c r="E642" s="263">
        <v>7</v>
      </c>
      <c r="F642" s="262" t="s">
        <v>2373</v>
      </c>
      <c r="G642" s="262" t="s">
        <v>2374</v>
      </c>
      <c r="H642" s="395"/>
    </row>
    <row r="643" spans="1:8" x14ac:dyDescent="0.3">
      <c r="A643" s="264" t="s">
        <v>3081</v>
      </c>
      <c r="B643" s="264" t="s">
        <v>2370</v>
      </c>
      <c r="C643" s="264" t="s">
        <v>3079</v>
      </c>
      <c r="D643" s="264" t="s">
        <v>2542</v>
      </c>
      <c r="E643" s="265">
        <v>7</v>
      </c>
      <c r="F643" s="264" t="s">
        <v>2379</v>
      </c>
      <c r="G643" s="264" t="s">
        <v>2402</v>
      </c>
      <c r="H643" s="396"/>
    </row>
    <row r="644" spans="1:8" ht="14.55" hidden="1" customHeight="1" x14ac:dyDescent="0.3">
      <c r="A644" s="262" t="s">
        <v>3081</v>
      </c>
      <c r="B644" s="262" t="s">
        <v>2370</v>
      </c>
      <c r="C644" s="262" t="s">
        <v>3079</v>
      </c>
      <c r="D644" s="262" t="s">
        <v>3063</v>
      </c>
      <c r="E644" s="263">
        <v>5</v>
      </c>
      <c r="F644" s="262" t="s">
        <v>2419</v>
      </c>
      <c r="G644" s="262" t="s">
        <v>2480</v>
      </c>
      <c r="H644" s="395"/>
    </row>
    <row r="645" spans="1:8" x14ac:dyDescent="0.3">
      <c r="A645" s="264" t="s">
        <v>3081</v>
      </c>
      <c r="B645" s="264" t="s">
        <v>2370</v>
      </c>
      <c r="C645" s="264" t="s">
        <v>3079</v>
      </c>
      <c r="D645" s="264" t="s">
        <v>2918</v>
      </c>
      <c r="E645" s="265">
        <v>5</v>
      </c>
      <c r="F645" s="264" t="s">
        <v>2379</v>
      </c>
      <c r="G645" s="264" t="s">
        <v>2402</v>
      </c>
      <c r="H645" s="396"/>
    </row>
    <row r="646" spans="1:8" ht="14.55" hidden="1" customHeight="1" x14ac:dyDescent="0.3">
      <c r="A646" s="262" t="s">
        <v>3081</v>
      </c>
      <c r="B646" s="262" t="s">
        <v>2370</v>
      </c>
      <c r="C646" s="262" t="s">
        <v>3079</v>
      </c>
      <c r="D646" s="262" t="s">
        <v>3086</v>
      </c>
      <c r="E646" s="263">
        <v>7</v>
      </c>
      <c r="F646" s="262" t="s">
        <v>2379</v>
      </c>
      <c r="G646" s="262" t="s">
        <v>15</v>
      </c>
      <c r="H646" s="395"/>
    </row>
    <row r="647" spans="1:8" ht="14.55" hidden="1" customHeight="1" x14ac:dyDescent="0.3">
      <c r="A647" s="262" t="s">
        <v>3081</v>
      </c>
      <c r="B647" s="262" t="s">
        <v>2370</v>
      </c>
      <c r="C647" s="262" t="s">
        <v>3079</v>
      </c>
      <c r="D647" s="262" t="s">
        <v>3087</v>
      </c>
      <c r="E647" s="263">
        <v>7</v>
      </c>
      <c r="F647" s="262" t="s">
        <v>2419</v>
      </c>
      <c r="G647" s="262" t="s">
        <v>2432</v>
      </c>
      <c r="H647" s="395"/>
    </row>
    <row r="648" spans="1:8" ht="14.55" hidden="1" customHeight="1" x14ac:dyDescent="0.3">
      <c r="A648" s="262" t="s">
        <v>3081</v>
      </c>
      <c r="B648" s="262" t="s">
        <v>2370</v>
      </c>
      <c r="C648" s="262" t="s">
        <v>3079</v>
      </c>
      <c r="D648" s="262" t="s">
        <v>2618</v>
      </c>
      <c r="E648" s="263">
        <v>5</v>
      </c>
      <c r="F648" s="262" t="s">
        <v>2389</v>
      </c>
      <c r="G648" s="262" t="s">
        <v>2428</v>
      </c>
      <c r="H648" s="395"/>
    </row>
    <row r="649" spans="1:8" ht="14.55" hidden="1" customHeight="1" x14ac:dyDescent="0.3">
      <c r="A649" s="262" t="s">
        <v>3081</v>
      </c>
      <c r="B649" s="262" t="s">
        <v>2370</v>
      </c>
      <c r="C649" s="262" t="s">
        <v>3079</v>
      </c>
      <c r="D649" s="262" t="s">
        <v>3060</v>
      </c>
      <c r="E649" s="263">
        <v>7</v>
      </c>
      <c r="F649" s="262" t="s">
        <v>2376</v>
      </c>
      <c r="G649" s="262" t="s">
        <v>2377</v>
      </c>
      <c r="H649" s="395"/>
    </row>
    <row r="650" spans="1:8" ht="14.55" hidden="1" customHeight="1" x14ac:dyDescent="0.3">
      <c r="A650" s="262" t="s">
        <v>3081</v>
      </c>
      <c r="B650" s="262" t="s">
        <v>2370</v>
      </c>
      <c r="C650" s="262" t="s">
        <v>3079</v>
      </c>
      <c r="D650" s="262" t="s">
        <v>2482</v>
      </c>
      <c r="E650" s="263">
        <v>5</v>
      </c>
      <c r="F650" s="262" t="s">
        <v>2419</v>
      </c>
      <c r="G650" s="262" t="s">
        <v>2480</v>
      </c>
      <c r="H650" s="395"/>
    </row>
    <row r="651" spans="1:8" ht="14.55" hidden="1" customHeight="1" x14ac:dyDescent="0.3">
      <c r="A651" s="262" t="s">
        <v>3081</v>
      </c>
      <c r="B651" s="262" t="s">
        <v>2370</v>
      </c>
      <c r="C651" s="262" t="s">
        <v>3079</v>
      </c>
      <c r="D651" s="262" t="s">
        <v>2692</v>
      </c>
      <c r="E651" s="263">
        <v>5</v>
      </c>
      <c r="F651" s="262" t="s">
        <v>2419</v>
      </c>
      <c r="G651" s="262" t="s">
        <v>2480</v>
      </c>
      <c r="H651" s="395"/>
    </row>
    <row r="652" spans="1:8" ht="14.55" hidden="1" customHeight="1" x14ac:dyDescent="0.3">
      <c r="A652" s="262" t="s">
        <v>3081</v>
      </c>
      <c r="B652" s="262" t="s">
        <v>2370</v>
      </c>
      <c r="C652" s="262" t="s">
        <v>3079</v>
      </c>
      <c r="D652" s="262" t="s">
        <v>3088</v>
      </c>
      <c r="E652" s="263">
        <v>7</v>
      </c>
      <c r="F652" s="262" t="s">
        <v>2373</v>
      </c>
      <c r="G652" s="262" t="s">
        <v>2374</v>
      </c>
      <c r="H652" s="395"/>
    </row>
    <row r="653" spans="1:8" ht="14.55" hidden="1" customHeight="1" x14ac:dyDescent="0.3">
      <c r="A653" s="262" t="s">
        <v>3081</v>
      </c>
      <c r="B653" s="262" t="s">
        <v>2370</v>
      </c>
      <c r="C653" s="262" t="s">
        <v>3079</v>
      </c>
      <c r="D653" s="262" t="s">
        <v>3089</v>
      </c>
      <c r="E653" s="263">
        <v>7</v>
      </c>
      <c r="F653" s="262" t="s">
        <v>2373</v>
      </c>
      <c r="G653" s="262" t="s">
        <v>2723</v>
      </c>
      <c r="H653" s="395"/>
    </row>
    <row r="654" spans="1:8" ht="14.55" hidden="1" customHeight="1" x14ac:dyDescent="0.3">
      <c r="A654" s="262" t="s">
        <v>3081</v>
      </c>
      <c r="B654" s="262" t="s">
        <v>2370</v>
      </c>
      <c r="C654" s="262" t="s">
        <v>3079</v>
      </c>
      <c r="D654" s="262" t="s">
        <v>2982</v>
      </c>
      <c r="E654" s="263">
        <v>5</v>
      </c>
      <c r="F654" s="262" t="s">
        <v>2373</v>
      </c>
      <c r="G654" s="262" t="s">
        <v>2453</v>
      </c>
      <c r="H654" s="395"/>
    </row>
    <row r="655" spans="1:8" ht="14.55" hidden="1" customHeight="1" x14ac:dyDescent="0.3">
      <c r="A655" s="262" t="s">
        <v>3081</v>
      </c>
      <c r="B655" s="262" t="s">
        <v>2370</v>
      </c>
      <c r="C655" s="262" t="s">
        <v>3079</v>
      </c>
      <c r="D655" s="262" t="s">
        <v>2645</v>
      </c>
      <c r="E655" s="263">
        <v>7</v>
      </c>
      <c r="F655" s="262" t="s">
        <v>2419</v>
      </c>
      <c r="G655" s="262" t="s">
        <v>2420</v>
      </c>
      <c r="H655" s="395"/>
    </row>
    <row r="656" spans="1:8" ht="14.55" hidden="1" customHeight="1" x14ac:dyDescent="0.3">
      <c r="A656" s="262" t="s">
        <v>3081</v>
      </c>
      <c r="B656" s="262" t="s">
        <v>2370</v>
      </c>
      <c r="C656" s="262" t="s">
        <v>3079</v>
      </c>
      <c r="D656" s="262" t="s">
        <v>2570</v>
      </c>
      <c r="E656" s="263">
        <v>5</v>
      </c>
      <c r="F656" s="262" t="s">
        <v>2419</v>
      </c>
      <c r="G656" s="262" t="s">
        <v>2480</v>
      </c>
      <c r="H656" s="395"/>
    </row>
    <row r="657" spans="1:8" ht="14.55" hidden="1" customHeight="1" x14ac:dyDescent="0.3">
      <c r="A657" s="262" t="s">
        <v>3081</v>
      </c>
      <c r="B657" s="262" t="s">
        <v>2370</v>
      </c>
      <c r="C657" s="262" t="s">
        <v>3079</v>
      </c>
      <c r="D657" s="262" t="s">
        <v>2510</v>
      </c>
      <c r="E657" s="263">
        <v>7</v>
      </c>
      <c r="F657" s="262" t="s">
        <v>2373</v>
      </c>
      <c r="G657" s="262" t="s">
        <v>2374</v>
      </c>
      <c r="H657" s="395"/>
    </row>
    <row r="658" spans="1:8" ht="14.55" hidden="1" customHeight="1" x14ac:dyDescent="0.3">
      <c r="A658" s="262" t="s">
        <v>3081</v>
      </c>
      <c r="B658" s="262" t="s">
        <v>2370</v>
      </c>
      <c r="C658" s="262" t="s">
        <v>3079</v>
      </c>
      <c r="D658" s="262" t="s">
        <v>2831</v>
      </c>
      <c r="E658" s="263">
        <v>3</v>
      </c>
      <c r="F658" s="262" t="s">
        <v>2373</v>
      </c>
      <c r="G658" s="262" t="s">
        <v>2374</v>
      </c>
      <c r="H658" s="395"/>
    </row>
    <row r="659" spans="1:8" ht="14.55" hidden="1" customHeight="1" x14ac:dyDescent="0.3">
      <c r="A659" s="262" t="s">
        <v>3081</v>
      </c>
      <c r="B659" s="262" t="s">
        <v>2370</v>
      </c>
      <c r="C659" s="262" t="s">
        <v>3079</v>
      </c>
      <c r="D659" s="262" t="s">
        <v>3090</v>
      </c>
      <c r="E659" s="263">
        <v>5</v>
      </c>
      <c r="F659" s="262" t="s">
        <v>2376</v>
      </c>
      <c r="G659" s="262" t="s">
        <v>2406</v>
      </c>
      <c r="H659" s="395"/>
    </row>
    <row r="660" spans="1:8" ht="14.55" hidden="1" customHeight="1" x14ac:dyDescent="0.3">
      <c r="A660" s="262" t="s">
        <v>3081</v>
      </c>
      <c r="B660" s="262" t="s">
        <v>2370</v>
      </c>
      <c r="C660" s="262" t="s">
        <v>3079</v>
      </c>
      <c r="D660" s="262" t="s">
        <v>3091</v>
      </c>
      <c r="E660" s="263">
        <v>5</v>
      </c>
      <c r="F660" s="262" t="s">
        <v>2376</v>
      </c>
      <c r="G660" s="262" t="s">
        <v>2394</v>
      </c>
      <c r="H660" s="395"/>
    </row>
    <row r="661" spans="1:8" ht="14.55" hidden="1" customHeight="1" x14ac:dyDescent="0.3">
      <c r="A661" s="262" t="s">
        <v>3081</v>
      </c>
      <c r="B661" s="262" t="s">
        <v>2370</v>
      </c>
      <c r="C661" s="262" t="s">
        <v>3079</v>
      </c>
      <c r="D661" s="262" t="s">
        <v>2640</v>
      </c>
      <c r="E661" s="263">
        <v>7</v>
      </c>
      <c r="F661" s="262" t="s">
        <v>2389</v>
      </c>
      <c r="G661" s="262" t="s">
        <v>2408</v>
      </c>
      <c r="H661" s="395"/>
    </row>
    <row r="662" spans="1:8" ht="14.55" hidden="1" customHeight="1" x14ac:dyDescent="0.3">
      <c r="A662" s="262" t="s">
        <v>3081</v>
      </c>
      <c r="B662" s="262" t="s">
        <v>2370</v>
      </c>
      <c r="C662" s="262" t="s">
        <v>3079</v>
      </c>
      <c r="D662" s="262" t="s">
        <v>2531</v>
      </c>
      <c r="E662" s="263">
        <v>6</v>
      </c>
      <c r="F662" s="262" t="s">
        <v>2419</v>
      </c>
      <c r="G662" s="262" t="s">
        <v>3092</v>
      </c>
      <c r="H662" s="395"/>
    </row>
    <row r="663" spans="1:8" ht="14.55" hidden="1" customHeight="1" x14ac:dyDescent="0.3">
      <c r="A663" s="262" t="s">
        <v>3081</v>
      </c>
      <c r="B663" s="262" t="s">
        <v>2370</v>
      </c>
      <c r="C663" s="262" t="s">
        <v>3079</v>
      </c>
      <c r="D663" s="262" t="s">
        <v>2404</v>
      </c>
      <c r="E663" s="263">
        <v>5</v>
      </c>
      <c r="F663" s="262" t="s">
        <v>2389</v>
      </c>
      <c r="G663" s="262" t="s">
        <v>2428</v>
      </c>
      <c r="H663" s="395"/>
    </row>
    <row r="664" spans="1:8" ht="14.55" hidden="1" customHeight="1" x14ac:dyDescent="0.3">
      <c r="A664" s="262" t="s">
        <v>3081</v>
      </c>
      <c r="B664" s="262" t="s">
        <v>2370</v>
      </c>
      <c r="C664" s="262" t="s">
        <v>3079</v>
      </c>
      <c r="D664" s="262" t="s">
        <v>3093</v>
      </c>
      <c r="E664" s="263">
        <v>3</v>
      </c>
      <c r="F664" s="262" t="s">
        <v>2373</v>
      </c>
      <c r="G664" s="262" t="s">
        <v>2596</v>
      </c>
      <c r="H664" s="395"/>
    </row>
    <row r="665" spans="1:8" ht="14.55" hidden="1" customHeight="1" x14ac:dyDescent="0.3">
      <c r="A665" s="262" t="s">
        <v>3081</v>
      </c>
      <c r="B665" s="262" t="s">
        <v>2370</v>
      </c>
      <c r="C665" s="262" t="s">
        <v>3079</v>
      </c>
      <c r="D665" s="262" t="s">
        <v>3094</v>
      </c>
      <c r="E665" s="263">
        <v>9</v>
      </c>
      <c r="F665" s="262" t="s">
        <v>2376</v>
      </c>
      <c r="G665" s="262" t="s">
        <v>2394</v>
      </c>
      <c r="H665" s="395"/>
    </row>
    <row r="666" spans="1:8" ht="14.55" hidden="1" customHeight="1" x14ac:dyDescent="0.3">
      <c r="A666" s="262" t="s">
        <v>3081</v>
      </c>
      <c r="B666" s="262" t="s">
        <v>2370</v>
      </c>
      <c r="C666" s="262" t="s">
        <v>3079</v>
      </c>
      <c r="D666" s="262" t="s">
        <v>2691</v>
      </c>
      <c r="E666" s="263">
        <v>7</v>
      </c>
      <c r="F666" s="262" t="s">
        <v>2389</v>
      </c>
      <c r="G666" s="262" t="s">
        <v>2631</v>
      </c>
      <c r="H666" s="395"/>
    </row>
    <row r="667" spans="1:8" ht="14.55" hidden="1" customHeight="1" x14ac:dyDescent="0.3">
      <c r="A667" s="262" t="s">
        <v>3081</v>
      </c>
      <c r="B667" s="262" t="s">
        <v>2370</v>
      </c>
      <c r="C667" s="262" t="s">
        <v>3079</v>
      </c>
      <c r="D667" s="262" t="s">
        <v>3095</v>
      </c>
      <c r="E667" s="263">
        <v>9</v>
      </c>
      <c r="F667" s="262" t="s">
        <v>2376</v>
      </c>
      <c r="G667" s="262" t="s">
        <v>2394</v>
      </c>
      <c r="H667" s="395"/>
    </row>
    <row r="668" spans="1:8" ht="14.55" hidden="1" customHeight="1" x14ac:dyDescent="0.3">
      <c r="A668" s="262" t="s">
        <v>3081</v>
      </c>
      <c r="B668" s="262" t="s">
        <v>2370</v>
      </c>
      <c r="C668" s="262" t="s">
        <v>3079</v>
      </c>
      <c r="D668" s="262" t="s">
        <v>3096</v>
      </c>
      <c r="E668" s="263">
        <v>7</v>
      </c>
      <c r="F668" s="262" t="s">
        <v>2379</v>
      </c>
      <c r="G668" s="262" t="s">
        <v>2396</v>
      </c>
      <c r="H668" s="395"/>
    </row>
    <row r="669" spans="1:8" ht="14.55" hidden="1" customHeight="1" x14ac:dyDescent="0.3">
      <c r="A669" s="262" t="s">
        <v>3081</v>
      </c>
      <c r="B669" s="262" t="s">
        <v>2380</v>
      </c>
      <c r="C669" s="262" t="s">
        <v>3079</v>
      </c>
      <c r="D669" s="262" t="s">
        <v>2521</v>
      </c>
      <c r="E669" s="263">
        <v>7</v>
      </c>
      <c r="F669" s="262" t="s">
        <v>2419</v>
      </c>
      <c r="G669" s="262" t="s">
        <v>3097</v>
      </c>
      <c r="H669" s="395"/>
    </row>
    <row r="670" spans="1:8" ht="14.55" hidden="1" customHeight="1" x14ac:dyDescent="0.3">
      <c r="A670" s="262" t="s">
        <v>3081</v>
      </c>
      <c r="B670" s="262" t="s">
        <v>2380</v>
      </c>
      <c r="C670" s="262" t="s">
        <v>3079</v>
      </c>
      <c r="D670" s="262" t="s">
        <v>2670</v>
      </c>
      <c r="E670" s="263">
        <v>5</v>
      </c>
      <c r="F670" s="262" t="s">
        <v>2389</v>
      </c>
      <c r="G670" s="262" t="s">
        <v>2390</v>
      </c>
      <c r="H670" s="395"/>
    </row>
    <row r="671" spans="1:8" ht="14.55" hidden="1" customHeight="1" x14ac:dyDescent="0.3">
      <c r="A671" s="262" t="s">
        <v>3081</v>
      </c>
      <c r="B671" s="262" t="s">
        <v>2370</v>
      </c>
      <c r="C671" s="262" t="s">
        <v>3079</v>
      </c>
      <c r="D671" s="262" t="s">
        <v>2989</v>
      </c>
      <c r="E671" s="263">
        <v>7</v>
      </c>
      <c r="F671" s="262" t="s">
        <v>2373</v>
      </c>
      <c r="G671" s="262" t="s">
        <v>2449</v>
      </c>
      <c r="H671" s="395"/>
    </row>
    <row r="672" spans="1:8" ht="14.55" hidden="1" customHeight="1" x14ac:dyDescent="0.3">
      <c r="A672" s="262" t="s">
        <v>3081</v>
      </c>
      <c r="B672" s="262" t="s">
        <v>2370</v>
      </c>
      <c r="C672" s="262" t="s">
        <v>3079</v>
      </c>
      <c r="D672" s="262" t="s">
        <v>3098</v>
      </c>
      <c r="E672" s="263">
        <v>7</v>
      </c>
      <c r="F672" s="262" t="s">
        <v>2373</v>
      </c>
      <c r="G672" s="262" t="s">
        <v>2374</v>
      </c>
      <c r="H672" s="395"/>
    </row>
    <row r="673" spans="1:8" ht="14.55" hidden="1" customHeight="1" x14ac:dyDescent="0.3">
      <c r="A673" s="262" t="s">
        <v>3081</v>
      </c>
      <c r="B673" s="262" t="s">
        <v>2370</v>
      </c>
      <c r="C673" s="262" t="s">
        <v>3079</v>
      </c>
      <c r="D673" s="262" t="s">
        <v>3099</v>
      </c>
      <c r="E673" s="263">
        <v>5</v>
      </c>
      <c r="F673" s="262" t="s">
        <v>2389</v>
      </c>
      <c r="G673" s="262" t="s">
        <v>2390</v>
      </c>
      <c r="H673" s="395"/>
    </row>
    <row r="674" spans="1:8" ht="14.55" hidden="1" customHeight="1" x14ac:dyDescent="0.3">
      <c r="A674" s="262" t="s">
        <v>3081</v>
      </c>
      <c r="B674" s="262" t="s">
        <v>2370</v>
      </c>
      <c r="C674" s="262" t="s">
        <v>3079</v>
      </c>
      <c r="D674" s="262" t="s">
        <v>2883</v>
      </c>
      <c r="E674" s="263">
        <v>5</v>
      </c>
      <c r="F674" s="262" t="s">
        <v>2389</v>
      </c>
      <c r="G674" s="262" t="s">
        <v>2428</v>
      </c>
      <c r="H674" s="395"/>
    </row>
    <row r="675" spans="1:8" ht="14.55" hidden="1" customHeight="1" x14ac:dyDescent="0.3">
      <c r="A675" s="262" t="s">
        <v>3081</v>
      </c>
      <c r="B675" s="262" t="s">
        <v>2370</v>
      </c>
      <c r="C675" s="262" t="s">
        <v>3079</v>
      </c>
      <c r="D675" s="262" t="s">
        <v>3100</v>
      </c>
      <c r="E675" s="263">
        <v>3</v>
      </c>
      <c r="F675" s="262" t="s">
        <v>2379</v>
      </c>
      <c r="G675" s="262" t="s">
        <v>2396</v>
      </c>
      <c r="H675" s="395"/>
    </row>
    <row r="676" spans="1:8" ht="14.55" hidden="1" customHeight="1" x14ac:dyDescent="0.3">
      <c r="A676" s="262" t="s">
        <v>3081</v>
      </c>
      <c r="B676" s="262" t="s">
        <v>2370</v>
      </c>
      <c r="C676" s="262" t="s">
        <v>3079</v>
      </c>
      <c r="D676" s="262" t="s">
        <v>3101</v>
      </c>
      <c r="E676" s="263">
        <v>3</v>
      </c>
      <c r="F676" s="262" t="s">
        <v>2419</v>
      </c>
      <c r="G676" s="262" t="s">
        <v>2420</v>
      </c>
      <c r="H676" s="395"/>
    </row>
    <row r="677" spans="1:8" ht="14.55" hidden="1" customHeight="1" x14ac:dyDescent="0.3">
      <c r="A677" s="262" t="s">
        <v>3081</v>
      </c>
      <c r="B677" s="262" t="s">
        <v>2370</v>
      </c>
      <c r="C677" s="262" t="s">
        <v>3079</v>
      </c>
      <c r="D677" s="262" t="s">
        <v>3053</v>
      </c>
      <c r="E677" s="263">
        <v>7</v>
      </c>
      <c r="F677" s="262" t="s">
        <v>2379</v>
      </c>
      <c r="G677" s="262" t="s">
        <v>2396</v>
      </c>
      <c r="H677" s="395"/>
    </row>
    <row r="678" spans="1:8" ht="14.55" hidden="1" customHeight="1" x14ac:dyDescent="0.3">
      <c r="A678" s="262" t="s">
        <v>3081</v>
      </c>
      <c r="B678" s="262" t="s">
        <v>2370</v>
      </c>
      <c r="C678" s="262" t="s">
        <v>3079</v>
      </c>
      <c r="D678" s="262" t="s">
        <v>3102</v>
      </c>
      <c r="E678" s="263">
        <v>7</v>
      </c>
      <c r="F678" s="262" t="s">
        <v>2373</v>
      </c>
      <c r="G678" s="262" t="s">
        <v>2600</v>
      </c>
      <c r="H678" s="395"/>
    </row>
    <row r="679" spans="1:8" ht="14.55" hidden="1" customHeight="1" x14ac:dyDescent="0.3">
      <c r="A679" s="262" t="s">
        <v>3081</v>
      </c>
      <c r="B679" s="262" t="s">
        <v>2370</v>
      </c>
      <c r="C679" s="262" t="s">
        <v>3079</v>
      </c>
      <c r="D679" s="262" t="s">
        <v>2684</v>
      </c>
      <c r="E679" s="263">
        <v>5</v>
      </c>
      <c r="F679" s="262" t="s">
        <v>2376</v>
      </c>
      <c r="G679" s="262" t="s">
        <v>2377</v>
      </c>
      <c r="H679" s="395"/>
    </row>
    <row r="680" spans="1:8" ht="14.55" hidden="1" customHeight="1" x14ac:dyDescent="0.3">
      <c r="A680" s="262" t="s">
        <v>3081</v>
      </c>
      <c r="B680" s="262" t="s">
        <v>2380</v>
      </c>
      <c r="C680" s="262" t="s">
        <v>3079</v>
      </c>
      <c r="D680" s="262" t="s">
        <v>2952</v>
      </c>
      <c r="E680" s="263">
        <v>7</v>
      </c>
      <c r="F680" s="262" t="s">
        <v>2379</v>
      </c>
      <c r="G680" s="262" t="s">
        <v>3103</v>
      </c>
      <c r="H680" s="395"/>
    </row>
    <row r="681" spans="1:8" ht="14.55" hidden="1" customHeight="1" x14ac:dyDescent="0.3">
      <c r="A681" s="262" t="s">
        <v>3081</v>
      </c>
      <c r="B681" s="262" t="s">
        <v>2370</v>
      </c>
      <c r="C681" s="262" t="s">
        <v>3079</v>
      </c>
      <c r="D681" s="262" t="s">
        <v>2538</v>
      </c>
      <c r="E681" s="263">
        <v>7</v>
      </c>
      <c r="F681" s="262" t="s">
        <v>2373</v>
      </c>
      <c r="G681" s="262" t="s">
        <v>2374</v>
      </c>
      <c r="H681" s="395"/>
    </row>
    <row r="682" spans="1:8" ht="14.55" hidden="1" customHeight="1" x14ac:dyDescent="0.3">
      <c r="A682" s="262" t="s">
        <v>3081</v>
      </c>
      <c r="B682" s="262" t="s">
        <v>2370</v>
      </c>
      <c r="C682" s="262" t="s">
        <v>3079</v>
      </c>
      <c r="D682" s="262" t="s">
        <v>3104</v>
      </c>
      <c r="E682" s="263">
        <v>5</v>
      </c>
      <c r="F682" s="262" t="s">
        <v>2373</v>
      </c>
      <c r="G682" s="262" t="s">
        <v>2392</v>
      </c>
      <c r="H682" s="395"/>
    </row>
    <row r="683" spans="1:8" ht="14.55" hidden="1" customHeight="1" x14ac:dyDescent="0.3">
      <c r="A683" s="262" t="s">
        <v>3081</v>
      </c>
      <c r="B683" s="262" t="s">
        <v>2370</v>
      </c>
      <c r="C683" s="262" t="s">
        <v>3079</v>
      </c>
      <c r="D683" s="262" t="s">
        <v>2771</v>
      </c>
      <c r="E683" s="263">
        <v>5</v>
      </c>
      <c r="F683" s="262" t="s">
        <v>2379</v>
      </c>
      <c r="G683" s="262" t="s">
        <v>2396</v>
      </c>
      <c r="H683" s="395"/>
    </row>
    <row r="684" spans="1:8" ht="14.55" hidden="1" customHeight="1" x14ac:dyDescent="0.3">
      <c r="A684" s="262" t="s">
        <v>3081</v>
      </c>
      <c r="B684" s="262" t="s">
        <v>2370</v>
      </c>
      <c r="C684" s="262" t="s">
        <v>3079</v>
      </c>
      <c r="D684" s="262" t="s">
        <v>2658</v>
      </c>
      <c r="E684" s="263">
        <v>5</v>
      </c>
      <c r="F684" s="262" t="s">
        <v>2373</v>
      </c>
      <c r="G684" s="262" t="s">
        <v>2392</v>
      </c>
      <c r="H684" s="395"/>
    </row>
    <row r="685" spans="1:8" ht="14.55" hidden="1" customHeight="1" x14ac:dyDescent="0.3">
      <c r="A685" s="262" t="s">
        <v>3081</v>
      </c>
      <c r="B685" s="262" t="s">
        <v>2370</v>
      </c>
      <c r="C685" s="262" t="s">
        <v>3079</v>
      </c>
      <c r="D685" s="262" t="s">
        <v>3105</v>
      </c>
      <c r="E685" s="263">
        <v>5</v>
      </c>
      <c r="F685" s="262" t="s">
        <v>2373</v>
      </c>
      <c r="G685" s="262" t="s">
        <v>2453</v>
      </c>
      <c r="H685" s="395"/>
    </row>
    <row r="686" spans="1:8" ht="14.55" hidden="1" customHeight="1" x14ac:dyDescent="0.3">
      <c r="A686" s="262" t="s">
        <v>3081</v>
      </c>
      <c r="B686" s="262" t="s">
        <v>2380</v>
      </c>
      <c r="C686" s="262" t="s">
        <v>3079</v>
      </c>
      <c r="D686" s="262" t="s">
        <v>2914</v>
      </c>
      <c r="E686" s="263">
        <v>7</v>
      </c>
      <c r="F686" s="262" t="s">
        <v>2419</v>
      </c>
      <c r="G686" s="262" t="s">
        <v>2432</v>
      </c>
      <c r="H686" s="395"/>
    </row>
    <row r="687" spans="1:8" ht="14.55" hidden="1" customHeight="1" x14ac:dyDescent="0.3">
      <c r="A687" s="262" t="s">
        <v>3081</v>
      </c>
      <c r="B687" s="262" t="s">
        <v>2370</v>
      </c>
      <c r="C687" s="262" t="s">
        <v>3079</v>
      </c>
      <c r="D687" s="262" t="s">
        <v>2783</v>
      </c>
      <c r="E687" s="263">
        <v>3</v>
      </c>
      <c r="F687" s="262" t="s">
        <v>2373</v>
      </c>
      <c r="G687" s="262" t="s">
        <v>2374</v>
      </c>
      <c r="H687" s="395"/>
    </row>
    <row r="688" spans="1:8" ht="14.55" hidden="1" customHeight="1" x14ac:dyDescent="0.3">
      <c r="A688" s="262" t="s">
        <v>3081</v>
      </c>
      <c r="B688" s="262" t="s">
        <v>2370</v>
      </c>
      <c r="C688" s="262" t="s">
        <v>3079</v>
      </c>
      <c r="D688" s="262" t="s">
        <v>3106</v>
      </c>
      <c r="E688" s="263">
        <v>7</v>
      </c>
      <c r="F688" s="262" t="s">
        <v>2419</v>
      </c>
      <c r="G688" s="262" t="s">
        <v>2420</v>
      </c>
      <c r="H688" s="395"/>
    </row>
    <row r="689" spans="1:8" ht="14.55" hidden="1" customHeight="1" x14ac:dyDescent="0.3">
      <c r="A689" s="262" t="s">
        <v>3081</v>
      </c>
      <c r="B689" s="262" t="s">
        <v>2370</v>
      </c>
      <c r="C689" s="262" t="s">
        <v>3079</v>
      </c>
      <c r="D689" s="262" t="s">
        <v>3107</v>
      </c>
      <c r="E689" s="263">
        <v>5</v>
      </c>
      <c r="F689" s="262" t="s">
        <v>2389</v>
      </c>
      <c r="G689" s="262" t="s">
        <v>2631</v>
      </c>
      <c r="H689" s="395"/>
    </row>
    <row r="690" spans="1:8" ht="14.55" hidden="1" customHeight="1" x14ac:dyDescent="0.3">
      <c r="A690" s="262" t="s">
        <v>3108</v>
      </c>
      <c r="B690" s="262" t="s">
        <v>2370</v>
      </c>
      <c r="C690" s="262" t="s">
        <v>3079</v>
      </c>
      <c r="D690" s="262" t="s">
        <v>3109</v>
      </c>
      <c r="E690" s="263">
        <v>7</v>
      </c>
      <c r="F690" s="262" t="s">
        <v>2389</v>
      </c>
      <c r="G690" s="262" t="s">
        <v>2408</v>
      </c>
      <c r="H690" s="395"/>
    </row>
    <row r="691" spans="1:8" ht="14.55" hidden="1" customHeight="1" x14ac:dyDescent="0.3">
      <c r="A691" s="262" t="s">
        <v>3108</v>
      </c>
      <c r="B691" s="262" t="s">
        <v>2380</v>
      </c>
      <c r="C691" s="262" t="s">
        <v>3079</v>
      </c>
      <c r="D691" s="262" t="s">
        <v>3020</v>
      </c>
      <c r="E691" s="263">
        <v>3</v>
      </c>
      <c r="F691" s="262" t="s">
        <v>2373</v>
      </c>
      <c r="G691" s="262" t="s">
        <v>2374</v>
      </c>
      <c r="H691" s="395"/>
    </row>
    <row r="692" spans="1:8" ht="14.55" hidden="1" customHeight="1" x14ac:dyDescent="0.3">
      <c r="A692" s="262" t="s">
        <v>3108</v>
      </c>
      <c r="B692" s="262" t="s">
        <v>2370</v>
      </c>
      <c r="C692" s="262" t="s">
        <v>3079</v>
      </c>
      <c r="D692" s="262" t="s">
        <v>3030</v>
      </c>
      <c r="E692" s="263">
        <v>7</v>
      </c>
      <c r="F692" s="262" t="s">
        <v>2373</v>
      </c>
      <c r="G692" s="262" t="s">
        <v>2374</v>
      </c>
      <c r="H692" s="395"/>
    </row>
    <row r="693" spans="1:8" ht="14.55" hidden="1" customHeight="1" x14ac:dyDescent="0.3">
      <c r="A693" s="262" t="s">
        <v>3108</v>
      </c>
      <c r="B693" s="262" t="s">
        <v>2370</v>
      </c>
      <c r="C693" s="262" t="s">
        <v>3079</v>
      </c>
      <c r="D693" s="262" t="s">
        <v>3032</v>
      </c>
      <c r="E693" s="263">
        <v>7</v>
      </c>
      <c r="F693" s="262" t="s">
        <v>2373</v>
      </c>
      <c r="G693" s="262" t="s">
        <v>2374</v>
      </c>
      <c r="H693" s="395"/>
    </row>
    <row r="694" spans="1:8" ht="14.55" hidden="1" customHeight="1" x14ac:dyDescent="0.3">
      <c r="A694" s="262" t="s">
        <v>3108</v>
      </c>
      <c r="B694" s="262" t="s">
        <v>2370</v>
      </c>
      <c r="C694" s="262" t="s">
        <v>3079</v>
      </c>
      <c r="D694" s="262" t="s">
        <v>3110</v>
      </c>
      <c r="E694" s="263">
        <v>7</v>
      </c>
      <c r="F694" s="262" t="s">
        <v>2419</v>
      </c>
      <c r="G694" s="262" t="s">
        <v>2420</v>
      </c>
      <c r="H694" s="395"/>
    </row>
    <row r="695" spans="1:8" ht="14.55" hidden="1" customHeight="1" x14ac:dyDescent="0.3">
      <c r="A695" s="262" t="s">
        <v>3108</v>
      </c>
      <c r="B695" s="262" t="s">
        <v>2370</v>
      </c>
      <c r="C695" s="262" t="s">
        <v>3079</v>
      </c>
      <c r="D695" s="262" t="s">
        <v>2916</v>
      </c>
      <c r="E695" s="263">
        <v>7</v>
      </c>
      <c r="F695" s="262" t="s">
        <v>2419</v>
      </c>
      <c r="G695" s="262" t="s">
        <v>2432</v>
      </c>
      <c r="H695" s="395"/>
    </row>
    <row r="696" spans="1:8" ht="14.55" hidden="1" customHeight="1" x14ac:dyDescent="0.3">
      <c r="A696" s="262" t="s">
        <v>3108</v>
      </c>
      <c r="B696" s="262" t="s">
        <v>2370</v>
      </c>
      <c r="C696" s="262" t="s">
        <v>3079</v>
      </c>
      <c r="D696" s="262" t="s">
        <v>2649</v>
      </c>
      <c r="E696" s="263">
        <v>5</v>
      </c>
      <c r="F696" s="262" t="s">
        <v>2389</v>
      </c>
      <c r="G696" s="262" t="s">
        <v>2428</v>
      </c>
      <c r="H696" s="395"/>
    </row>
    <row r="697" spans="1:8" x14ac:dyDescent="0.3">
      <c r="A697" s="264" t="s">
        <v>3108</v>
      </c>
      <c r="B697" s="264" t="s">
        <v>2370</v>
      </c>
      <c r="C697" s="264" t="s">
        <v>3079</v>
      </c>
      <c r="D697" s="264" t="s">
        <v>2814</v>
      </c>
      <c r="E697" s="265">
        <v>5</v>
      </c>
      <c r="F697" s="264" t="s">
        <v>2379</v>
      </c>
      <c r="G697" s="264" t="s">
        <v>2402</v>
      </c>
      <c r="H697" s="396"/>
    </row>
    <row r="698" spans="1:8" ht="14.55" hidden="1" customHeight="1" x14ac:dyDescent="0.3">
      <c r="A698" s="262" t="s">
        <v>3108</v>
      </c>
      <c r="B698" s="262" t="s">
        <v>2380</v>
      </c>
      <c r="C698" s="262" t="s">
        <v>3079</v>
      </c>
      <c r="D698" s="262" t="s">
        <v>2839</v>
      </c>
      <c r="E698" s="263">
        <v>7</v>
      </c>
      <c r="F698" s="262" t="s">
        <v>2373</v>
      </c>
      <c r="G698" s="262" t="s">
        <v>2374</v>
      </c>
      <c r="H698" s="395"/>
    </row>
    <row r="699" spans="1:8" ht="14.55" hidden="1" customHeight="1" x14ac:dyDescent="0.3">
      <c r="A699" s="262" t="s">
        <v>3108</v>
      </c>
      <c r="B699" s="262" t="s">
        <v>2370</v>
      </c>
      <c r="C699" s="262" t="s">
        <v>3079</v>
      </c>
      <c r="D699" s="262" t="s">
        <v>2871</v>
      </c>
      <c r="E699" s="263">
        <v>7</v>
      </c>
      <c r="F699" s="262" t="s">
        <v>2419</v>
      </c>
      <c r="G699" s="262" t="s">
        <v>2432</v>
      </c>
      <c r="H699" s="395"/>
    </row>
    <row r="700" spans="1:8" ht="14.55" hidden="1" customHeight="1" x14ac:dyDescent="0.3">
      <c r="A700" s="262" t="s">
        <v>3108</v>
      </c>
      <c r="B700" s="262" t="s">
        <v>2380</v>
      </c>
      <c r="C700" s="262" t="s">
        <v>3079</v>
      </c>
      <c r="D700" s="262" t="s">
        <v>3111</v>
      </c>
      <c r="E700" s="263">
        <v>7</v>
      </c>
      <c r="F700" s="262" t="s">
        <v>2419</v>
      </c>
      <c r="G700" s="262" t="s">
        <v>2885</v>
      </c>
      <c r="H700" s="395"/>
    </row>
    <row r="701" spans="1:8" ht="14.55" hidden="1" customHeight="1" x14ac:dyDescent="0.3">
      <c r="A701" s="262" t="s">
        <v>3108</v>
      </c>
      <c r="B701" s="262" t="s">
        <v>2370</v>
      </c>
      <c r="C701" s="262" t="s">
        <v>3079</v>
      </c>
      <c r="D701" s="262" t="s">
        <v>2636</v>
      </c>
      <c r="E701" s="263">
        <v>7</v>
      </c>
      <c r="F701" s="262" t="s">
        <v>2419</v>
      </c>
      <c r="G701" s="262" t="s">
        <v>2420</v>
      </c>
      <c r="H701" s="395"/>
    </row>
    <row r="702" spans="1:8" ht="14.55" hidden="1" customHeight="1" x14ac:dyDescent="0.3">
      <c r="A702" s="262" t="s">
        <v>3108</v>
      </c>
      <c r="B702" s="262" t="s">
        <v>2370</v>
      </c>
      <c r="C702" s="262" t="s">
        <v>3079</v>
      </c>
      <c r="D702" s="262" t="s">
        <v>2650</v>
      </c>
      <c r="E702" s="263">
        <v>7</v>
      </c>
      <c r="F702" s="262" t="s">
        <v>2419</v>
      </c>
      <c r="G702" s="262" t="s">
        <v>2420</v>
      </c>
      <c r="H702" s="395"/>
    </row>
    <row r="703" spans="1:8" ht="14.55" hidden="1" customHeight="1" x14ac:dyDescent="0.3">
      <c r="A703" s="262" t="s">
        <v>3108</v>
      </c>
      <c r="B703" s="262" t="s">
        <v>2370</v>
      </c>
      <c r="C703" s="262" t="s">
        <v>3079</v>
      </c>
      <c r="D703" s="262" t="s">
        <v>3037</v>
      </c>
      <c r="E703" s="263">
        <v>3</v>
      </c>
      <c r="F703" s="262" t="s">
        <v>2419</v>
      </c>
      <c r="G703" s="262" t="s">
        <v>2420</v>
      </c>
      <c r="H703" s="395"/>
    </row>
    <row r="704" spans="1:8" ht="14.55" hidden="1" customHeight="1" x14ac:dyDescent="0.3">
      <c r="A704" s="262" t="s">
        <v>3108</v>
      </c>
      <c r="B704" s="262" t="s">
        <v>2370</v>
      </c>
      <c r="C704" s="262" t="s">
        <v>3079</v>
      </c>
      <c r="D704" s="262" t="s">
        <v>3112</v>
      </c>
      <c r="E704" s="263">
        <v>7</v>
      </c>
      <c r="F704" s="262" t="s">
        <v>2373</v>
      </c>
      <c r="G704" s="262" t="s">
        <v>2644</v>
      </c>
      <c r="H704" s="395"/>
    </row>
    <row r="705" spans="1:8" ht="14.55" hidden="1" customHeight="1" x14ac:dyDescent="0.3">
      <c r="A705" s="262" t="s">
        <v>3108</v>
      </c>
      <c r="B705" s="262" t="s">
        <v>2370</v>
      </c>
      <c r="C705" s="262" t="s">
        <v>3079</v>
      </c>
      <c r="D705" s="262" t="s">
        <v>3113</v>
      </c>
      <c r="E705" s="263">
        <v>3</v>
      </c>
      <c r="F705" s="262" t="s">
        <v>2419</v>
      </c>
      <c r="G705" s="262" t="s">
        <v>2420</v>
      </c>
      <c r="H705" s="395"/>
    </row>
    <row r="706" spans="1:8" ht="14.55" hidden="1" customHeight="1" x14ac:dyDescent="0.3">
      <c r="A706" s="262" t="s">
        <v>3108</v>
      </c>
      <c r="B706" s="262" t="s">
        <v>2370</v>
      </c>
      <c r="C706" s="262" t="s">
        <v>3079</v>
      </c>
      <c r="D706" s="262" t="s">
        <v>3114</v>
      </c>
      <c r="E706" s="263">
        <v>3</v>
      </c>
      <c r="F706" s="262" t="s">
        <v>2419</v>
      </c>
      <c r="G706" s="262" t="s">
        <v>2420</v>
      </c>
      <c r="H706" s="395"/>
    </row>
    <row r="707" spans="1:8" ht="14.55" hidden="1" customHeight="1" x14ac:dyDescent="0.3">
      <c r="A707" s="262" t="s">
        <v>3108</v>
      </c>
      <c r="B707" s="262" t="s">
        <v>2370</v>
      </c>
      <c r="C707" s="262" t="s">
        <v>3079</v>
      </c>
      <c r="D707" s="262" t="s">
        <v>2854</v>
      </c>
      <c r="E707" s="263">
        <v>5</v>
      </c>
      <c r="F707" s="262" t="s">
        <v>2373</v>
      </c>
      <c r="G707" s="262" t="s">
        <v>2392</v>
      </c>
      <c r="H707" s="395"/>
    </row>
    <row r="708" spans="1:8" ht="14.55" hidden="1" customHeight="1" x14ac:dyDescent="0.3">
      <c r="A708" s="262" t="s">
        <v>3108</v>
      </c>
      <c r="B708" s="262" t="s">
        <v>2370</v>
      </c>
      <c r="C708" s="262" t="s">
        <v>3079</v>
      </c>
      <c r="D708" s="262" t="s">
        <v>3046</v>
      </c>
      <c r="E708" s="263">
        <v>3</v>
      </c>
      <c r="F708" s="262" t="s">
        <v>2419</v>
      </c>
      <c r="G708" s="262" t="s">
        <v>2420</v>
      </c>
      <c r="H708" s="395"/>
    </row>
    <row r="709" spans="1:8" ht="14.55" hidden="1" customHeight="1" x14ac:dyDescent="0.3">
      <c r="A709" s="262" t="s">
        <v>3108</v>
      </c>
      <c r="B709" s="262" t="s">
        <v>2370</v>
      </c>
      <c r="C709" s="262" t="s">
        <v>3079</v>
      </c>
      <c r="D709" s="262" t="s">
        <v>3023</v>
      </c>
      <c r="E709" s="263">
        <v>7</v>
      </c>
      <c r="F709" s="262" t="s">
        <v>2373</v>
      </c>
      <c r="G709" s="262" t="s">
        <v>2374</v>
      </c>
      <c r="H709" s="395"/>
    </row>
    <row r="710" spans="1:8" ht="14.55" hidden="1" customHeight="1" x14ac:dyDescent="0.3">
      <c r="A710" s="262" t="s">
        <v>3108</v>
      </c>
      <c r="B710" s="262" t="s">
        <v>2370</v>
      </c>
      <c r="C710" s="262" t="s">
        <v>3079</v>
      </c>
      <c r="D710" s="262" t="s">
        <v>2935</v>
      </c>
      <c r="E710" s="263">
        <v>3</v>
      </c>
      <c r="F710" s="262" t="s">
        <v>2419</v>
      </c>
      <c r="G710" s="262" t="s">
        <v>2420</v>
      </c>
      <c r="H710" s="395"/>
    </row>
    <row r="711" spans="1:8" ht="14.55" hidden="1" customHeight="1" x14ac:dyDescent="0.3">
      <c r="A711" s="262" t="s">
        <v>3108</v>
      </c>
      <c r="B711" s="262" t="s">
        <v>2370</v>
      </c>
      <c r="C711" s="262" t="s">
        <v>3079</v>
      </c>
      <c r="D711" s="262" t="s">
        <v>2944</v>
      </c>
      <c r="E711" s="263">
        <v>3</v>
      </c>
      <c r="F711" s="262" t="s">
        <v>2419</v>
      </c>
      <c r="G711" s="262" t="s">
        <v>2420</v>
      </c>
      <c r="H711" s="395"/>
    </row>
    <row r="712" spans="1:8" ht="14.55" hidden="1" customHeight="1" x14ac:dyDescent="0.3">
      <c r="A712" s="262" t="s">
        <v>3108</v>
      </c>
      <c r="B712" s="262" t="s">
        <v>2370</v>
      </c>
      <c r="C712" s="262" t="s">
        <v>3079</v>
      </c>
      <c r="D712" s="262" t="s">
        <v>3115</v>
      </c>
      <c r="E712" s="263">
        <v>3</v>
      </c>
      <c r="F712" s="262" t="s">
        <v>2419</v>
      </c>
      <c r="G712" s="262" t="s">
        <v>2420</v>
      </c>
      <c r="H712" s="395"/>
    </row>
    <row r="713" spans="1:8" ht="14.55" hidden="1" customHeight="1" x14ac:dyDescent="0.3">
      <c r="A713" s="262" t="s">
        <v>3108</v>
      </c>
      <c r="B713" s="262" t="s">
        <v>2370</v>
      </c>
      <c r="C713" s="262" t="s">
        <v>3079</v>
      </c>
      <c r="D713" s="262" t="s">
        <v>3116</v>
      </c>
      <c r="E713" s="263">
        <v>3</v>
      </c>
      <c r="F713" s="262" t="s">
        <v>2373</v>
      </c>
      <c r="G713" s="262" t="s">
        <v>2453</v>
      </c>
      <c r="H713" s="395"/>
    </row>
    <row r="714" spans="1:8" ht="14.55" hidden="1" customHeight="1" x14ac:dyDescent="0.3">
      <c r="A714" s="262" t="s">
        <v>3108</v>
      </c>
      <c r="B714" s="262" t="s">
        <v>2370</v>
      </c>
      <c r="C714" s="262" t="s">
        <v>3079</v>
      </c>
      <c r="D714" s="262" t="s">
        <v>2724</v>
      </c>
      <c r="E714" s="263">
        <v>7</v>
      </c>
      <c r="F714" s="262" t="s">
        <v>2389</v>
      </c>
      <c r="G714" s="262" t="s">
        <v>2408</v>
      </c>
      <c r="H714" s="395"/>
    </row>
    <row r="715" spans="1:8" ht="14.55" hidden="1" customHeight="1" x14ac:dyDescent="0.3">
      <c r="A715" s="262" t="s">
        <v>3108</v>
      </c>
      <c r="B715" s="262" t="s">
        <v>2370</v>
      </c>
      <c r="C715" s="262" t="s">
        <v>3079</v>
      </c>
      <c r="D715" s="262" t="s">
        <v>3117</v>
      </c>
      <c r="E715" s="263">
        <v>5</v>
      </c>
      <c r="F715" s="262" t="s">
        <v>2373</v>
      </c>
      <c r="G715" s="262" t="s">
        <v>2392</v>
      </c>
      <c r="H715" s="395"/>
    </row>
    <row r="716" spans="1:8" ht="14.55" hidden="1" customHeight="1" x14ac:dyDescent="0.3">
      <c r="A716" s="262" t="s">
        <v>3108</v>
      </c>
      <c r="B716" s="262" t="s">
        <v>2370</v>
      </c>
      <c r="C716" s="262" t="s">
        <v>3079</v>
      </c>
      <c r="D716" s="262" t="s">
        <v>3118</v>
      </c>
      <c r="E716" s="263">
        <v>3</v>
      </c>
      <c r="F716" s="262" t="s">
        <v>2419</v>
      </c>
      <c r="G716" s="262" t="s">
        <v>2420</v>
      </c>
      <c r="H716" s="395"/>
    </row>
    <row r="717" spans="1:8" ht="14.55" hidden="1" customHeight="1" x14ac:dyDescent="0.3">
      <c r="A717" s="262" t="s">
        <v>3108</v>
      </c>
      <c r="B717" s="262" t="s">
        <v>2370</v>
      </c>
      <c r="C717" s="262" t="s">
        <v>3079</v>
      </c>
      <c r="D717" s="262" t="s">
        <v>2747</v>
      </c>
      <c r="E717" s="263">
        <v>5</v>
      </c>
      <c r="F717" s="262" t="s">
        <v>2419</v>
      </c>
      <c r="G717" s="262" t="s">
        <v>2857</v>
      </c>
      <c r="H717" s="395"/>
    </row>
    <row r="718" spans="1:8" ht="14.55" hidden="1" customHeight="1" x14ac:dyDescent="0.3">
      <c r="A718" s="262" t="s">
        <v>3108</v>
      </c>
      <c r="B718" s="262" t="s">
        <v>2370</v>
      </c>
      <c r="C718" s="262" t="s">
        <v>3079</v>
      </c>
      <c r="D718" s="262" t="s">
        <v>3073</v>
      </c>
      <c r="E718" s="263">
        <v>5</v>
      </c>
      <c r="F718" s="262" t="s">
        <v>2373</v>
      </c>
      <c r="G718" s="262" t="s">
        <v>2392</v>
      </c>
      <c r="H718" s="395"/>
    </row>
    <row r="719" spans="1:8" ht="14.55" hidden="1" customHeight="1" x14ac:dyDescent="0.3">
      <c r="A719" s="262" t="s">
        <v>3108</v>
      </c>
      <c r="B719" s="262" t="s">
        <v>2370</v>
      </c>
      <c r="C719" s="262" t="s">
        <v>3079</v>
      </c>
      <c r="D719" s="262" t="s">
        <v>2924</v>
      </c>
      <c r="E719" s="263">
        <v>5</v>
      </c>
      <c r="F719" s="262" t="s">
        <v>2419</v>
      </c>
      <c r="G719" s="262" t="s">
        <v>3038</v>
      </c>
      <c r="H719" s="395"/>
    </row>
    <row r="720" spans="1:8" ht="14.55" hidden="1" customHeight="1" x14ac:dyDescent="0.3">
      <c r="A720" s="262" t="s">
        <v>3108</v>
      </c>
      <c r="B720" s="262" t="s">
        <v>2370</v>
      </c>
      <c r="C720" s="262" t="s">
        <v>3079</v>
      </c>
      <c r="D720" s="262" t="s">
        <v>3043</v>
      </c>
      <c r="E720" s="263">
        <v>3</v>
      </c>
      <c r="F720" s="262" t="s">
        <v>2419</v>
      </c>
      <c r="G720" s="262" t="s">
        <v>2420</v>
      </c>
      <c r="H720" s="395"/>
    </row>
    <row r="721" spans="1:8" ht="14.55" hidden="1" customHeight="1" x14ac:dyDescent="0.3">
      <c r="A721" s="262" t="s">
        <v>3108</v>
      </c>
      <c r="B721" s="262" t="s">
        <v>2370</v>
      </c>
      <c r="C721" s="262" t="s">
        <v>3079</v>
      </c>
      <c r="D721" s="262" t="s">
        <v>3119</v>
      </c>
      <c r="E721" s="263">
        <v>3</v>
      </c>
      <c r="F721" s="262" t="s">
        <v>2389</v>
      </c>
      <c r="G721" s="262" t="s">
        <v>2428</v>
      </c>
      <c r="H721" s="395"/>
    </row>
    <row r="722" spans="1:8" ht="14.55" hidden="1" customHeight="1" x14ac:dyDescent="0.3">
      <c r="A722" s="262" t="s">
        <v>3108</v>
      </c>
      <c r="B722" s="262" t="s">
        <v>2370</v>
      </c>
      <c r="C722" s="262" t="s">
        <v>3079</v>
      </c>
      <c r="D722" s="262" t="s">
        <v>3120</v>
      </c>
      <c r="E722" s="263">
        <v>3</v>
      </c>
      <c r="F722" s="262" t="s">
        <v>2419</v>
      </c>
      <c r="G722" s="262" t="s">
        <v>2420</v>
      </c>
      <c r="H722" s="395"/>
    </row>
    <row r="723" spans="1:8" ht="14.55" hidden="1" customHeight="1" x14ac:dyDescent="0.3">
      <c r="A723" s="262" t="s">
        <v>3108</v>
      </c>
      <c r="B723" s="262" t="s">
        <v>2370</v>
      </c>
      <c r="C723" s="262" t="s">
        <v>3079</v>
      </c>
      <c r="D723" s="262" t="s">
        <v>3121</v>
      </c>
      <c r="E723" s="263">
        <v>7</v>
      </c>
      <c r="F723" s="262" t="s">
        <v>2419</v>
      </c>
      <c r="G723" s="262" t="s">
        <v>2420</v>
      </c>
      <c r="H723" s="395"/>
    </row>
    <row r="724" spans="1:8" ht="14.55" hidden="1" customHeight="1" x14ac:dyDescent="0.3">
      <c r="A724" s="262" t="s">
        <v>3108</v>
      </c>
      <c r="B724" s="262" t="s">
        <v>2370</v>
      </c>
      <c r="C724" s="262" t="s">
        <v>3079</v>
      </c>
      <c r="D724" s="262" t="s">
        <v>3122</v>
      </c>
      <c r="E724" s="263">
        <v>3</v>
      </c>
      <c r="F724" s="262" t="s">
        <v>2419</v>
      </c>
      <c r="G724" s="262" t="s">
        <v>2420</v>
      </c>
      <c r="H724" s="395"/>
    </row>
    <row r="725" spans="1:8" ht="14.55" hidden="1" customHeight="1" x14ac:dyDescent="0.3">
      <c r="A725" s="262" t="s">
        <v>3108</v>
      </c>
      <c r="B725" s="262" t="s">
        <v>2370</v>
      </c>
      <c r="C725" s="262" t="s">
        <v>3079</v>
      </c>
      <c r="D725" s="262" t="s">
        <v>3123</v>
      </c>
      <c r="E725" s="263">
        <v>7</v>
      </c>
      <c r="F725" s="262" t="s">
        <v>2419</v>
      </c>
      <c r="G725" s="262" t="s">
        <v>2420</v>
      </c>
      <c r="H725" s="395"/>
    </row>
    <row r="726" spans="1:8" ht="14.55" hidden="1" customHeight="1" x14ac:dyDescent="0.3">
      <c r="A726" s="262" t="s">
        <v>3108</v>
      </c>
      <c r="B726" s="262" t="s">
        <v>2370</v>
      </c>
      <c r="C726" s="262" t="s">
        <v>3079</v>
      </c>
      <c r="D726" s="262" t="s">
        <v>2909</v>
      </c>
      <c r="E726" s="263">
        <v>5</v>
      </c>
      <c r="F726" s="262" t="s">
        <v>2373</v>
      </c>
      <c r="G726" s="262" t="s">
        <v>2392</v>
      </c>
      <c r="H726" s="395"/>
    </row>
    <row r="727" spans="1:8" ht="14.55" hidden="1" customHeight="1" x14ac:dyDescent="0.3">
      <c r="A727" s="262" t="s">
        <v>3108</v>
      </c>
      <c r="B727" s="262" t="s">
        <v>2370</v>
      </c>
      <c r="C727" s="262" t="s">
        <v>3079</v>
      </c>
      <c r="D727" s="262" t="s">
        <v>3124</v>
      </c>
      <c r="E727" s="263">
        <v>5</v>
      </c>
      <c r="F727" s="262" t="s">
        <v>2419</v>
      </c>
      <c r="G727" s="262" t="s">
        <v>2432</v>
      </c>
      <c r="H727" s="395"/>
    </row>
    <row r="728" spans="1:8" ht="14.55" hidden="1" customHeight="1" x14ac:dyDescent="0.3">
      <c r="A728" s="262" t="s">
        <v>3108</v>
      </c>
      <c r="B728" s="262" t="s">
        <v>2370</v>
      </c>
      <c r="C728" s="262" t="s">
        <v>3079</v>
      </c>
      <c r="D728" s="262" t="s">
        <v>3003</v>
      </c>
      <c r="E728" s="263">
        <v>7</v>
      </c>
      <c r="F728" s="262" t="s">
        <v>2373</v>
      </c>
      <c r="G728" s="262" t="s">
        <v>2449</v>
      </c>
      <c r="H728" s="395"/>
    </row>
    <row r="729" spans="1:8" ht="14.55" hidden="1" customHeight="1" x14ac:dyDescent="0.3">
      <c r="A729" s="262" t="s">
        <v>3108</v>
      </c>
      <c r="B729" s="262" t="s">
        <v>2370</v>
      </c>
      <c r="C729" s="262" t="s">
        <v>3079</v>
      </c>
      <c r="D729" s="262" t="s">
        <v>3125</v>
      </c>
      <c r="E729" s="263">
        <v>5</v>
      </c>
      <c r="F729" s="262" t="s">
        <v>2379</v>
      </c>
      <c r="G729" s="262" t="s">
        <v>2568</v>
      </c>
      <c r="H729" s="395"/>
    </row>
    <row r="730" spans="1:8" ht="14.55" hidden="1" customHeight="1" x14ac:dyDescent="0.3">
      <c r="A730" s="262" t="s">
        <v>3108</v>
      </c>
      <c r="B730" s="262" t="s">
        <v>2370</v>
      </c>
      <c r="C730" s="262" t="s">
        <v>3079</v>
      </c>
      <c r="D730" s="262" t="s">
        <v>3126</v>
      </c>
      <c r="E730" s="263">
        <v>3</v>
      </c>
      <c r="F730" s="262" t="s">
        <v>2419</v>
      </c>
      <c r="G730" s="262" t="s">
        <v>2420</v>
      </c>
      <c r="H730" s="395"/>
    </row>
    <row r="731" spans="1:8" ht="14.55" hidden="1" customHeight="1" x14ac:dyDescent="0.3">
      <c r="A731" s="262" t="s">
        <v>3108</v>
      </c>
      <c r="B731" s="262" t="s">
        <v>2370</v>
      </c>
      <c r="C731" s="262" t="s">
        <v>3079</v>
      </c>
      <c r="D731" s="262" t="s">
        <v>3127</v>
      </c>
      <c r="E731" s="263">
        <v>5</v>
      </c>
      <c r="F731" s="262" t="s">
        <v>2389</v>
      </c>
      <c r="G731" s="262" t="s">
        <v>2428</v>
      </c>
      <c r="H731" s="395"/>
    </row>
    <row r="732" spans="1:8" x14ac:dyDescent="0.3">
      <c r="A732" s="264" t="s">
        <v>3108</v>
      </c>
      <c r="B732" s="264" t="s">
        <v>2370</v>
      </c>
      <c r="C732" s="264" t="s">
        <v>3079</v>
      </c>
      <c r="D732" s="264" t="s">
        <v>2901</v>
      </c>
      <c r="E732" s="265">
        <v>7</v>
      </c>
      <c r="F732" s="264" t="s">
        <v>2379</v>
      </c>
      <c r="G732" s="264" t="s">
        <v>2402</v>
      </c>
      <c r="H732" s="396"/>
    </row>
    <row r="733" spans="1:8" ht="14.55" hidden="1" customHeight="1" x14ac:dyDescent="0.3">
      <c r="A733" s="262" t="s">
        <v>3108</v>
      </c>
      <c r="B733" s="262" t="s">
        <v>2370</v>
      </c>
      <c r="C733" s="262" t="s">
        <v>3079</v>
      </c>
      <c r="D733" s="262" t="s">
        <v>2937</v>
      </c>
      <c r="E733" s="263">
        <v>3</v>
      </c>
      <c r="F733" s="262" t="s">
        <v>2419</v>
      </c>
      <c r="G733" s="262" t="s">
        <v>2420</v>
      </c>
      <c r="H733" s="395"/>
    </row>
    <row r="734" spans="1:8" ht="14.55" hidden="1" customHeight="1" x14ac:dyDescent="0.3">
      <c r="A734" s="262" t="s">
        <v>3108</v>
      </c>
      <c r="B734" s="262" t="s">
        <v>2370</v>
      </c>
      <c r="C734" s="262" t="s">
        <v>3079</v>
      </c>
      <c r="D734" s="262" t="s">
        <v>2717</v>
      </c>
      <c r="E734" s="263">
        <v>5</v>
      </c>
      <c r="F734" s="262" t="s">
        <v>2373</v>
      </c>
      <c r="G734" s="262" t="s">
        <v>2374</v>
      </c>
      <c r="H734" s="395"/>
    </row>
    <row r="735" spans="1:8" ht="14.55" hidden="1" customHeight="1" x14ac:dyDescent="0.3">
      <c r="A735" s="262" t="s">
        <v>3108</v>
      </c>
      <c r="B735" s="262" t="s">
        <v>2370</v>
      </c>
      <c r="C735" s="262" t="s">
        <v>3079</v>
      </c>
      <c r="D735" s="262" t="s">
        <v>3042</v>
      </c>
      <c r="E735" s="263">
        <v>3</v>
      </c>
      <c r="F735" s="262" t="s">
        <v>2419</v>
      </c>
      <c r="G735" s="262" t="s">
        <v>3128</v>
      </c>
      <c r="H735" s="395"/>
    </row>
    <row r="736" spans="1:8" ht="14.55" hidden="1" customHeight="1" x14ac:dyDescent="0.3">
      <c r="A736" s="262" t="s">
        <v>3108</v>
      </c>
      <c r="B736" s="262" t="s">
        <v>2370</v>
      </c>
      <c r="C736" s="262" t="s">
        <v>3079</v>
      </c>
      <c r="D736" s="262" t="s">
        <v>3049</v>
      </c>
      <c r="E736" s="263">
        <v>3</v>
      </c>
      <c r="F736" s="262" t="s">
        <v>2419</v>
      </c>
      <c r="G736" s="262" t="s">
        <v>2420</v>
      </c>
      <c r="H736" s="395"/>
    </row>
    <row r="737" spans="1:8" ht="14.55" hidden="1" customHeight="1" x14ac:dyDescent="0.3">
      <c r="A737" s="262" t="s">
        <v>3108</v>
      </c>
      <c r="B737" s="262" t="s">
        <v>2370</v>
      </c>
      <c r="C737" s="262" t="s">
        <v>3079</v>
      </c>
      <c r="D737" s="262" t="s">
        <v>3047</v>
      </c>
      <c r="E737" s="263">
        <v>3</v>
      </c>
      <c r="F737" s="262" t="s">
        <v>2419</v>
      </c>
      <c r="G737" s="262" t="s">
        <v>2420</v>
      </c>
      <c r="H737" s="395"/>
    </row>
    <row r="738" spans="1:8" ht="14.55" hidden="1" customHeight="1" x14ac:dyDescent="0.3">
      <c r="A738" s="262" t="s">
        <v>3108</v>
      </c>
      <c r="B738" s="262" t="s">
        <v>2370</v>
      </c>
      <c r="C738" s="262" t="s">
        <v>3079</v>
      </c>
      <c r="D738" s="262" t="s">
        <v>3040</v>
      </c>
      <c r="E738" s="263">
        <v>3</v>
      </c>
      <c r="F738" s="262" t="s">
        <v>2419</v>
      </c>
      <c r="G738" s="262" t="s">
        <v>2420</v>
      </c>
      <c r="H738" s="395"/>
    </row>
    <row r="739" spans="1:8" ht="14.55" hidden="1" customHeight="1" x14ac:dyDescent="0.3">
      <c r="A739" s="262" t="s">
        <v>3108</v>
      </c>
      <c r="B739" s="262" t="s">
        <v>2370</v>
      </c>
      <c r="C739" s="262" t="s">
        <v>3079</v>
      </c>
      <c r="D739" s="262" t="s">
        <v>2716</v>
      </c>
      <c r="E739" s="263">
        <v>5</v>
      </c>
      <c r="F739" s="262" t="s">
        <v>2373</v>
      </c>
      <c r="G739" s="262" t="s">
        <v>3129</v>
      </c>
      <c r="H739" s="395"/>
    </row>
    <row r="740" spans="1:8" ht="14.55" hidden="1" customHeight="1" x14ac:dyDescent="0.3">
      <c r="A740" s="262" t="s">
        <v>3108</v>
      </c>
      <c r="B740" s="262" t="s">
        <v>2370</v>
      </c>
      <c r="C740" s="262" t="s">
        <v>3079</v>
      </c>
      <c r="D740" s="262" t="s">
        <v>2592</v>
      </c>
      <c r="E740" s="263">
        <v>5</v>
      </c>
      <c r="F740" s="262" t="s">
        <v>2379</v>
      </c>
      <c r="G740" s="262" t="s">
        <v>3130</v>
      </c>
      <c r="H740" s="395"/>
    </row>
    <row r="741" spans="1:8" ht="14.55" hidden="1" customHeight="1" x14ac:dyDescent="0.3">
      <c r="A741" s="262" t="s">
        <v>3108</v>
      </c>
      <c r="B741" s="262" t="s">
        <v>2380</v>
      </c>
      <c r="C741" s="262" t="s">
        <v>3079</v>
      </c>
      <c r="D741" s="262" t="s">
        <v>3061</v>
      </c>
      <c r="E741" s="263">
        <v>7</v>
      </c>
      <c r="F741" s="262" t="s">
        <v>2379</v>
      </c>
      <c r="G741" s="262" t="s">
        <v>2396</v>
      </c>
      <c r="H741" s="395"/>
    </row>
    <row r="742" spans="1:8" ht="14.55" hidden="1" customHeight="1" x14ac:dyDescent="0.3">
      <c r="A742" s="262" t="s">
        <v>3108</v>
      </c>
      <c r="B742" s="262" t="s">
        <v>2370</v>
      </c>
      <c r="C742" s="262" t="s">
        <v>3079</v>
      </c>
      <c r="D742" s="262" t="s">
        <v>2718</v>
      </c>
      <c r="E742" s="263">
        <v>5</v>
      </c>
      <c r="F742" s="262" t="s">
        <v>2373</v>
      </c>
      <c r="G742" s="262" t="s">
        <v>2453</v>
      </c>
      <c r="H742" s="395"/>
    </row>
    <row r="743" spans="1:8" ht="14.55" hidden="1" customHeight="1" x14ac:dyDescent="0.3">
      <c r="A743" s="262" t="s">
        <v>3108</v>
      </c>
      <c r="B743" s="262" t="s">
        <v>2370</v>
      </c>
      <c r="C743" s="262" t="s">
        <v>3079</v>
      </c>
      <c r="D743" s="262" t="s">
        <v>2861</v>
      </c>
      <c r="E743" s="263">
        <v>5</v>
      </c>
      <c r="F743" s="262" t="s">
        <v>2389</v>
      </c>
      <c r="G743" s="262" t="s">
        <v>2428</v>
      </c>
      <c r="H743" s="395"/>
    </row>
    <row r="744" spans="1:8" ht="14.55" hidden="1" customHeight="1" x14ac:dyDescent="0.3">
      <c r="A744" s="262" t="s">
        <v>3108</v>
      </c>
      <c r="B744" s="262" t="s">
        <v>2370</v>
      </c>
      <c r="C744" s="262" t="s">
        <v>3079</v>
      </c>
      <c r="D744" s="262" t="s">
        <v>2917</v>
      </c>
      <c r="E744" s="263">
        <v>7</v>
      </c>
      <c r="F744" s="262" t="s">
        <v>2419</v>
      </c>
      <c r="G744" s="262" t="s">
        <v>2420</v>
      </c>
      <c r="H744" s="395"/>
    </row>
    <row r="745" spans="1:8" ht="14.55" hidden="1" customHeight="1" x14ac:dyDescent="0.3">
      <c r="A745" s="262" t="s">
        <v>3108</v>
      </c>
      <c r="B745" s="262" t="s">
        <v>2370</v>
      </c>
      <c r="C745" s="262" t="s">
        <v>3079</v>
      </c>
      <c r="D745" s="262" t="s">
        <v>2594</v>
      </c>
      <c r="E745" s="263">
        <v>7</v>
      </c>
      <c r="F745" s="262" t="s">
        <v>2376</v>
      </c>
      <c r="G745" s="262" t="s">
        <v>2394</v>
      </c>
      <c r="H745" s="395"/>
    </row>
    <row r="746" spans="1:8" ht="14.55" hidden="1" customHeight="1" x14ac:dyDescent="0.3">
      <c r="A746" s="262" t="s">
        <v>3108</v>
      </c>
      <c r="B746" s="262" t="s">
        <v>2370</v>
      </c>
      <c r="C746" s="262" t="s">
        <v>3079</v>
      </c>
      <c r="D746" s="262" t="s">
        <v>3131</v>
      </c>
      <c r="E746" s="263">
        <v>7</v>
      </c>
      <c r="F746" s="262" t="s">
        <v>2389</v>
      </c>
      <c r="G746" s="262" t="s">
        <v>2850</v>
      </c>
      <c r="H746" s="395"/>
    </row>
    <row r="747" spans="1:8" ht="14.55" hidden="1" customHeight="1" x14ac:dyDescent="0.3">
      <c r="A747" s="262" t="s">
        <v>3108</v>
      </c>
      <c r="B747" s="262" t="s">
        <v>2370</v>
      </c>
      <c r="C747" s="262" t="s">
        <v>3079</v>
      </c>
      <c r="D747" s="262" t="s">
        <v>3132</v>
      </c>
      <c r="E747" s="263">
        <v>5</v>
      </c>
      <c r="F747" s="262" t="s">
        <v>2389</v>
      </c>
      <c r="G747" s="262" t="s">
        <v>2631</v>
      </c>
      <c r="H747" s="395"/>
    </row>
    <row r="748" spans="1:8" ht="14.55" hidden="1" customHeight="1" x14ac:dyDescent="0.3">
      <c r="A748" s="262" t="s">
        <v>3108</v>
      </c>
      <c r="B748" s="262" t="s">
        <v>2370</v>
      </c>
      <c r="C748" s="262" t="s">
        <v>3079</v>
      </c>
      <c r="D748" s="262" t="s">
        <v>3133</v>
      </c>
      <c r="E748" s="263">
        <v>5</v>
      </c>
      <c r="F748" s="262" t="s">
        <v>2389</v>
      </c>
      <c r="G748" s="262" t="s">
        <v>3134</v>
      </c>
      <c r="H748" s="395"/>
    </row>
    <row r="749" spans="1:8" ht="14.55" hidden="1" customHeight="1" x14ac:dyDescent="0.3">
      <c r="A749" s="262" t="s">
        <v>3108</v>
      </c>
      <c r="B749" s="262" t="s">
        <v>2370</v>
      </c>
      <c r="C749" s="262" t="s">
        <v>3079</v>
      </c>
      <c r="D749" s="262" t="s">
        <v>3135</v>
      </c>
      <c r="E749" s="263">
        <v>7</v>
      </c>
      <c r="F749" s="262" t="s">
        <v>2373</v>
      </c>
      <c r="G749" s="262" t="s">
        <v>2392</v>
      </c>
      <c r="H749" s="395"/>
    </row>
    <row r="750" spans="1:8" x14ac:dyDescent="0.3">
      <c r="A750" s="264" t="s">
        <v>3108</v>
      </c>
      <c r="B750" s="264" t="s">
        <v>2370</v>
      </c>
      <c r="C750" s="264" t="s">
        <v>3079</v>
      </c>
      <c r="D750" s="264" t="s">
        <v>2514</v>
      </c>
      <c r="E750" s="265">
        <v>5</v>
      </c>
      <c r="F750" s="264" t="s">
        <v>2379</v>
      </c>
      <c r="G750" s="264" t="s">
        <v>2402</v>
      </c>
      <c r="H750" s="396"/>
    </row>
    <row r="751" spans="1:8" ht="14.55" hidden="1" customHeight="1" x14ac:dyDescent="0.3">
      <c r="A751" s="262" t="s">
        <v>3108</v>
      </c>
      <c r="B751" s="262" t="s">
        <v>2370</v>
      </c>
      <c r="C751" s="262" t="s">
        <v>3079</v>
      </c>
      <c r="D751" s="262" t="s">
        <v>3136</v>
      </c>
      <c r="E751" s="263">
        <v>7</v>
      </c>
      <c r="F751" s="262" t="s">
        <v>2376</v>
      </c>
      <c r="G751" s="262" t="s">
        <v>2406</v>
      </c>
      <c r="H751" s="395"/>
    </row>
    <row r="752" spans="1:8" ht="14.55" hidden="1" customHeight="1" x14ac:dyDescent="0.3">
      <c r="A752" s="262" t="s">
        <v>3108</v>
      </c>
      <c r="B752" s="262" t="s">
        <v>2370</v>
      </c>
      <c r="C752" s="262" t="s">
        <v>3079</v>
      </c>
      <c r="D752" s="262" t="s">
        <v>2972</v>
      </c>
      <c r="E752" s="263">
        <v>7</v>
      </c>
      <c r="F752" s="262" t="s">
        <v>2379</v>
      </c>
      <c r="G752" s="262" t="s">
        <v>2463</v>
      </c>
      <c r="H752" s="395"/>
    </row>
    <row r="753" spans="1:8" x14ac:dyDescent="0.3">
      <c r="A753" s="264" t="s">
        <v>3108</v>
      </c>
      <c r="B753" s="264" t="s">
        <v>2370</v>
      </c>
      <c r="C753" s="264" t="s">
        <v>3079</v>
      </c>
      <c r="D753" s="264" t="s">
        <v>2988</v>
      </c>
      <c r="E753" s="265">
        <v>7</v>
      </c>
      <c r="F753" s="264" t="s">
        <v>2379</v>
      </c>
      <c r="G753" s="264" t="s">
        <v>2402</v>
      </c>
      <c r="H753" s="396"/>
    </row>
    <row r="754" spans="1:8" ht="14.55" hidden="1" customHeight="1" x14ac:dyDescent="0.3">
      <c r="A754" s="262" t="s">
        <v>3108</v>
      </c>
      <c r="B754" s="262" t="s">
        <v>2370</v>
      </c>
      <c r="C754" s="262" t="s">
        <v>3079</v>
      </c>
      <c r="D754" s="262" t="s">
        <v>3137</v>
      </c>
      <c r="E754" s="263">
        <v>5</v>
      </c>
      <c r="F754" s="262" t="s">
        <v>2379</v>
      </c>
      <c r="G754" s="262" t="s">
        <v>2396</v>
      </c>
      <c r="H754" s="395"/>
    </row>
    <row r="755" spans="1:8" ht="14.55" hidden="1" customHeight="1" x14ac:dyDescent="0.3">
      <c r="A755" s="262" t="s">
        <v>3108</v>
      </c>
      <c r="B755" s="262" t="s">
        <v>2370</v>
      </c>
      <c r="C755" s="262" t="s">
        <v>3079</v>
      </c>
      <c r="D755" s="262" t="s">
        <v>3138</v>
      </c>
      <c r="E755" s="263">
        <v>3</v>
      </c>
      <c r="F755" s="262" t="s">
        <v>2389</v>
      </c>
      <c r="G755" s="262" t="s">
        <v>2408</v>
      </c>
      <c r="H755" s="395"/>
    </row>
    <row r="756" spans="1:8" ht="14.55" hidden="1" customHeight="1" x14ac:dyDescent="0.3">
      <c r="A756" s="262" t="s">
        <v>3108</v>
      </c>
      <c r="B756" s="262" t="s">
        <v>2370</v>
      </c>
      <c r="C756" s="262" t="s">
        <v>3079</v>
      </c>
      <c r="D756" s="262" t="s">
        <v>3139</v>
      </c>
      <c r="E756" s="263">
        <v>7</v>
      </c>
      <c r="F756" s="262" t="s">
        <v>2373</v>
      </c>
      <c r="G756" s="262" t="s">
        <v>2374</v>
      </c>
      <c r="H756" s="395"/>
    </row>
    <row r="757" spans="1:8" ht="14.55" hidden="1" customHeight="1" x14ac:dyDescent="0.3">
      <c r="A757" s="262" t="s">
        <v>3108</v>
      </c>
      <c r="B757" s="262" t="s">
        <v>2370</v>
      </c>
      <c r="C757" s="262" t="s">
        <v>3079</v>
      </c>
      <c r="D757" s="262" t="s">
        <v>2667</v>
      </c>
      <c r="E757" s="263">
        <v>5</v>
      </c>
      <c r="F757" s="262" t="s">
        <v>2376</v>
      </c>
      <c r="G757" s="262" t="s">
        <v>2406</v>
      </c>
      <c r="H757" s="395"/>
    </row>
    <row r="758" spans="1:8" ht="14.55" hidden="1" customHeight="1" x14ac:dyDescent="0.3">
      <c r="A758" s="262" t="s">
        <v>3108</v>
      </c>
      <c r="B758" s="262" t="s">
        <v>2380</v>
      </c>
      <c r="C758" s="262" t="s">
        <v>3079</v>
      </c>
      <c r="D758" s="262" t="s">
        <v>2806</v>
      </c>
      <c r="E758" s="263">
        <v>7</v>
      </c>
      <c r="F758" s="262" t="s">
        <v>2373</v>
      </c>
      <c r="G758" s="262" t="s">
        <v>2374</v>
      </c>
      <c r="H758" s="395"/>
    </row>
    <row r="759" spans="1:8" ht="14.55" hidden="1" customHeight="1" x14ac:dyDescent="0.3">
      <c r="A759" s="262" t="s">
        <v>3108</v>
      </c>
      <c r="B759" s="262" t="s">
        <v>2370</v>
      </c>
      <c r="C759" s="262" t="s">
        <v>3079</v>
      </c>
      <c r="D759" s="262" t="s">
        <v>3140</v>
      </c>
      <c r="E759" s="263">
        <v>3</v>
      </c>
      <c r="F759" s="262" t="s">
        <v>2373</v>
      </c>
      <c r="G759" s="262" t="s">
        <v>2392</v>
      </c>
      <c r="H759" s="395"/>
    </row>
    <row r="760" spans="1:8" ht="14.55" hidden="1" customHeight="1" x14ac:dyDescent="0.3">
      <c r="A760" s="262" t="s">
        <v>3108</v>
      </c>
      <c r="B760" s="262" t="s">
        <v>2370</v>
      </c>
      <c r="C760" s="262" t="s">
        <v>3079</v>
      </c>
      <c r="D760" s="262" t="s">
        <v>2875</v>
      </c>
      <c r="E760" s="263">
        <v>5</v>
      </c>
      <c r="F760" s="262" t="s">
        <v>2376</v>
      </c>
      <c r="G760" s="262" t="s">
        <v>2377</v>
      </c>
      <c r="H760" s="395"/>
    </row>
    <row r="761" spans="1:8" ht="14.55" hidden="1" customHeight="1" x14ac:dyDescent="0.3">
      <c r="A761" s="262" t="s">
        <v>3108</v>
      </c>
      <c r="B761" s="262" t="s">
        <v>2370</v>
      </c>
      <c r="C761" s="262" t="s">
        <v>3079</v>
      </c>
      <c r="D761" s="262" t="s">
        <v>2819</v>
      </c>
      <c r="E761" s="263">
        <v>5</v>
      </c>
      <c r="F761" s="262" t="s">
        <v>2419</v>
      </c>
      <c r="G761" s="262" t="s">
        <v>2480</v>
      </c>
      <c r="H761" s="395"/>
    </row>
    <row r="762" spans="1:8" ht="14.55" hidden="1" customHeight="1" x14ac:dyDescent="0.3">
      <c r="A762" s="262" t="s">
        <v>3108</v>
      </c>
      <c r="B762" s="262" t="s">
        <v>2370</v>
      </c>
      <c r="C762" s="262" t="s">
        <v>3079</v>
      </c>
      <c r="D762" s="262" t="s">
        <v>3141</v>
      </c>
      <c r="E762" s="263">
        <v>3</v>
      </c>
      <c r="F762" s="262" t="s">
        <v>2373</v>
      </c>
      <c r="G762" s="262" t="s">
        <v>2392</v>
      </c>
      <c r="H762" s="395"/>
    </row>
    <row r="763" spans="1:8" ht="14.55" hidden="1" customHeight="1" x14ac:dyDescent="0.3">
      <c r="A763" s="262" t="s">
        <v>3108</v>
      </c>
      <c r="B763" s="262" t="s">
        <v>2370</v>
      </c>
      <c r="C763" s="262" t="s">
        <v>3079</v>
      </c>
      <c r="D763" s="262" t="s">
        <v>2433</v>
      </c>
      <c r="E763" s="263">
        <v>5</v>
      </c>
      <c r="F763" s="262" t="s">
        <v>2389</v>
      </c>
      <c r="G763" s="262" t="s">
        <v>2390</v>
      </c>
      <c r="H763" s="395"/>
    </row>
    <row r="764" spans="1:8" ht="14.55" hidden="1" customHeight="1" x14ac:dyDescent="0.3">
      <c r="A764" s="262" t="s">
        <v>3108</v>
      </c>
      <c r="B764" s="262" t="s">
        <v>2370</v>
      </c>
      <c r="C764" s="262" t="s">
        <v>3079</v>
      </c>
      <c r="D764" s="262" t="s">
        <v>3142</v>
      </c>
      <c r="E764" s="263">
        <v>7</v>
      </c>
      <c r="F764" s="262" t="s">
        <v>2373</v>
      </c>
      <c r="G764" s="262" t="s">
        <v>2392</v>
      </c>
      <c r="H764" s="395"/>
    </row>
    <row r="765" spans="1:8" ht="14.55" hidden="1" customHeight="1" x14ac:dyDescent="0.3">
      <c r="A765" s="262" t="s">
        <v>3108</v>
      </c>
      <c r="B765" s="262" t="s">
        <v>2380</v>
      </c>
      <c r="C765" s="262" t="s">
        <v>3079</v>
      </c>
      <c r="D765" s="262" t="s">
        <v>3143</v>
      </c>
      <c r="E765" s="263">
        <v>7</v>
      </c>
      <c r="F765" s="262" t="s">
        <v>2389</v>
      </c>
      <c r="G765" s="262" t="s">
        <v>2428</v>
      </c>
      <c r="H765" s="395"/>
    </row>
    <row r="766" spans="1:8" ht="14.55" hidden="1" customHeight="1" x14ac:dyDescent="0.3">
      <c r="A766" s="262" t="s">
        <v>3108</v>
      </c>
      <c r="B766" s="262" t="s">
        <v>2370</v>
      </c>
      <c r="C766" s="262" t="s">
        <v>3079</v>
      </c>
      <c r="D766" s="262" t="s">
        <v>2983</v>
      </c>
      <c r="E766" s="263">
        <v>3</v>
      </c>
      <c r="F766" s="262" t="s">
        <v>2373</v>
      </c>
      <c r="G766" s="262" t="s">
        <v>2392</v>
      </c>
      <c r="H766" s="395"/>
    </row>
    <row r="767" spans="1:8" ht="14.55" hidden="1" customHeight="1" x14ac:dyDescent="0.3">
      <c r="A767" s="262" t="s">
        <v>3108</v>
      </c>
      <c r="B767" s="262" t="s">
        <v>2380</v>
      </c>
      <c r="C767" s="262" t="s">
        <v>3079</v>
      </c>
      <c r="D767" s="262" t="s">
        <v>2679</v>
      </c>
      <c r="E767" s="263">
        <v>7</v>
      </c>
      <c r="F767" s="262" t="s">
        <v>2419</v>
      </c>
      <c r="G767" s="262" t="s">
        <v>2420</v>
      </c>
      <c r="H767" s="395"/>
    </row>
    <row r="768" spans="1:8" ht="14.55" hidden="1" customHeight="1" x14ac:dyDescent="0.3">
      <c r="A768" s="262" t="s">
        <v>3108</v>
      </c>
      <c r="B768" s="262" t="s">
        <v>2370</v>
      </c>
      <c r="C768" s="262" t="s">
        <v>3079</v>
      </c>
      <c r="D768" s="262" t="s">
        <v>2511</v>
      </c>
      <c r="E768" s="263">
        <v>5</v>
      </c>
      <c r="F768" s="262" t="s">
        <v>2389</v>
      </c>
      <c r="G768" s="262" t="s">
        <v>2408</v>
      </c>
      <c r="H768" s="395"/>
    </row>
    <row r="769" spans="1:8" ht="14.55" hidden="1" customHeight="1" x14ac:dyDescent="0.3">
      <c r="A769" s="262" t="s">
        <v>3108</v>
      </c>
      <c r="B769" s="262" t="s">
        <v>2370</v>
      </c>
      <c r="C769" s="262" t="s">
        <v>3079</v>
      </c>
      <c r="D769" s="262" t="s">
        <v>2887</v>
      </c>
      <c r="E769" s="263">
        <v>7</v>
      </c>
      <c r="F769" s="262" t="s">
        <v>2376</v>
      </c>
      <c r="G769" s="262" t="s">
        <v>2406</v>
      </c>
      <c r="H769" s="395"/>
    </row>
    <row r="770" spans="1:8" ht="14.55" hidden="1" customHeight="1" x14ac:dyDescent="0.3">
      <c r="A770" s="262" t="s">
        <v>3108</v>
      </c>
      <c r="B770" s="262" t="s">
        <v>2370</v>
      </c>
      <c r="C770" s="262" t="s">
        <v>3079</v>
      </c>
      <c r="D770" s="262" t="s">
        <v>2393</v>
      </c>
      <c r="E770" s="263">
        <v>7</v>
      </c>
      <c r="F770" s="262" t="s">
        <v>2376</v>
      </c>
      <c r="G770" s="262" t="s">
        <v>2394</v>
      </c>
      <c r="H770" s="395"/>
    </row>
    <row r="771" spans="1:8" ht="14.55" hidden="1" customHeight="1" x14ac:dyDescent="0.3">
      <c r="A771" s="262" t="s">
        <v>3108</v>
      </c>
      <c r="B771" s="262" t="s">
        <v>2370</v>
      </c>
      <c r="C771" s="262" t="s">
        <v>3079</v>
      </c>
      <c r="D771" s="262" t="s">
        <v>2856</v>
      </c>
      <c r="E771" s="263">
        <v>7</v>
      </c>
      <c r="F771" s="262" t="s">
        <v>2419</v>
      </c>
      <c r="G771" s="262" t="s">
        <v>2432</v>
      </c>
      <c r="H771" s="395"/>
    </row>
    <row r="772" spans="1:8" ht="14.55" hidden="1" customHeight="1" x14ac:dyDescent="0.3">
      <c r="A772" s="262" t="s">
        <v>3108</v>
      </c>
      <c r="B772" s="262" t="s">
        <v>2370</v>
      </c>
      <c r="C772" s="262" t="s">
        <v>3079</v>
      </c>
      <c r="D772" s="262" t="s">
        <v>3144</v>
      </c>
      <c r="E772" s="263">
        <v>7</v>
      </c>
      <c r="F772" s="262" t="s">
        <v>2376</v>
      </c>
      <c r="G772" s="262" t="s">
        <v>2406</v>
      </c>
      <c r="H772" s="395"/>
    </row>
    <row r="773" spans="1:8" ht="14.55" hidden="1" customHeight="1" x14ac:dyDescent="0.3">
      <c r="A773" s="262" t="s">
        <v>3108</v>
      </c>
      <c r="B773" s="262" t="s">
        <v>2370</v>
      </c>
      <c r="C773" s="262" t="s">
        <v>3079</v>
      </c>
      <c r="D773" s="262" t="s">
        <v>3145</v>
      </c>
      <c r="E773" s="263">
        <v>7</v>
      </c>
      <c r="F773" s="262" t="s">
        <v>2419</v>
      </c>
      <c r="G773" s="262" t="s">
        <v>2488</v>
      </c>
      <c r="H773" s="395"/>
    </row>
    <row r="774" spans="1:8" ht="14.55" hidden="1" customHeight="1" x14ac:dyDescent="0.3">
      <c r="A774" s="262" t="s">
        <v>3108</v>
      </c>
      <c r="B774" s="262" t="s">
        <v>2370</v>
      </c>
      <c r="C774" s="262" t="s">
        <v>3079</v>
      </c>
      <c r="D774" s="262" t="s">
        <v>2902</v>
      </c>
      <c r="E774" s="263">
        <v>7</v>
      </c>
      <c r="F774" s="262" t="s">
        <v>2376</v>
      </c>
      <c r="G774" s="262" t="s">
        <v>2377</v>
      </c>
      <c r="H774" s="395"/>
    </row>
    <row r="775" spans="1:8" ht="14.55" hidden="1" customHeight="1" x14ac:dyDescent="0.3">
      <c r="A775" s="262" t="s">
        <v>3108</v>
      </c>
      <c r="B775" s="262" t="s">
        <v>2370</v>
      </c>
      <c r="C775" s="262" t="s">
        <v>3079</v>
      </c>
      <c r="D775" s="262" t="s">
        <v>3075</v>
      </c>
      <c r="E775" s="263">
        <v>3</v>
      </c>
      <c r="F775" s="262" t="s">
        <v>2389</v>
      </c>
      <c r="G775" s="262" t="s">
        <v>2408</v>
      </c>
      <c r="H775" s="395"/>
    </row>
    <row r="776" spans="1:8" ht="14.55" hidden="1" customHeight="1" x14ac:dyDescent="0.3">
      <c r="A776" s="262" t="s">
        <v>3108</v>
      </c>
      <c r="B776" s="262" t="s">
        <v>2380</v>
      </c>
      <c r="C776" s="262" t="s">
        <v>3079</v>
      </c>
      <c r="D776" s="262" t="s">
        <v>2818</v>
      </c>
      <c r="E776" s="263">
        <v>7</v>
      </c>
      <c r="F776" s="262" t="s">
        <v>2419</v>
      </c>
      <c r="G776" s="262" t="s">
        <v>2420</v>
      </c>
      <c r="H776" s="395"/>
    </row>
    <row r="777" spans="1:8" ht="14.55" hidden="1" customHeight="1" x14ac:dyDescent="0.3">
      <c r="A777" s="262" t="s">
        <v>3108</v>
      </c>
      <c r="B777" s="262" t="s">
        <v>2370</v>
      </c>
      <c r="C777" s="262" t="s">
        <v>3079</v>
      </c>
      <c r="D777" s="262" t="s">
        <v>3146</v>
      </c>
      <c r="E777" s="263">
        <v>3</v>
      </c>
      <c r="F777" s="262" t="s">
        <v>2379</v>
      </c>
      <c r="G777" s="262" t="s">
        <v>2568</v>
      </c>
      <c r="H777" s="395"/>
    </row>
    <row r="778" spans="1:8" ht="14.55" hidden="1" customHeight="1" x14ac:dyDescent="0.3">
      <c r="A778" s="262" t="s">
        <v>3108</v>
      </c>
      <c r="B778" s="262" t="s">
        <v>2370</v>
      </c>
      <c r="C778" s="262" t="s">
        <v>3079</v>
      </c>
      <c r="D778" s="262" t="s">
        <v>3147</v>
      </c>
      <c r="E778" s="263">
        <v>7</v>
      </c>
      <c r="F778" s="262" t="s">
        <v>2389</v>
      </c>
      <c r="G778" s="262" t="s">
        <v>2428</v>
      </c>
      <c r="H778" s="395"/>
    </row>
    <row r="779" spans="1:8" ht="14.55" hidden="1" customHeight="1" x14ac:dyDescent="0.3">
      <c r="A779" s="262" t="s">
        <v>3108</v>
      </c>
      <c r="B779" s="262" t="s">
        <v>2380</v>
      </c>
      <c r="C779" s="262" t="s">
        <v>3079</v>
      </c>
      <c r="D779" s="262" t="s">
        <v>2788</v>
      </c>
      <c r="E779" s="263">
        <v>7</v>
      </c>
      <c r="F779" s="262" t="s">
        <v>2373</v>
      </c>
      <c r="G779" s="262" t="s">
        <v>2374</v>
      </c>
      <c r="H779" s="395"/>
    </row>
    <row r="780" spans="1:8" ht="14.55" hidden="1" customHeight="1" x14ac:dyDescent="0.3">
      <c r="A780" s="262" t="s">
        <v>3108</v>
      </c>
      <c r="B780" s="262" t="s">
        <v>2370</v>
      </c>
      <c r="C780" s="262" t="s">
        <v>3079</v>
      </c>
      <c r="D780" s="262" t="s">
        <v>2792</v>
      </c>
      <c r="E780" s="263">
        <v>5</v>
      </c>
      <c r="F780" s="262" t="s">
        <v>2419</v>
      </c>
      <c r="G780" s="262" t="s">
        <v>2432</v>
      </c>
      <c r="H780" s="395"/>
    </row>
    <row r="781" spans="1:8" ht="14.55" hidden="1" customHeight="1" x14ac:dyDescent="0.3">
      <c r="A781" s="262" t="s">
        <v>3108</v>
      </c>
      <c r="B781" s="262" t="s">
        <v>2370</v>
      </c>
      <c r="C781" s="262" t="s">
        <v>3079</v>
      </c>
      <c r="D781" s="262" t="s">
        <v>2638</v>
      </c>
      <c r="E781" s="263">
        <v>3</v>
      </c>
      <c r="F781" s="262" t="s">
        <v>2373</v>
      </c>
      <c r="G781" s="262" t="s">
        <v>2453</v>
      </c>
      <c r="H781" s="395"/>
    </row>
    <row r="782" spans="1:8" ht="14.55" hidden="1" customHeight="1" x14ac:dyDescent="0.3">
      <c r="A782" s="262" t="s">
        <v>3108</v>
      </c>
      <c r="B782" s="262" t="s">
        <v>2380</v>
      </c>
      <c r="C782" s="262" t="s">
        <v>3079</v>
      </c>
      <c r="D782" s="262" t="s">
        <v>2984</v>
      </c>
      <c r="E782" s="263">
        <v>7</v>
      </c>
      <c r="F782" s="262" t="s">
        <v>2419</v>
      </c>
      <c r="G782" s="262" t="s">
        <v>2432</v>
      </c>
      <c r="H782" s="395"/>
    </row>
    <row r="783" spans="1:8" ht="14.55" hidden="1" customHeight="1" x14ac:dyDescent="0.3">
      <c r="A783" s="262" t="s">
        <v>3108</v>
      </c>
      <c r="B783" s="262" t="s">
        <v>2370</v>
      </c>
      <c r="C783" s="262" t="s">
        <v>3079</v>
      </c>
      <c r="D783" s="262" t="s">
        <v>2603</v>
      </c>
      <c r="E783" s="263">
        <v>5</v>
      </c>
      <c r="F783" s="262" t="s">
        <v>2373</v>
      </c>
      <c r="G783" s="262" t="s">
        <v>2453</v>
      </c>
      <c r="H783" s="395"/>
    </row>
    <row r="784" spans="1:8" ht="14.55" hidden="1" customHeight="1" x14ac:dyDescent="0.3">
      <c r="A784" s="262" t="s">
        <v>3108</v>
      </c>
      <c r="B784" s="262" t="s">
        <v>2370</v>
      </c>
      <c r="C784" s="262" t="s">
        <v>3079</v>
      </c>
      <c r="D784" s="262" t="s">
        <v>2500</v>
      </c>
      <c r="E784" s="263">
        <v>5</v>
      </c>
      <c r="F784" s="262" t="s">
        <v>2373</v>
      </c>
      <c r="G784" s="262" t="s">
        <v>2501</v>
      </c>
      <c r="H784" s="395"/>
    </row>
    <row r="785" spans="1:8" ht="14.55" hidden="1" customHeight="1" x14ac:dyDescent="0.3">
      <c r="A785" s="262" t="s">
        <v>3108</v>
      </c>
      <c r="B785" s="262" t="s">
        <v>2380</v>
      </c>
      <c r="C785" s="262" t="s">
        <v>3079</v>
      </c>
      <c r="D785" s="262" t="s">
        <v>2560</v>
      </c>
      <c r="E785" s="263">
        <v>7</v>
      </c>
      <c r="F785" s="262" t="s">
        <v>2419</v>
      </c>
      <c r="G785" s="262" t="s">
        <v>2432</v>
      </c>
      <c r="H785" s="395"/>
    </row>
    <row r="786" spans="1:8" ht="14.55" hidden="1" customHeight="1" x14ac:dyDescent="0.3">
      <c r="A786" s="262" t="s">
        <v>3108</v>
      </c>
      <c r="B786" s="262" t="s">
        <v>2370</v>
      </c>
      <c r="C786" s="262" t="s">
        <v>3079</v>
      </c>
      <c r="D786" s="262" t="s">
        <v>3148</v>
      </c>
      <c r="E786" s="263">
        <v>3</v>
      </c>
      <c r="F786" s="262" t="s">
        <v>2373</v>
      </c>
      <c r="G786" s="262" t="s">
        <v>3149</v>
      </c>
      <c r="H786" s="395"/>
    </row>
    <row r="787" spans="1:8" ht="14.55" hidden="1" customHeight="1" x14ac:dyDescent="0.3">
      <c r="A787" s="262" t="s">
        <v>3108</v>
      </c>
      <c r="B787" s="262" t="s">
        <v>2380</v>
      </c>
      <c r="C787" s="262" t="s">
        <v>3079</v>
      </c>
      <c r="D787" s="262" t="s">
        <v>2635</v>
      </c>
      <c r="E787" s="263">
        <v>7</v>
      </c>
      <c r="F787" s="262" t="s">
        <v>2373</v>
      </c>
      <c r="G787" s="262" t="s">
        <v>2374</v>
      </c>
      <c r="H787" s="395"/>
    </row>
    <row r="788" spans="1:8" ht="14.55" hidden="1" customHeight="1" x14ac:dyDescent="0.3">
      <c r="A788" s="262" t="s">
        <v>3108</v>
      </c>
      <c r="B788" s="262" t="s">
        <v>2370</v>
      </c>
      <c r="C788" s="262" t="s">
        <v>3079</v>
      </c>
      <c r="D788" s="262" t="s">
        <v>2991</v>
      </c>
      <c r="E788" s="263">
        <v>7</v>
      </c>
      <c r="F788" s="262" t="s">
        <v>2419</v>
      </c>
      <c r="G788" s="262" t="s">
        <v>2432</v>
      </c>
      <c r="H788" s="395"/>
    </row>
    <row r="789" spans="1:8" ht="14.55" hidden="1" customHeight="1" x14ac:dyDescent="0.3">
      <c r="A789" s="262" t="s">
        <v>3108</v>
      </c>
      <c r="B789" s="262" t="s">
        <v>2370</v>
      </c>
      <c r="C789" s="262" t="s">
        <v>3079</v>
      </c>
      <c r="D789" s="262" t="s">
        <v>3150</v>
      </c>
      <c r="E789" s="263">
        <v>5</v>
      </c>
      <c r="F789" s="262" t="s">
        <v>2389</v>
      </c>
      <c r="G789" s="262" t="s">
        <v>2408</v>
      </c>
      <c r="H789" s="395"/>
    </row>
    <row r="790" spans="1:8" ht="14.55" hidden="1" customHeight="1" x14ac:dyDescent="0.3">
      <c r="A790" s="262" t="s">
        <v>3151</v>
      </c>
      <c r="B790" s="262" t="s">
        <v>2370</v>
      </c>
      <c r="C790" s="262" t="s">
        <v>3079</v>
      </c>
      <c r="D790" s="262" t="s">
        <v>3152</v>
      </c>
      <c r="E790" s="263">
        <v>3</v>
      </c>
      <c r="F790" s="262" t="s">
        <v>2389</v>
      </c>
      <c r="G790" s="262" t="s">
        <v>2408</v>
      </c>
      <c r="H790" s="395"/>
    </row>
    <row r="791" spans="1:8" ht="14.55" hidden="1" customHeight="1" x14ac:dyDescent="0.3">
      <c r="A791" s="262" t="s">
        <v>3151</v>
      </c>
      <c r="B791" s="262" t="s">
        <v>2370</v>
      </c>
      <c r="C791" s="262" t="s">
        <v>3079</v>
      </c>
      <c r="D791" s="262" t="s">
        <v>2923</v>
      </c>
      <c r="E791" s="263">
        <v>5</v>
      </c>
      <c r="F791" s="262" t="s">
        <v>2419</v>
      </c>
      <c r="G791" s="262" t="s">
        <v>2420</v>
      </c>
      <c r="H791" s="395"/>
    </row>
    <row r="792" spans="1:8" ht="14.55" hidden="1" customHeight="1" x14ac:dyDescent="0.3">
      <c r="A792" s="262" t="s">
        <v>3151</v>
      </c>
      <c r="B792" s="262" t="s">
        <v>2370</v>
      </c>
      <c r="C792" s="262" t="s">
        <v>3079</v>
      </c>
      <c r="D792" s="262" t="s">
        <v>2656</v>
      </c>
      <c r="E792" s="263">
        <v>7</v>
      </c>
      <c r="F792" s="262" t="s">
        <v>2379</v>
      </c>
      <c r="G792" s="262" t="s">
        <v>2544</v>
      </c>
      <c r="H792" s="395"/>
    </row>
    <row r="793" spans="1:8" ht="14.55" hidden="1" customHeight="1" x14ac:dyDescent="0.3">
      <c r="A793" s="262" t="s">
        <v>3151</v>
      </c>
      <c r="B793" s="262" t="s">
        <v>2370</v>
      </c>
      <c r="C793" s="262" t="s">
        <v>3079</v>
      </c>
      <c r="D793" s="262" t="s">
        <v>3153</v>
      </c>
      <c r="E793" s="263">
        <v>7</v>
      </c>
      <c r="F793" s="262" t="s">
        <v>2379</v>
      </c>
      <c r="G793" s="262" t="s">
        <v>2470</v>
      </c>
      <c r="H793" s="395"/>
    </row>
    <row r="794" spans="1:8" ht="14.55" hidden="1" customHeight="1" x14ac:dyDescent="0.3">
      <c r="A794" s="262" t="s">
        <v>3151</v>
      </c>
      <c r="B794" s="262" t="s">
        <v>2380</v>
      </c>
      <c r="C794" s="262" t="s">
        <v>3079</v>
      </c>
      <c r="D794" s="262" t="s">
        <v>2517</v>
      </c>
      <c r="E794" s="263">
        <v>7</v>
      </c>
      <c r="F794" s="262" t="s">
        <v>2379</v>
      </c>
      <c r="G794" s="262" t="s">
        <v>2463</v>
      </c>
      <c r="H794" s="395"/>
    </row>
    <row r="795" spans="1:8" ht="14.55" hidden="1" customHeight="1" x14ac:dyDescent="0.3">
      <c r="A795" s="262" t="s">
        <v>3151</v>
      </c>
      <c r="B795" s="262" t="s">
        <v>2370</v>
      </c>
      <c r="C795" s="262" t="s">
        <v>3079</v>
      </c>
      <c r="D795" s="262" t="s">
        <v>2767</v>
      </c>
      <c r="E795" s="263">
        <v>3</v>
      </c>
      <c r="F795" s="262" t="s">
        <v>2373</v>
      </c>
      <c r="G795" s="262" t="s">
        <v>2374</v>
      </c>
      <c r="H795" s="395"/>
    </row>
    <row r="796" spans="1:8" ht="14.55" hidden="1" customHeight="1" x14ac:dyDescent="0.3">
      <c r="A796" s="262" t="s">
        <v>3151</v>
      </c>
      <c r="B796" s="262" t="s">
        <v>2370</v>
      </c>
      <c r="C796" s="262" t="s">
        <v>3079</v>
      </c>
      <c r="D796" s="262" t="s">
        <v>3154</v>
      </c>
      <c r="E796" s="263">
        <v>7</v>
      </c>
      <c r="F796" s="262" t="s">
        <v>2389</v>
      </c>
      <c r="G796" s="262" t="s">
        <v>2631</v>
      </c>
      <c r="H796" s="395"/>
    </row>
    <row r="797" spans="1:8" ht="14.55" hidden="1" customHeight="1" x14ac:dyDescent="0.3">
      <c r="A797" s="262" t="s">
        <v>3151</v>
      </c>
      <c r="B797" s="262" t="s">
        <v>2380</v>
      </c>
      <c r="C797" s="262" t="s">
        <v>3079</v>
      </c>
      <c r="D797" s="262" t="s">
        <v>3155</v>
      </c>
      <c r="E797" s="263">
        <v>7</v>
      </c>
      <c r="F797" s="262" t="s">
        <v>2379</v>
      </c>
      <c r="G797" s="262" t="s">
        <v>2396</v>
      </c>
      <c r="H797" s="395"/>
    </row>
    <row r="798" spans="1:8" ht="14.55" hidden="1" customHeight="1" x14ac:dyDescent="0.3">
      <c r="A798" s="262" t="s">
        <v>3151</v>
      </c>
      <c r="B798" s="262" t="s">
        <v>2370</v>
      </c>
      <c r="C798" s="262" t="s">
        <v>3079</v>
      </c>
      <c r="D798" s="262" t="s">
        <v>2853</v>
      </c>
      <c r="E798" s="263">
        <v>5</v>
      </c>
      <c r="F798" s="262" t="s">
        <v>2379</v>
      </c>
      <c r="G798" s="262" t="s">
        <v>3156</v>
      </c>
      <c r="H798" s="395"/>
    </row>
    <row r="799" spans="1:8" ht="14.55" hidden="1" customHeight="1" x14ac:dyDescent="0.3">
      <c r="A799" s="262" t="s">
        <v>3151</v>
      </c>
      <c r="B799" s="262" t="s">
        <v>2370</v>
      </c>
      <c r="C799" s="262" t="s">
        <v>3079</v>
      </c>
      <c r="D799" s="262" t="s">
        <v>3157</v>
      </c>
      <c r="E799" s="263">
        <v>5</v>
      </c>
      <c r="F799" s="262" t="s">
        <v>2419</v>
      </c>
      <c r="G799" s="262" t="s">
        <v>2857</v>
      </c>
      <c r="H799" s="395"/>
    </row>
    <row r="800" spans="1:8" ht="14.55" hidden="1" customHeight="1" x14ac:dyDescent="0.3">
      <c r="A800" s="262" t="s">
        <v>3151</v>
      </c>
      <c r="B800" s="262" t="s">
        <v>2370</v>
      </c>
      <c r="C800" s="262" t="s">
        <v>3079</v>
      </c>
      <c r="D800" s="262" t="s">
        <v>2448</v>
      </c>
      <c r="E800" s="263">
        <v>5</v>
      </c>
      <c r="F800" s="262" t="s">
        <v>2373</v>
      </c>
      <c r="G800" s="262" t="s">
        <v>2392</v>
      </c>
      <c r="H800" s="395"/>
    </row>
    <row r="801" spans="1:8" ht="14.55" hidden="1" customHeight="1" x14ac:dyDescent="0.3">
      <c r="A801" s="262" t="s">
        <v>3151</v>
      </c>
      <c r="B801" s="262" t="s">
        <v>2370</v>
      </c>
      <c r="C801" s="262" t="s">
        <v>3079</v>
      </c>
      <c r="D801" s="262" t="s">
        <v>2467</v>
      </c>
      <c r="E801" s="263">
        <v>5</v>
      </c>
      <c r="F801" s="262" t="s">
        <v>2373</v>
      </c>
      <c r="G801" s="262" t="s">
        <v>2374</v>
      </c>
      <c r="H801" s="395"/>
    </row>
    <row r="802" spans="1:8" ht="14.55" hidden="1" customHeight="1" x14ac:dyDescent="0.3">
      <c r="A802" s="262" t="s">
        <v>3151</v>
      </c>
      <c r="B802" s="262" t="s">
        <v>2370</v>
      </c>
      <c r="C802" s="262" t="s">
        <v>3079</v>
      </c>
      <c r="D802" s="262" t="s">
        <v>2790</v>
      </c>
      <c r="E802" s="263">
        <v>7</v>
      </c>
      <c r="F802" s="262" t="s">
        <v>2379</v>
      </c>
      <c r="G802" s="262" t="s">
        <v>2463</v>
      </c>
      <c r="H802" s="395"/>
    </row>
    <row r="803" spans="1:8" ht="14.55" hidden="1" customHeight="1" x14ac:dyDescent="0.3">
      <c r="A803" s="262" t="s">
        <v>3151</v>
      </c>
      <c r="B803" s="262" t="s">
        <v>2370</v>
      </c>
      <c r="C803" s="262" t="s">
        <v>3079</v>
      </c>
      <c r="D803" s="262" t="s">
        <v>3158</v>
      </c>
      <c r="E803" s="263">
        <v>5</v>
      </c>
      <c r="F803" s="262" t="s">
        <v>2379</v>
      </c>
      <c r="G803" s="262" t="s">
        <v>2544</v>
      </c>
      <c r="H803" s="395"/>
    </row>
    <row r="804" spans="1:8" ht="14.55" hidden="1" customHeight="1" x14ac:dyDescent="0.3">
      <c r="A804" s="262" t="s">
        <v>3151</v>
      </c>
      <c r="B804" s="262" t="s">
        <v>2370</v>
      </c>
      <c r="C804" s="262" t="s">
        <v>3079</v>
      </c>
      <c r="D804" s="262" t="s">
        <v>2997</v>
      </c>
      <c r="E804" s="263">
        <v>7</v>
      </c>
      <c r="F804" s="262" t="s">
        <v>2419</v>
      </c>
      <c r="G804" s="262" t="s">
        <v>2432</v>
      </c>
      <c r="H804" s="395"/>
    </row>
    <row r="805" spans="1:8" ht="14.55" hidden="1" customHeight="1" x14ac:dyDescent="0.3">
      <c r="A805" s="262" t="s">
        <v>3151</v>
      </c>
      <c r="B805" s="262" t="s">
        <v>2370</v>
      </c>
      <c r="C805" s="262" t="s">
        <v>3079</v>
      </c>
      <c r="D805" s="262" t="s">
        <v>2418</v>
      </c>
      <c r="E805" s="263">
        <v>5</v>
      </c>
      <c r="F805" s="262" t="s">
        <v>2419</v>
      </c>
      <c r="G805" s="262" t="s">
        <v>2420</v>
      </c>
      <c r="H805" s="395"/>
    </row>
    <row r="806" spans="1:8" ht="14.55" hidden="1" customHeight="1" x14ac:dyDescent="0.3">
      <c r="A806" s="262" t="s">
        <v>3151</v>
      </c>
      <c r="B806" s="262" t="s">
        <v>2380</v>
      </c>
      <c r="C806" s="262" t="s">
        <v>3079</v>
      </c>
      <c r="D806" s="262" t="s">
        <v>3159</v>
      </c>
      <c r="E806" s="263">
        <v>7</v>
      </c>
      <c r="F806" s="262" t="s">
        <v>2379</v>
      </c>
      <c r="G806" s="262" t="s">
        <v>2396</v>
      </c>
      <c r="H806" s="395"/>
    </row>
    <row r="807" spans="1:8" ht="14.55" hidden="1" customHeight="1" x14ac:dyDescent="0.3">
      <c r="A807" s="262" t="s">
        <v>3151</v>
      </c>
      <c r="B807" s="262" t="s">
        <v>2370</v>
      </c>
      <c r="C807" s="262" t="s">
        <v>3079</v>
      </c>
      <c r="D807" s="262" t="s">
        <v>3160</v>
      </c>
      <c r="E807" s="263">
        <v>7</v>
      </c>
      <c r="F807" s="262" t="s">
        <v>2373</v>
      </c>
      <c r="G807" s="262" t="s">
        <v>2374</v>
      </c>
      <c r="H807" s="395"/>
    </row>
    <row r="808" spans="1:8" ht="14.55" hidden="1" customHeight="1" x14ac:dyDescent="0.3">
      <c r="A808" s="262" t="s">
        <v>3151</v>
      </c>
      <c r="B808" s="262" t="s">
        <v>2370</v>
      </c>
      <c r="C808" s="262" t="s">
        <v>3079</v>
      </c>
      <c r="D808" s="262" t="s">
        <v>2608</v>
      </c>
      <c r="E808" s="263">
        <v>5</v>
      </c>
      <c r="F808" s="262" t="s">
        <v>2376</v>
      </c>
      <c r="G808" s="262" t="s">
        <v>2377</v>
      </c>
      <c r="H808" s="395"/>
    </row>
    <row r="809" spans="1:8" ht="14.55" hidden="1" customHeight="1" x14ac:dyDescent="0.3">
      <c r="A809" s="262" t="s">
        <v>3151</v>
      </c>
      <c r="B809" s="262" t="s">
        <v>2370</v>
      </c>
      <c r="C809" s="262" t="s">
        <v>3079</v>
      </c>
      <c r="D809" s="262" t="s">
        <v>2591</v>
      </c>
      <c r="E809" s="263">
        <v>7</v>
      </c>
      <c r="F809" s="262" t="s">
        <v>2379</v>
      </c>
      <c r="G809" s="262" t="s">
        <v>2544</v>
      </c>
      <c r="H809" s="395"/>
    </row>
    <row r="810" spans="1:8" ht="14.55" hidden="1" customHeight="1" x14ac:dyDescent="0.3">
      <c r="A810" s="262" t="s">
        <v>3151</v>
      </c>
      <c r="B810" s="262" t="s">
        <v>2370</v>
      </c>
      <c r="C810" s="262" t="s">
        <v>3079</v>
      </c>
      <c r="D810" s="262" t="s">
        <v>3161</v>
      </c>
      <c r="E810" s="263">
        <v>7</v>
      </c>
      <c r="F810" s="262" t="s">
        <v>2379</v>
      </c>
      <c r="G810" s="262" t="s">
        <v>2463</v>
      </c>
      <c r="H810" s="395"/>
    </row>
    <row r="811" spans="1:8" ht="14.55" hidden="1" customHeight="1" x14ac:dyDescent="0.3">
      <c r="A811" s="262" t="s">
        <v>3151</v>
      </c>
      <c r="B811" s="262" t="s">
        <v>2370</v>
      </c>
      <c r="C811" s="262" t="s">
        <v>3079</v>
      </c>
      <c r="D811" s="262" t="s">
        <v>3162</v>
      </c>
      <c r="E811" s="263">
        <v>3</v>
      </c>
      <c r="F811" s="262" t="s">
        <v>2373</v>
      </c>
      <c r="G811" s="262" t="s">
        <v>2723</v>
      </c>
      <c r="H811" s="395"/>
    </row>
    <row r="812" spans="1:8" ht="14.55" hidden="1" customHeight="1" x14ac:dyDescent="0.3">
      <c r="A812" s="262" t="s">
        <v>3151</v>
      </c>
      <c r="B812" s="262" t="s">
        <v>2370</v>
      </c>
      <c r="C812" s="262" t="s">
        <v>3079</v>
      </c>
      <c r="D812" s="262" t="s">
        <v>2711</v>
      </c>
      <c r="E812" s="263">
        <v>7</v>
      </c>
      <c r="F812" s="262" t="s">
        <v>2376</v>
      </c>
      <c r="G812" s="262" t="s">
        <v>2394</v>
      </c>
      <c r="H812" s="395"/>
    </row>
    <row r="813" spans="1:8" ht="14.55" hidden="1" customHeight="1" x14ac:dyDescent="0.3">
      <c r="A813" s="262" t="s">
        <v>3151</v>
      </c>
      <c r="B813" s="262" t="s">
        <v>2370</v>
      </c>
      <c r="C813" s="262" t="s">
        <v>3079</v>
      </c>
      <c r="D813" s="262" t="s">
        <v>3163</v>
      </c>
      <c r="E813" s="263">
        <v>7</v>
      </c>
      <c r="F813" s="262" t="s">
        <v>2373</v>
      </c>
      <c r="G813" s="262" t="s">
        <v>2392</v>
      </c>
      <c r="H813" s="395"/>
    </row>
    <row r="814" spans="1:8" ht="14.55" hidden="1" customHeight="1" x14ac:dyDescent="0.3">
      <c r="A814" s="262" t="s">
        <v>3151</v>
      </c>
      <c r="B814" s="262" t="s">
        <v>2370</v>
      </c>
      <c r="C814" s="262" t="s">
        <v>3079</v>
      </c>
      <c r="D814" s="262" t="s">
        <v>3164</v>
      </c>
      <c r="E814" s="263">
        <v>7</v>
      </c>
      <c r="F814" s="262" t="s">
        <v>2373</v>
      </c>
      <c r="G814" s="262" t="s">
        <v>2392</v>
      </c>
      <c r="H814" s="395"/>
    </row>
    <row r="815" spans="1:8" ht="14.55" hidden="1" customHeight="1" x14ac:dyDescent="0.3">
      <c r="A815" s="262" t="s">
        <v>3151</v>
      </c>
      <c r="B815" s="262" t="s">
        <v>2370</v>
      </c>
      <c r="C815" s="262" t="s">
        <v>3079</v>
      </c>
      <c r="D815" s="262" t="s">
        <v>2549</v>
      </c>
      <c r="E815" s="263">
        <v>3</v>
      </c>
      <c r="F815" s="262" t="s">
        <v>2373</v>
      </c>
      <c r="G815" s="262" t="s">
        <v>2392</v>
      </c>
      <c r="H815" s="395"/>
    </row>
    <row r="816" spans="1:8" ht="14.55" hidden="1" customHeight="1" x14ac:dyDescent="0.3">
      <c r="A816" s="262" t="s">
        <v>3151</v>
      </c>
      <c r="B816" s="262" t="s">
        <v>2370</v>
      </c>
      <c r="C816" s="262" t="s">
        <v>3079</v>
      </c>
      <c r="D816" s="262" t="s">
        <v>2681</v>
      </c>
      <c r="E816" s="263">
        <v>5</v>
      </c>
      <c r="F816" s="262" t="s">
        <v>2373</v>
      </c>
      <c r="G816" s="262" t="s">
        <v>2392</v>
      </c>
      <c r="H816" s="395"/>
    </row>
    <row r="817" spans="1:8" ht="14.55" hidden="1" customHeight="1" x14ac:dyDescent="0.3">
      <c r="A817" s="262" t="s">
        <v>3151</v>
      </c>
      <c r="B817" s="262" t="s">
        <v>2370</v>
      </c>
      <c r="C817" s="262" t="s">
        <v>3079</v>
      </c>
      <c r="D817" s="262" t="s">
        <v>2559</v>
      </c>
      <c r="E817" s="263">
        <v>5</v>
      </c>
      <c r="F817" s="262" t="s">
        <v>2373</v>
      </c>
      <c r="G817" s="262" t="s">
        <v>2374</v>
      </c>
      <c r="H817" s="395"/>
    </row>
    <row r="818" spans="1:8" ht="14.55" hidden="1" customHeight="1" x14ac:dyDescent="0.3">
      <c r="A818" s="262" t="s">
        <v>3151</v>
      </c>
      <c r="B818" s="262" t="s">
        <v>2370</v>
      </c>
      <c r="C818" s="262" t="s">
        <v>3079</v>
      </c>
      <c r="D818" s="262" t="s">
        <v>2919</v>
      </c>
      <c r="E818" s="263">
        <v>7</v>
      </c>
      <c r="F818" s="262" t="s">
        <v>2389</v>
      </c>
      <c r="G818" s="262" t="s">
        <v>2428</v>
      </c>
      <c r="H818" s="395"/>
    </row>
    <row r="819" spans="1:8" ht="14.55" hidden="1" customHeight="1" x14ac:dyDescent="0.3">
      <c r="A819" s="262" t="s">
        <v>3151</v>
      </c>
      <c r="B819" s="262" t="s">
        <v>2370</v>
      </c>
      <c r="C819" s="262" t="s">
        <v>3079</v>
      </c>
      <c r="D819" s="262" t="s">
        <v>2606</v>
      </c>
      <c r="E819" s="263">
        <v>7</v>
      </c>
      <c r="F819" s="262" t="s">
        <v>2379</v>
      </c>
      <c r="G819" s="262" t="s">
        <v>2470</v>
      </c>
      <c r="H819" s="395"/>
    </row>
    <row r="820" spans="1:8" ht="14.55" hidden="1" customHeight="1" x14ac:dyDescent="0.3">
      <c r="A820" s="262" t="s">
        <v>3151</v>
      </c>
      <c r="B820" s="262" t="s">
        <v>2370</v>
      </c>
      <c r="C820" s="262" t="s">
        <v>3079</v>
      </c>
      <c r="D820" s="262" t="s">
        <v>2710</v>
      </c>
      <c r="E820" s="263">
        <v>7</v>
      </c>
      <c r="F820" s="262" t="s">
        <v>2379</v>
      </c>
      <c r="G820" s="262" t="s">
        <v>2396</v>
      </c>
      <c r="H820" s="395"/>
    </row>
    <row r="821" spans="1:8" ht="14.55" hidden="1" customHeight="1" x14ac:dyDescent="0.3">
      <c r="A821" s="262" t="s">
        <v>3151</v>
      </c>
      <c r="B821" s="262" t="s">
        <v>2370</v>
      </c>
      <c r="C821" s="262" t="s">
        <v>3079</v>
      </c>
      <c r="D821" s="262" t="s">
        <v>2848</v>
      </c>
      <c r="E821" s="263">
        <v>7</v>
      </c>
      <c r="F821" s="262" t="s">
        <v>2379</v>
      </c>
      <c r="G821" s="262" t="s">
        <v>2396</v>
      </c>
      <c r="H821" s="395"/>
    </row>
    <row r="822" spans="1:8" ht="14.55" hidden="1" customHeight="1" x14ac:dyDescent="0.3">
      <c r="A822" s="262" t="s">
        <v>3151</v>
      </c>
      <c r="B822" s="262" t="s">
        <v>2370</v>
      </c>
      <c r="C822" s="262" t="s">
        <v>3079</v>
      </c>
      <c r="D822" s="262" t="s">
        <v>3165</v>
      </c>
      <c r="E822" s="263">
        <v>3</v>
      </c>
      <c r="F822" s="262" t="s">
        <v>2389</v>
      </c>
      <c r="G822" s="262" t="s">
        <v>2631</v>
      </c>
      <c r="H822" s="395"/>
    </row>
    <row r="823" spans="1:8" ht="14.55" hidden="1" customHeight="1" x14ac:dyDescent="0.3">
      <c r="A823" s="262" t="s">
        <v>3151</v>
      </c>
      <c r="B823" s="262" t="s">
        <v>2370</v>
      </c>
      <c r="C823" s="262" t="s">
        <v>3079</v>
      </c>
      <c r="D823" s="262" t="s">
        <v>2833</v>
      </c>
      <c r="E823" s="263">
        <v>5</v>
      </c>
      <c r="F823" s="262" t="s">
        <v>2379</v>
      </c>
      <c r="G823" s="262" t="s">
        <v>2568</v>
      </c>
      <c r="H823" s="395"/>
    </row>
    <row r="824" spans="1:8" ht="14.55" hidden="1" customHeight="1" x14ac:dyDescent="0.3">
      <c r="A824" s="262" t="s">
        <v>3151</v>
      </c>
      <c r="B824" s="262" t="s">
        <v>2370</v>
      </c>
      <c r="C824" s="262" t="s">
        <v>3079</v>
      </c>
      <c r="D824" s="262" t="s">
        <v>2532</v>
      </c>
      <c r="E824" s="263">
        <v>7</v>
      </c>
      <c r="F824" s="262" t="s">
        <v>2373</v>
      </c>
      <c r="G824" s="262" t="s">
        <v>2374</v>
      </c>
      <c r="H824" s="395"/>
    </row>
    <row r="825" spans="1:8" ht="14.55" hidden="1" customHeight="1" x14ac:dyDescent="0.3">
      <c r="A825" s="262" t="s">
        <v>3151</v>
      </c>
      <c r="B825" s="262" t="s">
        <v>2370</v>
      </c>
      <c r="C825" s="262" t="s">
        <v>3079</v>
      </c>
      <c r="D825" s="262" t="s">
        <v>2407</v>
      </c>
      <c r="E825" s="263">
        <v>3</v>
      </c>
      <c r="F825" s="262" t="s">
        <v>2389</v>
      </c>
      <c r="G825" s="262" t="s">
        <v>2408</v>
      </c>
      <c r="H825" s="395"/>
    </row>
    <row r="826" spans="1:8" ht="14.55" hidden="1" customHeight="1" x14ac:dyDescent="0.3">
      <c r="A826" s="262" t="s">
        <v>3151</v>
      </c>
      <c r="B826" s="262" t="s">
        <v>2370</v>
      </c>
      <c r="C826" s="262" t="s">
        <v>3079</v>
      </c>
      <c r="D826" s="262" t="s">
        <v>3166</v>
      </c>
      <c r="E826" s="263">
        <v>5</v>
      </c>
      <c r="F826" s="262" t="s">
        <v>2373</v>
      </c>
      <c r="G826" s="262" t="s">
        <v>2374</v>
      </c>
      <c r="H826" s="395"/>
    </row>
    <row r="827" spans="1:8" ht="14.55" hidden="1" customHeight="1" x14ac:dyDescent="0.3">
      <c r="A827" s="262" t="s">
        <v>3151</v>
      </c>
      <c r="B827" s="262" t="s">
        <v>2370</v>
      </c>
      <c r="C827" s="262" t="s">
        <v>3079</v>
      </c>
      <c r="D827" s="262" t="s">
        <v>3167</v>
      </c>
      <c r="E827" s="263">
        <v>7</v>
      </c>
      <c r="F827" s="262" t="s">
        <v>2389</v>
      </c>
      <c r="G827" s="262" t="s">
        <v>2631</v>
      </c>
      <c r="H827" s="395"/>
    </row>
    <row r="828" spans="1:8" x14ac:dyDescent="0.3">
      <c r="A828" s="264" t="s">
        <v>3151</v>
      </c>
      <c r="B828" s="264" t="s">
        <v>2370</v>
      </c>
      <c r="C828" s="264" t="s">
        <v>3079</v>
      </c>
      <c r="D828" s="264" t="s">
        <v>3168</v>
      </c>
      <c r="E828" s="265">
        <v>5</v>
      </c>
      <c r="F828" s="264" t="s">
        <v>2379</v>
      </c>
      <c r="G828" s="264" t="s">
        <v>2402</v>
      </c>
      <c r="H828" s="396"/>
    </row>
    <row r="829" spans="1:8" ht="14.55" hidden="1" customHeight="1" x14ac:dyDescent="0.3">
      <c r="A829" s="262" t="s">
        <v>3151</v>
      </c>
      <c r="B829" s="262" t="s">
        <v>2370</v>
      </c>
      <c r="C829" s="262" t="s">
        <v>3079</v>
      </c>
      <c r="D829" s="262" t="s">
        <v>2781</v>
      </c>
      <c r="E829" s="263">
        <v>7</v>
      </c>
      <c r="F829" s="262" t="s">
        <v>2373</v>
      </c>
      <c r="G829" s="262" t="s">
        <v>3169</v>
      </c>
      <c r="H829" s="395"/>
    </row>
    <row r="830" spans="1:8" ht="14.55" hidden="1" customHeight="1" x14ac:dyDescent="0.3">
      <c r="A830" s="262" t="s">
        <v>3151</v>
      </c>
      <c r="B830" s="262" t="s">
        <v>2370</v>
      </c>
      <c r="C830" s="262" t="s">
        <v>3079</v>
      </c>
      <c r="D830" s="262" t="s">
        <v>2959</v>
      </c>
      <c r="E830" s="263">
        <v>7</v>
      </c>
      <c r="F830" s="262" t="s">
        <v>2376</v>
      </c>
      <c r="G830" s="262" t="s">
        <v>2451</v>
      </c>
      <c r="H830" s="395"/>
    </row>
    <row r="831" spans="1:8" ht="14.55" hidden="1" customHeight="1" x14ac:dyDescent="0.3">
      <c r="A831" s="262" t="s">
        <v>3151</v>
      </c>
      <c r="B831" s="262" t="s">
        <v>2370</v>
      </c>
      <c r="C831" s="262" t="s">
        <v>3079</v>
      </c>
      <c r="D831" s="262" t="s">
        <v>2384</v>
      </c>
      <c r="E831" s="263">
        <v>3</v>
      </c>
      <c r="F831" s="262" t="s">
        <v>2373</v>
      </c>
      <c r="G831" s="262" t="s">
        <v>2374</v>
      </c>
      <c r="H831" s="395"/>
    </row>
    <row r="832" spans="1:8" ht="14.55" hidden="1" customHeight="1" x14ac:dyDescent="0.3">
      <c r="A832" s="262" t="s">
        <v>3151</v>
      </c>
      <c r="B832" s="262" t="s">
        <v>2380</v>
      </c>
      <c r="C832" s="262" t="s">
        <v>3079</v>
      </c>
      <c r="D832" s="262" t="s">
        <v>3170</v>
      </c>
      <c r="E832" s="263">
        <v>7</v>
      </c>
      <c r="F832" s="262" t="s">
        <v>2373</v>
      </c>
      <c r="G832" s="262" t="s">
        <v>2392</v>
      </c>
      <c r="H832" s="395"/>
    </row>
    <row r="833" spans="1:8" ht="14.55" hidden="1" customHeight="1" x14ac:dyDescent="0.3">
      <c r="A833" s="262" t="s">
        <v>3151</v>
      </c>
      <c r="B833" s="262" t="s">
        <v>2370</v>
      </c>
      <c r="C833" s="262" t="s">
        <v>3079</v>
      </c>
      <c r="D833" s="262" t="s">
        <v>2743</v>
      </c>
      <c r="E833" s="263">
        <v>5</v>
      </c>
      <c r="F833" s="262" t="s">
        <v>2373</v>
      </c>
      <c r="G833" s="262" t="s">
        <v>2392</v>
      </c>
      <c r="H833" s="395"/>
    </row>
    <row r="834" spans="1:8" x14ac:dyDescent="0.3">
      <c r="A834" s="264" t="s">
        <v>3151</v>
      </c>
      <c r="B834" s="264" t="s">
        <v>2370</v>
      </c>
      <c r="C834" s="264" t="s">
        <v>3079</v>
      </c>
      <c r="D834" s="264" t="s">
        <v>3171</v>
      </c>
      <c r="E834" s="265">
        <v>7</v>
      </c>
      <c r="F834" s="264" t="s">
        <v>2379</v>
      </c>
      <c r="G834" s="264" t="s">
        <v>2402</v>
      </c>
      <c r="H834" s="396"/>
    </row>
    <row r="835" spans="1:8" ht="14.55" hidden="1" customHeight="1" x14ac:dyDescent="0.3">
      <c r="A835" s="262" t="s">
        <v>3151</v>
      </c>
      <c r="B835" s="262" t="s">
        <v>2370</v>
      </c>
      <c r="C835" s="262" t="s">
        <v>3079</v>
      </c>
      <c r="D835" s="262" t="s">
        <v>2704</v>
      </c>
      <c r="E835" s="263">
        <v>7</v>
      </c>
      <c r="F835" s="262" t="s">
        <v>2379</v>
      </c>
      <c r="G835" s="262" t="s">
        <v>33</v>
      </c>
      <c r="H835" s="395"/>
    </row>
    <row r="836" spans="1:8" ht="14.55" hidden="1" customHeight="1" x14ac:dyDescent="0.3">
      <c r="A836" s="262" t="s">
        <v>3151</v>
      </c>
      <c r="B836" s="262" t="s">
        <v>2370</v>
      </c>
      <c r="C836" s="262" t="s">
        <v>3079</v>
      </c>
      <c r="D836" s="262" t="s">
        <v>2954</v>
      </c>
      <c r="E836" s="263">
        <v>3</v>
      </c>
      <c r="F836" s="262" t="s">
        <v>2373</v>
      </c>
      <c r="G836" s="262" t="s">
        <v>2449</v>
      </c>
      <c r="H836" s="395"/>
    </row>
    <row r="837" spans="1:8" ht="14.55" hidden="1" customHeight="1" x14ac:dyDescent="0.3">
      <c r="A837" s="262" t="s">
        <v>3151</v>
      </c>
      <c r="B837" s="262" t="s">
        <v>2370</v>
      </c>
      <c r="C837" s="262" t="s">
        <v>3079</v>
      </c>
      <c r="D837" s="262" t="s">
        <v>3024</v>
      </c>
      <c r="E837" s="263">
        <v>7</v>
      </c>
      <c r="F837" s="262" t="s">
        <v>2373</v>
      </c>
      <c r="G837" s="262" t="s">
        <v>2374</v>
      </c>
      <c r="H837" s="395"/>
    </row>
    <row r="838" spans="1:8" ht="14.55" hidden="1" customHeight="1" x14ac:dyDescent="0.3">
      <c r="A838" s="262" t="s">
        <v>3151</v>
      </c>
      <c r="B838" s="262" t="s">
        <v>2370</v>
      </c>
      <c r="C838" s="262" t="s">
        <v>3079</v>
      </c>
      <c r="D838" s="262" t="s">
        <v>3172</v>
      </c>
      <c r="E838" s="263">
        <v>5</v>
      </c>
      <c r="F838" s="262" t="s">
        <v>2373</v>
      </c>
      <c r="G838" s="262" t="s">
        <v>2374</v>
      </c>
      <c r="H838" s="395"/>
    </row>
    <row r="839" spans="1:8" ht="14.55" hidden="1" customHeight="1" x14ac:dyDescent="0.3">
      <c r="A839" s="262" t="s">
        <v>3151</v>
      </c>
      <c r="B839" s="262" t="s">
        <v>2370</v>
      </c>
      <c r="C839" s="262" t="s">
        <v>3079</v>
      </c>
      <c r="D839" s="262" t="s">
        <v>3173</v>
      </c>
      <c r="E839" s="263">
        <v>5</v>
      </c>
      <c r="F839" s="262" t="s">
        <v>2419</v>
      </c>
      <c r="G839" s="262" t="s">
        <v>2480</v>
      </c>
      <c r="H839" s="395"/>
    </row>
    <row r="840" spans="1:8" ht="14.55" hidden="1" customHeight="1" x14ac:dyDescent="0.3">
      <c r="A840" s="262" t="s">
        <v>3151</v>
      </c>
      <c r="B840" s="262" t="s">
        <v>2370</v>
      </c>
      <c r="C840" s="262" t="s">
        <v>3079</v>
      </c>
      <c r="D840" s="262" t="s">
        <v>3174</v>
      </c>
      <c r="E840" s="263">
        <v>5</v>
      </c>
      <c r="F840" s="262" t="s">
        <v>2419</v>
      </c>
      <c r="G840" s="262" t="s">
        <v>2480</v>
      </c>
      <c r="H840" s="395"/>
    </row>
    <row r="841" spans="1:8" ht="14.55" hidden="1" customHeight="1" x14ac:dyDescent="0.3">
      <c r="A841" s="262" t="s">
        <v>3151</v>
      </c>
      <c r="B841" s="262" t="s">
        <v>2370</v>
      </c>
      <c r="C841" s="262" t="s">
        <v>3079</v>
      </c>
      <c r="D841" s="262" t="s">
        <v>3175</v>
      </c>
      <c r="E841" s="263">
        <v>5</v>
      </c>
      <c r="F841" s="262" t="s">
        <v>2419</v>
      </c>
      <c r="G841" s="262" t="s">
        <v>2480</v>
      </c>
      <c r="H841" s="395"/>
    </row>
    <row r="842" spans="1:8" ht="14.55" hidden="1" customHeight="1" x14ac:dyDescent="0.3">
      <c r="A842" s="262" t="s">
        <v>3151</v>
      </c>
      <c r="B842" s="262" t="s">
        <v>2370</v>
      </c>
      <c r="C842" s="262" t="s">
        <v>3079</v>
      </c>
      <c r="D842" s="262" t="s">
        <v>3176</v>
      </c>
      <c r="E842" s="263">
        <v>5</v>
      </c>
      <c r="F842" s="262" t="s">
        <v>2419</v>
      </c>
      <c r="G842" s="262" t="s">
        <v>2480</v>
      </c>
      <c r="H842" s="395"/>
    </row>
    <row r="843" spans="1:8" x14ac:dyDescent="0.3">
      <c r="A843" s="264" t="s">
        <v>3151</v>
      </c>
      <c r="B843" s="264" t="s">
        <v>2370</v>
      </c>
      <c r="C843" s="264" t="s">
        <v>3079</v>
      </c>
      <c r="D843" s="264" t="s">
        <v>2561</v>
      </c>
      <c r="E843" s="265">
        <v>7</v>
      </c>
      <c r="F843" s="264" t="s">
        <v>2379</v>
      </c>
      <c r="G843" s="264" t="s">
        <v>2402</v>
      </c>
      <c r="H843" s="396"/>
    </row>
    <row r="844" spans="1:8" ht="14.55" hidden="1" customHeight="1" x14ac:dyDescent="0.3">
      <c r="A844" s="262" t="s">
        <v>3151</v>
      </c>
      <c r="B844" s="262" t="s">
        <v>2370</v>
      </c>
      <c r="C844" s="262" t="s">
        <v>3079</v>
      </c>
      <c r="D844" s="262" t="s">
        <v>2466</v>
      </c>
      <c r="E844" s="263">
        <v>5</v>
      </c>
      <c r="F844" s="262" t="s">
        <v>2419</v>
      </c>
      <c r="G844" s="262" t="s">
        <v>3177</v>
      </c>
      <c r="H844" s="395"/>
    </row>
    <row r="845" spans="1:8" ht="14.55" hidden="1" customHeight="1" x14ac:dyDescent="0.3">
      <c r="A845" s="262" t="s">
        <v>3151</v>
      </c>
      <c r="B845" s="262" t="s">
        <v>2370</v>
      </c>
      <c r="C845" s="262" t="s">
        <v>3079</v>
      </c>
      <c r="D845" s="262" t="s">
        <v>2955</v>
      </c>
      <c r="E845" s="263">
        <v>5</v>
      </c>
      <c r="F845" s="262" t="s">
        <v>2419</v>
      </c>
      <c r="G845" s="262" t="s">
        <v>2480</v>
      </c>
      <c r="H845" s="395"/>
    </row>
    <row r="846" spans="1:8" ht="14.55" hidden="1" customHeight="1" x14ac:dyDescent="0.3">
      <c r="A846" s="262" t="s">
        <v>3151</v>
      </c>
      <c r="B846" s="262" t="s">
        <v>2370</v>
      </c>
      <c r="C846" s="262" t="s">
        <v>3079</v>
      </c>
      <c r="D846" s="262" t="s">
        <v>2422</v>
      </c>
      <c r="E846" s="263">
        <v>5</v>
      </c>
      <c r="F846" s="262" t="s">
        <v>2373</v>
      </c>
      <c r="G846" s="262" t="s">
        <v>2723</v>
      </c>
      <c r="H846" s="395"/>
    </row>
    <row r="847" spans="1:8" ht="14.55" hidden="1" customHeight="1" x14ac:dyDescent="0.3">
      <c r="A847" s="262" t="s">
        <v>3151</v>
      </c>
      <c r="B847" s="262" t="s">
        <v>2370</v>
      </c>
      <c r="C847" s="262" t="s">
        <v>3079</v>
      </c>
      <c r="D847" s="262" t="s">
        <v>3178</v>
      </c>
      <c r="E847" s="263">
        <v>7</v>
      </c>
      <c r="F847" s="262" t="s">
        <v>2419</v>
      </c>
      <c r="G847" s="262" t="s">
        <v>2420</v>
      </c>
      <c r="H847" s="395"/>
    </row>
    <row r="848" spans="1:8" ht="14.55" hidden="1" customHeight="1" x14ac:dyDescent="0.3">
      <c r="A848" s="262" t="s">
        <v>3151</v>
      </c>
      <c r="B848" s="262" t="s">
        <v>2370</v>
      </c>
      <c r="C848" s="262" t="s">
        <v>3079</v>
      </c>
      <c r="D848" s="262" t="s">
        <v>2721</v>
      </c>
      <c r="E848" s="263">
        <v>5</v>
      </c>
      <c r="F848" s="262" t="s">
        <v>2419</v>
      </c>
      <c r="G848" s="262" t="s">
        <v>2480</v>
      </c>
      <c r="H848" s="395"/>
    </row>
    <row r="849" spans="1:8" ht="14.55" hidden="1" customHeight="1" x14ac:dyDescent="0.3">
      <c r="A849" s="262" t="s">
        <v>3151</v>
      </c>
      <c r="B849" s="262" t="s">
        <v>2370</v>
      </c>
      <c r="C849" s="262" t="s">
        <v>3079</v>
      </c>
      <c r="D849" s="262" t="s">
        <v>3179</v>
      </c>
      <c r="E849" s="263">
        <v>5</v>
      </c>
      <c r="F849" s="262" t="s">
        <v>2419</v>
      </c>
      <c r="G849" s="262" t="s">
        <v>2432</v>
      </c>
      <c r="H849" s="395"/>
    </row>
    <row r="850" spans="1:8" ht="14.55" hidden="1" customHeight="1" x14ac:dyDescent="0.3">
      <c r="A850" s="262" t="s">
        <v>3151</v>
      </c>
      <c r="B850" s="262" t="s">
        <v>2370</v>
      </c>
      <c r="C850" s="262" t="s">
        <v>3079</v>
      </c>
      <c r="D850" s="262" t="s">
        <v>2762</v>
      </c>
      <c r="E850" s="263">
        <v>7</v>
      </c>
      <c r="F850" s="262" t="s">
        <v>2373</v>
      </c>
      <c r="G850" s="262" t="s">
        <v>2596</v>
      </c>
      <c r="H850" s="395"/>
    </row>
    <row r="851" spans="1:8" ht="14.55" hidden="1" customHeight="1" x14ac:dyDescent="0.3">
      <c r="A851" s="262" t="s">
        <v>3151</v>
      </c>
      <c r="B851" s="262" t="s">
        <v>2370</v>
      </c>
      <c r="C851" s="262" t="s">
        <v>3079</v>
      </c>
      <c r="D851" s="262" t="s">
        <v>2951</v>
      </c>
      <c r="E851" s="263">
        <v>5</v>
      </c>
      <c r="F851" s="262" t="s">
        <v>2419</v>
      </c>
      <c r="G851" s="262" t="s">
        <v>2480</v>
      </c>
      <c r="H851" s="395"/>
    </row>
    <row r="852" spans="1:8" ht="14.55" hidden="1" customHeight="1" x14ac:dyDescent="0.3">
      <c r="A852" s="262" t="s">
        <v>3151</v>
      </c>
      <c r="B852" s="262" t="s">
        <v>2370</v>
      </c>
      <c r="C852" s="262" t="s">
        <v>3079</v>
      </c>
      <c r="D852" s="262" t="s">
        <v>3180</v>
      </c>
      <c r="E852" s="263">
        <v>7</v>
      </c>
      <c r="F852" s="262" t="s">
        <v>2379</v>
      </c>
      <c r="G852" s="262" t="s">
        <v>2396</v>
      </c>
      <c r="H852" s="395"/>
    </row>
    <row r="853" spans="1:8" ht="14.55" hidden="1" customHeight="1" x14ac:dyDescent="0.3">
      <c r="A853" s="262" t="s">
        <v>3151</v>
      </c>
      <c r="B853" s="262" t="s">
        <v>2370</v>
      </c>
      <c r="C853" s="262" t="s">
        <v>3079</v>
      </c>
      <c r="D853" s="262" t="s">
        <v>2996</v>
      </c>
      <c r="E853" s="263">
        <v>7</v>
      </c>
      <c r="F853" s="262" t="s">
        <v>2419</v>
      </c>
      <c r="G853" s="262" t="s">
        <v>2420</v>
      </c>
      <c r="H853" s="395"/>
    </row>
    <row r="854" spans="1:8" ht="14.55" hidden="1" customHeight="1" x14ac:dyDescent="0.3">
      <c r="A854" s="262" t="s">
        <v>3151</v>
      </c>
      <c r="B854" s="262" t="s">
        <v>2380</v>
      </c>
      <c r="C854" s="262" t="s">
        <v>3079</v>
      </c>
      <c r="D854" s="262" t="s">
        <v>3181</v>
      </c>
      <c r="E854" s="263">
        <v>7</v>
      </c>
      <c r="F854" s="262" t="s">
        <v>2389</v>
      </c>
      <c r="G854" s="262" t="s">
        <v>3182</v>
      </c>
      <c r="H854" s="395"/>
    </row>
    <row r="855" spans="1:8" ht="14.55" hidden="1" customHeight="1" x14ac:dyDescent="0.3">
      <c r="A855" s="262" t="s">
        <v>3151</v>
      </c>
      <c r="B855" s="262" t="s">
        <v>2380</v>
      </c>
      <c r="C855" s="262" t="s">
        <v>3079</v>
      </c>
      <c r="D855" s="262" t="s">
        <v>2731</v>
      </c>
      <c r="E855" s="263">
        <v>7</v>
      </c>
      <c r="F855" s="262" t="s">
        <v>2379</v>
      </c>
      <c r="G855" s="262" t="s">
        <v>2396</v>
      </c>
      <c r="H855" s="395"/>
    </row>
    <row r="856" spans="1:8" ht="14.55" hidden="1" customHeight="1" x14ac:dyDescent="0.3">
      <c r="A856" s="262" t="s">
        <v>3151</v>
      </c>
      <c r="B856" s="262" t="s">
        <v>2370</v>
      </c>
      <c r="C856" s="262" t="s">
        <v>3079</v>
      </c>
      <c r="D856" s="262" t="s">
        <v>3183</v>
      </c>
      <c r="E856" s="263">
        <v>7</v>
      </c>
      <c r="F856" s="262" t="s">
        <v>2419</v>
      </c>
      <c r="G856" s="262" t="s">
        <v>2488</v>
      </c>
      <c r="H856" s="395"/>
    </row>
    <row r="857" spans="1:8" ht="14.55" hidden="1" customHeight="1" x14ac:dyDescent="0.3">
      <c r="A857" s="262" t="s">
        <v>3151</v>
      </c>
      <c r="B857" s="262" t="s">
        <v>2370</v>
      </c>
      <c r="C857" s="262" t="s">
        <v>3079</v>
      </c>
      <c r="D857" s="262" t="s">
        <v>3184</v>
      </c>
      <c r="E857" s="263">
        <v>3</v>
      </c>
      <c r="F857" s="262" t="s">
        <v>2389</v>
      </c>
      <c r="G857" s="262" t="s">
        <v>2408</v>
      </c>
      <c r="H857" s="395"/>
    </row>
    <row r="858" spans="1:8" ht="14.55" hidden="1" customHeight="1" x14ac:dyDescent="0.3">
      <c r="A858" s="262" t="s">
        <v>3151</v>
      </c>
      <c r="B858" s="262" t="s">
        <v>2370</v>
      </c>
      <c r="C858" s="262" t="s">
        <v>3079</v>
      </c>
      <c r="D858" s="262" t="s">
        <v>3185</v>
      </c>
      <c r="E858" s="263">
        <v>7</v>
      </c>
      <c r="F858" s="262" t="s">
        <v>2373</v>
      </c>
      <c r="G858" s="262" t="s">
        <v>2392</v>
      </c>
      <c r="H858" s="395"/>
    </row>
    <row r="859" spans="1:8" ht="14.55" hidden="1" customHeight="1" x14ac:dyDescent="0.3">
      <c r="A859" s="262" t="s">
        <v>3151</v>
      </c>
      <c r="B859" s="262" t="s">
        <v>2370</v>
      </c>
      <c r="C859" s="262" t="s">
        <v>3079</v>
      </c>
      <c r="D859" s="262" t="s">
        <v>3186</v>
      </c>
      <c r="E859" s="263">
        <v>5</v>
      </c>
      <c r="F859" s="262" t="s">
        <v>2379</v>
      </c>
      <c r="G859" s="262" t="s">
        <v>2568</v>
      </c>
      <c r="H859" s="395"/>
    </row>
    <row r="860" spans="1:8" ht="14.55" hidden="1" customHeight="1" x14ac:dyDescent="0.3">
      <c r="A860" s="262" t="s">
        <v>3151</v>
      </c>
      <c r="B860" s="262" t="s">
        <v>2380</v>
      </c>
      <c r="C860" s="262" t="s">
        <v>3079</v>
      </c>
      <c r="D860" s="262" t="s">
        <v>2921</v>
      </c>
      <c r="E860" s="263">
        <v>7</v>
      </c>
      <c r="F860" s="262" t="s">
        <v>2379</v>
      </c>
      <c r="G860" s="262" t="s">
        <v>2396</v>
      </c>
      <c r="H860" s="395"/>
    </row>
    <row r="861" spans="1:8" ht="14.55" hidden="1" customHeight="1" x14ac:dyDescent="0.3">
      <c r="A861" s="262" t="s">
        <v>3151</v>
      </c>
      <c r="B861" s="262" t="s">
        <v>2370</v>
      </c>
      <c r="C861" s="262" t="s">
        <v>3079</v>
      </c>
      <c r="D861" s="262" t="s">
        <v>2714</v>
      </c>
      <c r="E861" s="263">
        <v>7</v>
      </c>
      <c r="F861" s="262" t="s">
        <v>2373</v>
      </c>
      <c r="G861" s="262" t="s">
        <v>2374</v>
      </c>
      <c r="H861" s="395"/>
    </row>
    <row r="862" spans="1:8" ht="14.55" hidden="1" customHeight="1" x14ac:dyDescent="0.3">
      <c r="A862" s="262" t="s">
        <v>3151</v>
      </c>
      <c r="B862" s="262" t="s">
        <v>2380</v>
      </c>
      <c r="C862" s="262" t="s">
        <v>3079</v>
      </c>
      <c r="D862" s="262" t="s">
        <v>2960</v>
      </c>
      <c r="E862" s="263">
        <v>7</v>
      </c>
      <c r="F862" s="262" t="s">
        <v>2373</v>
      </c>
      <c r="G862" s="262" t="s">
        <v>2374</v>
      </c>
      <c r="H862" s="395"/>
    </row>
    <row r="863" spans="1:8" ht="14.55" hidden="1" customHeight="1" x14ac:dyDescent="0.3">
      <c r="A863" s="262" t="s">
        <v>3151</v>
      </c>
      <c r="B863" s="262" t="s">
        <v>2370</v>
      </c>
      <c r="C863" s="262" t="s">
        <v>3079</v>
      </c>
      <c r="D863" s="262" t="s">
        <v>2685</v>
      </c>
      <c r="E863" s="263">
        <v>5</v>
      </c>
      <c r="F863" s="262" t="s">
        <v>2419</v>
      </c>
      <c r="G863" s="262" t="s">
        <v>2480</v>
      </c>
      <c r="H863" s="395"/>
    </row>
    <row r="864" spans="1:8" ht="14.55" hidden="1" customHeight="1" x14ac:dyDescent="0.3">
      <c r="A864" s="262" t="s">
        <v>3151</v>
      </c>
      <c r="B864" s="262" t="s">
        <v>2370</v>
      </c>
      <c r="C864" s="262" t="s">
        <v>3079</v>
      </c>
      <c r="D864" s="262" t="s">
        <v>2965</v>
      </c>
      <c r="E864" s="263">
        <v>7</v>
      </c>
      <c r="F864" s="262" t="s">
        <v>2379</v>
      </c>
      <c r="G864" s="262" t="s">
        <v>2470</v>
      </c>
      <c r="H864" s="395"/>
    </row>
    <row r="865" spans="1:8" ht="14.55" hidden="1" customHeight="1" x14ac:dyDescent="0.3">
      <c r="A865" s="262" t="s">
        <v>3151</v>
      </c>
      <c r="B865" s="262" t="s">
        <v>2370</v>
      </c>
      <c r="C865" s="262" t="s">
        <v>3079</v>
      </c>
      <c r="D865" s="262" t="s">
        <v>3187</v>
      </c>
      <c r="E865" s="263">
        <v>5</v>
      </c>
      <c r="F865" s="262" t="s">
        <v>2419</v>
      </c>
      <c r="G865" s="262" t="s">
        <v>2488</v>
      </c>
      <c r="H865" s="395"/>
    </row>
    <row r="866" spans="1:8" ht="14.55" hidden="1" customHeight="1" x14ac:dyDescent="0.3">
      <c r="A866" s="262" t="s">
        <v>3151</v>
      </c>
      <c r="B866" s="262" t="s">
        <v>2370</v>
      </c>
      <c r="C866" s="262" t="s">
        <v>3079</v>
      </c>
      <c r="D866" s="262" t="s">
        <v>3188</v>
      </c>
      <c r="E866" s="263">
        <v>5</v>
      </c>
      <c r="F866" s="262" t="s">
        <v>2419</v>
      </c>
      <c r="G866" s="262" t="s">
        <v>2420</v>
      </c>
      <c r="H866" s="395"/>
    </row>
    <row r="867" spans="1:8" ht="14.55" hidden="1" customHeight="1" x14ac:dyDescent="0.3">
      <c r="A867" s="262" t="s">
        <v>3151</v>
      </c>
      <c r="B867" s="262" t="s">
        <v>2370</v>
      </c>
      <c r="C867" s="262" t="s">
        <v>3079</v>
      </c>
      <c r="D867" s="262" t="s">
        <v>3189</v>
      </c>
      <c r="E867" s="263">
        <v>7</v>
      </c>
      <c r="F867" s="262" t="s">
        <v>2379</v>
      </c>
      <c r="G867" s="262" t="s">
        <v>2396</v>
      </c>
      <c r="H867" s="395"/>
    </row>
    <row r="868" spans="1:8" ht="14.55" hidden="1" customHeight="1" x14ac:dyDescent="0.3">
      <c r="A868" s="262" t="s">
        <v>3151</v>
      </c>
      <c r="B868" s="262" t="s">
        <v>2370</v>
      </c>
      <c r="C868" s="262" t="s">
        <v>3079</v>
      </c>
      <c r="D868" s="262" t="s">
        <v>2435</v>
      </c>
      <c r="E868" s="263">
        <v>7</v>
      </c>
      <c r="F868" s="262" t="s">
        <v>2376</v>
      </c>
      <c r="G868" s="262" t="s">
        <v>2394</v>
      </c>
      <c r="H868" s="395"/>
    </row>
    <row r="869" spans="1:8" ht="14.55" hidden="1" customHeight="1" x14ac:dyDescent="0.3">
      <c r="A869" s="262" t="s">
        <v>3151</v>
      </c>
      <c r="B869" s="262" t="s">
        <v>2380</v>
      </c>
      <c r="C869" s="262" t="s">
        <v>3079</v>
      </c>
      <c r="D869" s="262" t="s">
        <v>2749</v>
      </c>
      <c r="E869" s="263">
        <v>7</v>
      </c>
      <c r="F869" s="262" t="s">
        <v>2376</v>
      </c>
      <c r="G869" s="262" t="s">
        <v>2394</v>
      </c>
      <c r="H869" s="395"/>
    </row>
    <row r="870" spans="1:8" ht="14.55" hidden="1" customHeight="1" x14ac:dyDescent="0.3">
      <c r="A870" s="262" t="s">
        <v>3151</v>
      </c>
      <c r="B870" s="262" t="s">
        <v>2370</v>
      </c>
      <c r="C870" s="262" t="s">
        <v>3079</v>
      </c>
      <c r="D870" s="262" t="s">
        <v>3190</v>
      </c>
      <c r="E870" s="263">
        <v>3</v>
      </c>
      <c r="F870" s="262" t="s">
        <v>2379</v>
      </c>
      <c r="G870" s="262" t="s">
        <v>2470</v>
      </c>
      <c r="H870" s="395"/>
    </row>
    <row r="871" spans="1:8" ht="14.55" hidden="1" customHeight="1" x14ac:dyDescent="0.3">
      <c r="A871" s="262" t="s">
        <v>3151</v>
      </c>
      <c r="B871" s="262" t="s">
        <v>2380</v>
      </c>
      <c r="C871" s="262" t="s">
        <v>3079</v>
      </c>
      <c r="D871" s="262" t="s">
        <v>3191</v>
      </c>
      <c r="E871" s="263">
        <v>7</v>
      </c>
      <c r="F871" s="262" t="s">
        <v>2389</v>
      </c>
      <c r="G871" s="262" t="s">
        <v>2408</v>
      </c>
      <c r="H871" s="395"/>
    </row>
    <row r="872" spans="1:8" ht="14.55" hidden="1" customHeight="1" x14ac:dyDescent="0.3">
      <c r="A872" s="262" t="s">
        <v>3151</v>
      </c>
      <c r="B872" s="262" t="s">
        <v>2370</v>
      </c>
      <c r="C872" s="262" t="s">
        <v>3079</v>
      </c>
      <c r="D872" s="262" t="s">
        <v>2702</v>
      </c>
      <c r="E872" s="263">
        <v>7</v>
      </c>
      <c r="F872" s="262" t="s">
        <v>2376</v>
      </c>
      <c r="G872" s="262" t="s">
        <v>2394</v>
      </c>
      <c r="H872" s="395"/>
    </row>
    <row r="873" spans="1:8" ht="14.55" hidden="1" customHeight="1" x14ac:dyDescent="0.3">
      <c r="A873" s="262" t="s">
        <v>3151</v>
      </c>
      <c r="B873" s="262" t="s">
        <v>2370</v>
      </c>
      <c r="C873" s="262" t="s">
        <v>3079</v>
      </c>
      <c r="D873" s="262" t="s">
        <v>3192</v>
      </c>
      <c r="E873" s="263">
        <v>7</v>
      </c>
      <c r="F873" s="262" t="s">
        <v>2373</v>
      </c>
      <c r="G873" s="262" t="s">
        <v>2392</v>
      </c>
      <c r="H873" s="395"/>
    </row>
    <row r="874" spans="1:8" ht="14.55" hidden="1" customHeight="1" x14ac:dyDescent="0.3">
      <c r="A874" s="262" t="s">
        <v>3151</v>
      </c>
      <c r="B874" s="262" t="s">
        <v>2370</v>
      </c>
      <c r="C874" s="262" t="s">
        <v>3079</v>
      </c>
      <c r="D874" s="262" t="s">
        <v>3193</v>
      </c>
      <c r="E874" s="263">
        <v>5</v>
      </c>
      <c r="F874" s="262" t="s">
        <v>2419</v>
      </c>
      <c r="G874" s="262" t="s">
        <v>2420</v>
      </c>
      <c r="H874" s="395"/>
    </row>
    <row r="875" spans="1:8" ht="14.55" hidden="1" customHeight="1" x14ac:dyDescent="0.3">
      <c r="A875" s="262" t="s">
        <v>3151</v>
      </c>
      <c r="B875" s="262" t="s">
        <v>2370</v>
      </c>
      <c r="C875" s="262" t="s">
        <v>3079</v>
      </c>
      <c r="D875" s="262" t="s">
        <v>2865</v>
      </c>
      <c r="E875" s="263">
        <v>5</v>
      </c>
      <c r="F875" s="262" t="s">
        <v>2389</v>
      </c>
      <c r="G875" s="262" t="s">
        <v>2428</v>
      </c>
      <c r="H875" s="395"/>
    </row>
    <row r="876" spans="1:8" ht="14.55" hidden="1" customHeight="1" x14ac:dyDescent="0.3">
      <c r="A876" s="262" t="s">
        <v>3151</v>
      </c>
      <c r="B876" s="262" t="s">
        <v>2370</v>
      </c>
      <c r="C876" s="262" t="s">
        <v>3079</v>
      </c>
      <c r="D876" s="262" t="s">
        <v>2530</v>
      </c>
      <c r="E876" s="263">
        <v>5</v>
      </c>
      <c r="F876" s="262" t="s">
        <v>2379</v>
      </c>
      <c r="G876" s="262" t="s">
        <v>2396</v>
      </c>
      <c r="H876" s="395"/>
    </row>
    <row r="877" spans="1:8" ht="14.55" hidden="1" customHeight="1" x14ac:dyDescent="0.3">
      <c r="A877" s="262" t="s">
        <v>3151</v>
      </c>
      <c r="B877" s="262" t="s">
        <v>2370</v>
      </c>
      <c r="C877" s="262" t="s">
        <v>3079</v>
      </c>
      <c r="D877" s="262" t="s">
        <v>3010</v>
      </c>
      <c r="E877" s="263">
        <v>7</v>
      </c>
      <c r="F877" s="262" t="s">
        <v>2373</v>
      </c>
      <c r="G877" s="262" t="s">
        <v>2596</v>
      </c>
      <c r="H877" s="395"/>
    </row>
    <row r="878" spans="1:8" ht="14.55" hidden="1" customHeight="1" x14ac:dyDescent="0.3">
      <c r="A878" s="262" t="s">
        <v>3151</v>
      </c>
      <c r="B878" s="262" t="s">
        <v>2370</v>
      </c>
      <c r="C878" s="262" t="s">
        <v>3079</v>
      </c>
      <c r="D878" s="262" t="s">
        <v>2986</v>
      </c>
      <c r="E878" s="263">
        <v>7</v>
      </c>
      <c r="F878" s="262" t="s">
        <v>2379</v>
      </c>
      <c r="G878" s="262" t="s">
        <v>2463</v>
      </c>
      <c r="H878" s="395"/>
    </row>
    <row r="879" spans="1:8" ht="14.55" hidden="1" customHeight="1" x14ac:dyDescent="0.3">
      <c r="A879" s="262" t="s">
        <v>3151</v>
      </c>
      <c r="B879" s="262" t="s">
        <v>2370</v>
      </c>
      <c r="C879" s="262" t="s">
        <v>3079</v>
      </c>
      <c r="D879" s="262" t="s">
        <v>3194</v>
      </c>
      <c r="E879" s="263">
        <v>5</v>
      </c>
      <c r="F879" s="262" t="s">
        <v>2419</v>
      </c>
      <c r="G879" s="262" t="s">
        <v>2480</v>
      </c>
      <c r="H879" s="395"/>
    </row>
    <row r="880" spans="1:8" ht="14.55" hidden="1" customHeight="1" x14ac:dyDescent="0.3">
      <c r="A880" s="262" t="s">
        <v>3151</v>
      </c>
      <c r="B880" s="262" t="s">
        <v>2370</v>
      </c>
      <c r="C880" s="262" t="s">
        <v>3079</v>
      </c>
      <c r="D880" s="262" t="s">
        <v>3195</v>
      </c>
      <c r="E880" s="263">
        <v>5</v>
      </c>
      <c r="F880" s="262" t="s">
        <v>2379</v>
      </c>
      <c r="G880" s="262" t="s">
        <v>2470</v>
      </c>
      <c r="H880" s="395"/>
    </row>
    <row r="881" spans="1:8" ht="14.55" hidden="1" customHeight="1" x14ac:dyDescent="0.3">
      <c r="A881" s="262" t="s">
        <v>3151</v>
      </c>
      <c r="B881" s="262" t="s">
        <v>2370</v>
      </c>
      <c r="C881" s="262" t="s">
        <v>3079</v>
      </c>
      <c r="D881" s="262" t="s">
        <v>2682</v>
      </c>
      <c r="E881" s="263">
        <v>7</v>
      </c>
      <c r="F881" s="262" t="s">
        <v>2419</v>
      </c>
      <c r="G881" s="262" t="s">
        <v>2432</v>
      </c>
      <c r="H881" s="395"/>
    </row>
    <row r="882" spans="1:8" ht="14.55" hidden="1" customHeight="1" x14ac:dyDescent="0.3">
      <c r="A882" s="262" t="s">
        <v>3151</v>
      </c>
      <c r="B882" s="262" t="s">
        <v>2370</v>
      </c>
      <c r="C882" s="262" t="s">
        <v>3079</v>
      </c>
      <c r="D882" s="262" t="s">
        <v>2546</v>
      </c>
      <c r="E882" s="263">
        <v>5</v>
      </c>
      <c r="F882" s="262" t="s">
        <v>2389</v>
      </c>
      <c r="G882" s="262" t="s">
        <v>2428</v>
      </c>
      <c r="H882" s="395"/>
    </row>
    <row r="883" spans="1:8" ht="14.55" hidden="1" customHeight="1" x14ac:dyDescent="0.3">
      <c r="A883" s="262" t="s">
        <v>3151</v>
      </c>
      <c r="B883" s="262" t="s">
        <v>2380</v>
      </c>
      <c r="C883" s="262" t="s">
        <v>3079</v>
      </c>
      <c r="D883" s="262" t="s">
        <v>3196</v>
      </c>
      <c r="E883" s="263">
        <v>7</v>
      </c>
      <c r="F883" s="262" t="s">
        <v>2379</v>
      </c>
      <c r="G883" s="262" t="s">
        <v>2396</v>
      </c>
      <c r="H883" s="395"/>
    </row>
    <row r="884" spans="1:8" ht="14.55" hidden="1" customHeight="1" x14ac:dyDescent="0.3">
      <c r="A884" s="262" t="s">
        <v>3151</v>
      </c>
      <c r="B884" s="262" t="s">
        <v>2370</v>
      </c>
      <c r="C884" s="262" t="s">
        <v>3079</v>
      </c>
      <c r="D884" s="262" t="s">
        <v>3197</v>
      </c>
      <c r="E884" s="263">
        <v>3</v>
      </c>
      <c r="F884" s="262" t="s">
        <v>2419</v>
      </c>
      <c r="G884" s="262" t="s">
        <v>2480</v>
      </c>
      <c r="H884" s="395"/>
    </row>
    <row r="885" spans="1:8" ht="14.55" hidden="1" customHeight="1" x14ac:dyDescent="0.3">
      <c r="A885" s="262" t="s">
        <v>3151</v>
      </c>
      <c r="B885" s="262" t="s">
        <v>2370</v>
      </c>
      <c r="C885" s="262" t="s">
        <v>3079</v>
      </c>
      <c r="D885" s="262" t="s">
        <v>3198</v>
      </c>
      <c r="E885" s="263">
        <v>7</v>
      </c>
      <c r="F885" s="262" t="s">
        <v>2419</v>
      </c>
      <c r="G885" s="262" t="s">
        <v>2420</v>
      </c>
      <c r="H885" s="395"/>
    </row>
    <row r="886" spans="1:8" ht="14.55" hidden="1" customHeight="1" x14ac:dyDescent="0.3">
      <c r="A886" s="262" t="s">
        <v>3151</v>
      </c>
      <c r="B886" s="262" t="s">
        <v>2370</v>
      </c>
      <c r="C886" s="262" t="s">
        <v>3079</v>
      </c>
      <c r="D886" s="262" t="s">
        <v>2764</v>
      </c>
      <c r="E886" s="263">
        <v>7</v>
      </c>
      <c r="F886" s="262" t="s">
        <v>2419</v>
      </c>
      <c r="G886" s="262" t="s">
        <v>2420</v>
      </c>
      <c r="H886" s="395"/>
    </row>
    <row r="887" spans="1:8" ht="14.55" hidden="1" customHeight="1" x14ac:dyDescent="0.3">
      <c r="A887" s="262" t="s">
        <v>3151</v>
      </c>
      <c r="B887" s="262" t="s">
        <v>2370</v>
      </c>
      <c r="C887" s="262" t="s">
        <v>3079</v>
      </c>
      <c r="D887" s="262" t="s">
        <v>3199</v>
      </c>
      <c r="E887" s="263">
        <v>5</v>
      </c>
      <c r="F887" s="262" t="s">
        <v>2379</v>
      </c>
      <c r="G887" s="262" t="s">
        <v>2470</v>
      </c>
      <c r="H887" s="395"/>
    </row>
    <row r="888" spans="1:8" ht="14.55" hidden="1" customHeight="1" x14ac:dyDescent="0.3">
      <c r="A888" s="262" t="s">
        <v>3151</v>
      </c>
      <c r="B888" s="262" t="s">
        <v>2370</v>
      </c>
      <c r="C888" s="262" t="s">
        <v>3079</v>
      </c>
      <c r="D888" s="262" t="s">
        <v>3200</v>
      </c>
      <c r="E888" s="263">
        <v>7</v>
      </c>
      <c r="F888" s="262" t="s">
        <v>2419</v>
      </c>
      <c r="G888" s="262" t="s">
        <v>2420</v>
      </c>
      <c r="H888" s="395"/>
    </row>
    <row r="889" spans="1:8" ht="14.55" hidden="1" customHeight="1" x14ac:dyDescent="0.3">
      <c r="A889" s="262" t="s">
        <v>3201</v>
      </c>
      <c r="B889" s="262" t="s">
        <v>2370</v>
      </c>
      <c r="C889" s="262" t="s">
        <v>3079</v>
      </c>
      <c r="D889" s="262" t="s">
        <v>3202</v>
      </c>
      <c r="E889" s="263">
        <v>3</v>
      </c>
      <c r="F889" s="262" t="s">
        <v>2389</v>
      </c>
      <c r="G889" s="262" t="s">
        <v>2428</v>
      </c>
      <c r="H889" s="395"/>
    </row>
    <row r="890" spans="1:8" ht="14.55" hidden="1" customHeight="1" x14ac:dyDescent="0.3">
      <c r="A890" s="262" t="s">
        <v>3201</v>
      </c>
      <c r="B890" s="262" t="s">
        <v>2370</v>
      </c>
      <c r="C890" s="262" t="s">
        <v>3079</v>
      </c>
      <c r="D890" s="262" t="s">
        <v>3203</v>
      </c>
      <c r="E890" s="263">
        <v>5</v>
      </c>
      <c r="F890" s="262" t="s">
        <v>2376</v>
      </c>
      <c r="G890" s="262" t="s">
        <v>2928</v>
      </c>
      <c r="H890" s="395"/>
    </row>
    <row r="891" spans="1:8" ht="14.55" hidden="1" customHeight="1" x14ac:dyDescent="0.3">
      <c r="A891" s="262" t="s">
        <v>3201</v>
      </c>
      <c r="B891" s="262" t="s">
        <v>2370</v>
      </c>
      <c r="C891" s="262" t="s">
        <v>3079</v>
      </c>
      <c r="D891" s="262" t="s">
        <v>2899</v>
      </c>
      <c r="E891" s="263">
        <v>5</v>
      </c>
      <c r="F891" s="262" t="s">
        <v>2379</v>
      </c>
      <c r="G891" s="262" t="s">
        <v>2396</v>
      </c>
      <c r="H891" s="395"/>
    </row>
    <row r="892" spans="1:8" ht="14.55" hidden="1" customHeight="1" x14ac:dyDescent="0.3">
      <c r="A892" s="262" t="s">
        <v>3201</v>
      </c>
      <c r="B892" s="262" t="s">
        <v>2380</v>
      </c>
      <c r="C892" s="262" t="s">
        <v>3079</v>
      </c>
      <c r="D892" s="262" t="s">
        <v>2607</v>
      </c>
      <c r="E892" s="263">
        <v>7</v>
      </c>
      <c r="F892" s="262" t="s">
        <v>2389</v>
      </c>
      <c r="G892" s="262" t="s">
        <v>2408</v>
      </c>
      <c r="H892" s="395"/>
    </row>
    <row r="893" spans="1:8" ht="14.55" hidden="1" customHeight="1" x14ac:dyDescent="0.3">
      <c r="A893" s="262" t="s">
        <v>3201</v>
      </c>
      <c r="B893" s="262" t="s">
        <v>2370</v>
      </c>
      <c r="C893" s="262" t="s">
        <v>3079</v>
      </c>
      <c r="D893" s="262" t="s">
        <v>3204</v>
      </c>
      <c r="E893" s="263">
        <v>3</v>
      </c>
      <c r="F893" s="262" t="s">
        <v>2389</v>
      </c>
      <c r="G893" s="262" t="s">
        <v>2428</v>
      </c>
      <c r="H893" s="395"/>
    </row>
    <row r="894" spans="1:8" ht="14.55" hidden="1" customHeight="1" x14ac:dyDescent="0.3">
      <c r="A894" s="262" t="s">
        <v>3201</v>
      </c>
      <c r="B894" s="262" t="s">
        <v>2370</v>
      </c>
      <c r="C894" s="262" t="s">
        <v>3079</v>
      </c>
      <c r="D894" s="262" t="s">
        <v>2697</v>
      </c>
      <c r="E894" s="263">
        <v>5</v>
      </c>
      <c r="F894" s="262" t="s">
        <v>2389</v>
      </c>
      <c r="G894" s="262" t="s">
        <v>2631</v>
      </c>
      <c r="H894" s="395"/>
    </row>
    <row r="895" spans="1:8" ht="14.55" hidden="1" customHeight="1" x14ac:dyDescent="0.3">
      <c r="A895" s="262" t="s">
        <v>3201</v>
      </c>
      <c r="B895" s="262" t="s">
        <v>2370</v>
      </c>
      <c r="C895" s="262" t="s">
        <v>3079</v>
      </c>
      <c r="D895" s="262" t="s">
        <v>2920</v>
      </c>
      <c r="E895" s="263">
        <v>5</v>
      </c>
      <c r="F895" s="262" t="s">
        <v>2389</v>
      </c>
      <c r="G895" s="262" t="s">
        <v>2408</v>
      </c>
      <c r="H895" s="395"/>
    </row>
    <row r="896" spans="1:8" ht="14.55" hidden="1" customHeight="1" x14ac:dyDescent="0.3">
      <c r="A896" s="262" t="s">
        <v>3201</v>
      </c>
      <c r="B896" s="262" t="s">
        <v>2370</v>
      </c>
      <c r="C896" s="262" t="s">
        <v>3079</v>
      </c>
      <c r="D896" s="262" t="s">
        <v>3205</v>
      </c>
      <c r="E896" s="263">
        <v>5</v>
      </c>
      <c r="F896" s="262" t="s">
        <v>2389</v>
      </c>
      <c r="G896" s="262" t="s">
        <v>2408</v>
      </c>
      <c r="H896" s="395"/>
    </row>
    <row r="897" spans="1:8" ht="14.55" hidden="1" customHeight="1" x14ac:dyDescent="0.3">
      <c r="A897" s="262" t="s">
        <v>3201</v>
      </c>
      <c r="B897" s="262" t="s">
        <v>2370</v>
      </c>
      <c r="C897" s="262" t="s">
        <v>3079</v>
      </c>
      <c r="D897" s="262" t="s">
        <v>2550</v>
      </c>
      <c r="E897" s="263">
        <v>7</v>
      </c>
      <c r="F897" s="262" t="s">
        <v>2373</v>
      </c>
      <c r="G897" s="262" t="s">
        <v>2621</v>
      </c>
      <c r="H897" s="395"/>
    </row>
    <row r="898" spans="1:8" ht="14.55" hidden="1" customHeight="1" x14ac:dyDescent="0.3">
      <c r="A898" s="262" t="s">
        <v>3201</v>
      </c>
      <c r="B898" s="262" t="s">
        <v>2370</v>
      </c>
      <c r="C898" s="262" t="s">
        <v>3079</v>
      </c>
      <c r="D898" s="262" t="s">
        <v>3206</v>
      </c>
      <c r="E898" s="263">
        <v>3</v>
      </c>
      <c r="F898" s="262" t="s">
        <v>2373</v>
      </c>
      <c r="G898" s="262" t="s">
        <v>2374</v>
      </c>
      <c r="H898" s="395"/>
    </row>
    <row r="899" spans="1:8" ht="14.55" hidden="1" customHeight="1" x14ac:dyDescent="0.3">
      <c r="A899" s="262" t="s">
        <v>3201</v>
      </c>
      <c r="B899" s="262" t="s">
        <v>2370</v>
      </c>
      <c r="C899" s="262" t="s">
        <v>3079</v>
      </c>
      <c r="D899" s="262" t="s">
        <v>2981</v>
      </c>
      <c r="E899" s="263">
        <v>5</v>
      </c>
      <c r="F899" s="262" t="s">
        <v>2389</v>
      </c>
      <c r="G899" s="262" t="s">
        <v>2428</v>
      </c>
      <c r="H899" s="395"/>
    </row>
    <row r="900" spans="1:8" ht="14.55" hidden="1" customHeight="1" x14ac:dyDescent="0.3">
      <c r="A900" s="262" t="s">
        <v>3201</v>
      </c>
      <c r="B900" s="262" t="s">
        <v>2370</v>
      </c>
      <c r="C900" s="262" t="s">
        <v>3079</v>
      </c>
      <c r="D900" s="262" t="s">
        <v>3207</v>
      </c>
      <c r="E900" s="263">
        <v>3</v>
      </c>
      <c r="F900" s="262" t="s">
        <v>2373</v>
      </c>
      <c r="G900" s="262" t="s">
        <v>3208</v>
      </c>
      <c r="H900" s="395"/>
    </row>
    <row r="901" spans="1:8" ht="14.55" hidden="1" customHeight="1" x14ac:dyDescent="0.3">
      <c r="A901" s="262" t="s">
        <v>3201</v>
      </c>
      <c r="B901" s="262" t="s">
        <v>2370</v>
      </c>
      <c r="C901" s="262" t="s">
        <v>3079</v>
      </c>
      <c r="D901" s="262" t="s">
        <v>3033</v>
      </c>
      <c r="E901" s="263">
        <v>7</v>
      </c>
      <c r="F901" s="262" t="s">
        <v>2373</v>
      </c>
      <c r="G901" s="262" t="s">
        <v>2374</v>
      </c>
      <c r="H901" s="395"/>
    </row>
    <row r="902" spans="1:8" ht="14.55" hidden="1" customHeight="1" x14ac:dyDescent="0.3">
      <c r="A902" s="262" t="s">
        <v>3201</v>
      </c>
      <c r="B902" s="262" t="s">
        <v>2370</v>
      </c>
      <c r="C902" s="262" t="s">
        <v>3079</v>
      </c>
      <c r="D902" s="262" t="s">
        <v>3209</v>
      </c>
      <c r="E902" s="263">
        <v>5</v>
      </c>
      <c r="F902" s="262" t="s">
        <v>2389</v>
      </c>
      <c r="G902" s="262" t="s">
        <v>2631</v>
      </c>
      <c r="H902" s="395"/>
    </row>
    <row r="903" spans="1:8" ht="14.55" hidden="1" customHeight="1" x14ac:dyDescent="0.3">
      <c r="A903" s="262" t="s">
        <v>3201</v>
      </c>
      <c r="B903" s="262" t="s">
        <v>2370</v>
      </c>
      <c r="C903" s="262" t="s">
        <v>3079</v>
      </c>
      <c r="D903" s="262" t="s">
        <v>3210</v>
      </c>
      <c r="E903" s="263">
        <v>7</v>
      </c>
      <c r="F903" s="262" t="s">
        <v>2389</v>
      </c>
      <c r="G903" s="262" t="s">
        <v>2428</v>
      </c>
      <c r="H903" s="395"/>
    </row>
    <row r="904" spans="1:8" ht="14.55" hidden="1" customHeight="1" x14ac:dyDescent="0.3">
      <c r="A904" s="262" t="s">
        <v>3201</v>
      </c>
      <c r="B904" s="262" t="s">
        <v>2370</v>
      </c>
      <c r="C904" s="262" t="s">
        <v>3079</v>
      </c>
      <c r="D904" s="262" t="s">
        <v>2869</v>
      </c>
      <c r="E904" s="263">
        <v>5</v>
      </c>
      <c r="F904" s="262" t="s">
        <v>2373</v>
      </c>
      <c r="G904" s="262" t="s">
        <v>2453</v>
      </c>
      <c r="H904" s="395"/>
    </row>
    <row r="905" spans="1:8" ht="14.55" hidden="1" customHeight="1" x14ac:dyDescent="0.3">
      <c r="A905" s="262" t="s">
        <v>3201</v>
      </c>
      <c r="B905" s="262" t="s">
        <v>2370</v>
      </c>
      <c r="C905" s="262" t="s">
        <v>3079</v>
      </c>
      <c r="D905" s="262" t="s">
        <v>3211</v>
      </c>
      <c r="E905" s="263">
        <v>3</v>
      </c>
      <c r="F905" s="262" t="s">
        <v>2389</v>
      </c>
      <c r="G905" s="262" t="s">
        <v>2408</v>
      </c>
      <c r="H905" s="395"/>
    </row>
    <row r="906" spans="1:8" ht="14.55" hidden="1" customHeight="1" x14ac:dyDescent="0.3">
      <c r="A906" s="262" t="s">
        <v>3201</v>
      </c>
      <c r="B906" s="262" t="s">
        <v>2370</v>
      </c>
      <c r="C906" s="262" t="s">
        <v>3079</v>
      </c>
      <c r="D906" s="262" t="s">
        <v>3212</v>
      </c>
      <c r="E906" s="263">
        <v>5</v>
      </c>
      <c r="F906" s="262" t="s">
        <v>2389</v>
      </c>
      <c r="G906" s="262" t="s">
        <v>2428</v>
      </c>
      <c r="H906" s="395"/>
    </row>
    <row r="907" spans="1:8" ht="14.55" hidden="1" customHeight="1" x14ac:dyDescent="0.3">
      <c r="A907" s="262" t="s">
        <v>3201</v>
      </c>
      <c r="B907" s="262" t="s">
        <v>2370</v>
      </c>
      <c r="C907" s="262" t="s">
        <v>3079</v>
      </c>
      <c r="D907" s="262" t="s">
        <v>3213</v>
      </c>
      <c r="E907" s="263">
        <v>5</v>
      </c>
      <c r="F907" s="262" t="s">
        <v>2376</v>
      </c>
      <c r="G907" s="262" t="s">
        <v>2451</v>
      </c>
      <c r="H907" s="395"/>
    </row>
    <row r="908" spans="1:8" ht="14.55" hidden="1" customHeight="1" x14ac:dyDescent="0.3">
      <c r="A908" s="262" t="s">
        <v>3201</v>
      </c>
      <c r="B908" s="262" t="s">
        <v>2370</v>
      </c>
      <c r="C908" s="262" t="s">
        <v>3079</v>
      </c>
      <c r="D908" s="262" t="s">
        <v>2845</v>
      </c>
      <c r="E908" s="263">
        <v>7</v>
      </c>
      <c r="F908" s="262" t="s">
        <v>2419</v>
      </c>
      <c r="G908" s="262" t="s">
        <v>2420</v>
      </c>
      <c r="H908" s="395"/>
    </row>
    <row r="909" spans="1:8" ht="14.55" hidden="1" customHeight="1" x14ac:dyDescent="0.3">
      <c r="A909" s="262" t="s">
        <v>3201</v>
      </c>
      <c r="B909" s="262" t="s">
        <v>2370</v>
      </c>
      <c r="C909" s="262" t="s">
        <v>3079</v>
      </c>
      <c r="D909" s="262" t="s">
        <v>2461</v>
      </c>
      <c r="E909" s="263">
        <v>7</v>
      </c>
      <c r="F909" s="262" t="s">
        <v>2376</v>
      </c>
      <c r="G909" s="262" t="s">
        <v>2394</v>
      </c>
      <c r="H909" s="395"/>
    </row>
    <row r="910" spans="1:8" ht="14.55" hidden="1" customHeight="1" x14ac:dyDescent="0.3">
      <c r="A910" s="262" t="s">
        <v>3201</v>
      </c>
      <c r="B910" s="262" t="s">
        <v>2370</v>
      </c>
      <c r="C910" s="262" t="s">
        <v>3079</v>
      </c>
      <c r="D910" s="262" t="s">
        <v>2705</v>
      </c>
      <c r="E910" s="263">
        <v>5</v>
      </c>
      <c r="F910" s="262" t="s">
        <v>2379</v>
      </c>
      <c r="G910" s="262" t="s">
        <v>2544</v>
      </c>
      <c r="H910" s="395"/>
    </row>
    <row r="911" spans="1:8" ht="14.55" hidden="1" customHeight="1" x14ac:dyDescent="0.3">
      <c r="A911" s="262" t="s">
        <v>3201</v>
      </c>
      <c r="B911" s="262" t="s">
        <v>2370</v>
      </c>
      <c r="C911" s="262" t="s">
        <v>3079</v>
      </c>
      <c r="D911" s="262" t="s">
        <v>2659</v>
      </c>
      <c r="E911" s="263">
        <v>3</v>
      </c>
      <c r="F911" s="262" t="s">
        <v>2419</v>
      </c>
      <c r="G911" s="262" t="s">
        <v>2480</v>
      </c>
      <c r="H911" s="395"/>
    </row>
    <row r="912" spans="1:8" ht="14.55" hidden="1" customHeight="1" x14ac:dyDescent="0.3">
      <c r="A912" s="262" t="s">
        <v>3201</v>
      </c>
      <c r="B912" s="262" t="s">
        <v>2370</v>
      </c>
      <c r="C912" s="262" t="s">
        <v>3079</v>
      </c>
      <c r="D912" s="262" t="s">
        <v>2755</v>
      </c>
      <c r="E912" s="263">
        <v>7</v>
      </c>
      <c r="F912" s="262" t="s">
        <v>2376</v>
      </c>
      <c r="G912" s="262" t="s">
        <v>3214</v>
      </c>
      <c r="H912" s="395"/>
    </row>
    <row r="913" spans="1:8" ht="14.55" hidden="1" customHeight="1" x14ac:dyDescent="0.3">
      <c r="A913" s="262" t="s">
        <v>3201</v>
      </c>
      <c r="B913" s="262" t="s">
        <v>2370</v>
      </c>
      <c r="C913" s="262" t="s">
        <v>3079</v>
      </c>
      <c r="D913" s="262" t="s">
        <v>2961</v>
      </c>
      <c r="E913" s="263">
        <v>7</v>
      </c>
      <c r="F913" s="262" t="s">
        <v>2379</v>
      </c>
      <c r="G913" s="262" t="s">
        <v>2396</v>
      </c>
      <c r="H913" s="395"/>
    </row>
    <row r="914" spans="1:8" ht="14.55" hidden="1" customHeight="1" x14ac:dyDescent="0.3">
      <c r="A914" s="262" t="s">
        <v>3201</v>
      </c>
      <c r="B914" s="262" t="s">
        <v>2370</v>
      </c>
      <c r="C914" s="262" t="s">
        <v>3079</v>
      </c>
      <c r="D914" s="262" t="s">
        <v>2876</v>
      </c>
      <c r="E914" s="263">
        <v>3</v>
      </c>
      <c r="F914" s="262" t="s">
        <v>2419</v>
      </c>
      <c r="G914" s="262" t="s">
        <v>2480</v>
      </c>
      <c r="H914" s="395"/>
    </row>
    <row r="915" spans="1:8" ht="14.55" hidden="1" customHeight="1" x14ac:dyDescent="0.3">
      <c r="A915" s="262" t="s">
        <v>3201</v>
      </c>
      <c r="B915" s="262" t="s">
        <v>2370</v>
      </c>
      <c r="C915" s="262" t="s">
        <v>3079</v>
      </c>
      <c r="D915" s="262" t="s">
        <v>3031</v>
      </c>
      <c r="E915" s="263">
        <v>7</v>
      </c>
      <c r="F915" s="262" t="s">
        <v>2373</v>
      </c>
      <c r="G915" s="262" t="s">
        <v>2374</v>
      </c>
      <c r="H915" s="395"/>
    </row>
    <row r="916" spans="1:8" ht="14.55" hidden="1" customHeight="1" x14ac:dyDescent="0.3">
      <c r="A916" s="262" t="s">
        <v>3201</v>
      </c>
      <c r="B916" s="262" t="s">
        <v>2370</v>
      </c>
      <c r="C916" s="262" t="s">
        <v>3079</v>
      </c>
      <c r="D916" s="262" t="s">
        <v>2564</v>
      </c>
      <c r="E916" s="263">
        <v>7</v>
      </c>
      <c r="F916" s="262" t="s">
        <v>2379</v>
      </c>
      <c r="G916" s="262" t="s">
        <v>10</v>
      </c>
      <c r="H916" s="395"/>
    </row>
    <row r="917" spans="1:8" ht="14.55" hidden="1" customHeight="1" x14ac:dyDescent="0.3">
      <c r="A917" s="262" t="s">
        <v>3201</v>
      </c>
      <c r="B917" s="262" t="s">
        <v>2380</v>
      </c>
      <c r="C917" s="262" t="s">
        <v>3079</v>
      </c>
      <c r="D917" s="262" t="s">
        <v>3051</v>
      </c>
      <c r="E917" s="263">
        <v>7</v>
      </c>
      <c r="F917" s="262" t="s">
        <v>2373</v>
      </c>
      <c r="G917" s="262" t="s">
        <v>2374</v>
      </c>
      <c r="H917" s="395"/>
    </row>
    <row r="918" spans="1:8" ht="14.55" hidden="1" customHeight="1" x14ac:dyDescent="0.3">
      <c r="A918" s="262" t="s">
        <v>3201</v>
      </c>
      <c r="B918" s="262" t="s">
        <v>2370</v>
      </c>
      <c r="C918" s="262" t="s">
        <v>3079</v>
      </c>
      <c r="D918" s="262" t="s">
        <v>3215</v>
      </c>
      <c r="E918" s="263">
        <v>3</v>
      </c>
      <c r="F918" s="262" t="s">
        <v>2389</v>
      </c>
      <c r="G918" s="262" t="s">
        <v>2800</v>
      </c>
      <c r="H918" s="395"/>
    </row>
    <row r="919" spans="1:8" ht="14.55" hidden="1" customHeight="1" x14ac:dyDescent="0.3">
      <c r="A919" s="262" t="s">
        <v>3201</v>
      </c>
      <c r="B919" s="262" t="s">
        <v>2370</v>
      </c>
      <c r="C919" s="262" t="s">
        <v>3079</v>
      </c>
      <c r="D919" s="262" t="s">
        <v>3216</v>
      </c>
      <c r="E919" s="263">
        <v>7</v>
      </c>
      <c r="F919" s="262" t="s">
        <v>2389</v>
      </c>
      <c r="G919" s="262" t="s">
        <v>2428</v>
      </c>
      <c r="H919" s="395"/>
    </row>
    <row r="920" spans="1:8" ht="14.55" hidden="1" customHeight="1" x14ac:dyDescent="0.3">
      <c r="A920" s="262" t="s">
        <v>3201</v>
      </c>
      <c r="B920" s="262" t="s">
        <v>2370</v>
      </c>
      <c r="C920" s="262" t="s">
        <v>3079</v>
      </c>
      <c r="D920" s="262" t="s">
        <v>2842</v>
      </c>
      <c r="E920" s="263">
        <v>5</v>
      </c>
      <c r="F920" s="262" t="s">
        <v>2373</v>
      </c>
      <c r="G920" s="262" t="s">
        <v>2453</v>
      </c>
      <c r="H920" s="395"/>
    </row>
    <row r="921" spans="1:8" ht="14.55" hidden="1" customHeight="1" x14ac:dyDescent="0.3">
      <c r="A921" s="262" t="s">
        <v>3201</v>
      </c>
      <c r="B921" s="262" t="s">
        <v>2370</v>
      </c>
      <c r="C921" s="262" t="s">
        <v>3079</v>
      </c>
      <c r="D921" s="262" t="s">
        <v>2828</v>
      </c>
      <c r="E921" s="263">
        <v>7</v>
      </c>
      <c r="F921" s="262" t="s">
        <v>2376</v>
      </c>
      <c r="G921" s="262" t="s">
        <v>2377</v>
      </c>
      <c r="H921" s="395"/>
    </row>
    <row r="922" spans="1:8" ht="14.55" hidden="1" customHeight="1" x14ac:dyDescent="0.3">
      <c r="A922" s="262" t="s">
        <v>3201</v>
      </c>
      <c r="B922" s="262" t="s">
        <v>2370</v>
      </c>
      <c r="C922" s="262" t="s">
        <v>3079</v>
      </c>
      <c r="D922" s="262" t="s">
        <v>3052</v>
      </c>
      <c r="E922" s="263">
        <v>7</v>
      </c>
      <c r="F922" s="262" t="s">
        <v>2379</v>
      </c>
      <c r="G922" s="262" t="s">
        <v>2396</v>
      </c>
      <c r="H922" s="395"/>
    </row>
    <row r="923" spans="1:8" ht="14.55" hidden="1" customHeight="1" x14ac:dyDescent="0.3">
      <c r="A923" s="262" t="s">
        <v>3201</v>
      </c>
      <c r="B923" s="262" t="s">
        <v>2370</v>
      </c>
      <c r="C923" s="262" t="s">
        <v>3079</v>
      </c>
      <c r="D923" s="262" t="s">
        <v>2687</v>
      </c>
      <c r="E923" s="263">
        <v>7</v>
      </c>
      <c r="F923" s="262" t="s">
        <v>2419</v>
      </c>
      <c r="G923" s="262" t="s">
        <v>2432</v>
      </c>
      <c r="H923" s="395"/>
    </row>
    <row r="924" spans="1:8" ht="14.55" hidden="1" customHeight="1" x14ac:dyDescent="0.3">
      <c r="A924" s="262" t="s">
        <v>3201</v>
      </c>
      <c r="B924" s="262" t="s">
        <v>2370</v>
      </c>
      <c r="C924" s="262" t="s">
        <v>3079</v>
      </c>
      <c r="D924" s="262" t="s">
        <v>3001</v>
      </c>
      <c r="E924" s="263">
        <v>5</v>
      </c>
      <c r="F924" s="262" t="s">
        <v>2373</v>
      </c>
      <c r="G924" s="262" t="s">
        <v>2392</v>
      </c>
      <c r="H924" s="395"/>
    </row>
    <row r="925" spans="1:8" ht="14.55" hidden="1" customHeight="1" x14ac:dyDescent="0.3">
      <c r="A925" s="262" t="s">
        <v>3201</v>
      </c>
      <c r="B925" s="262" t="s">
        <v>2370</v>
      </c>
      <c r="C925" s="262" t="s">
        <v>3079</v>
      </c>
      <c r="D925" s="262" t="s">
        <v>3217</v>
      </c>
      <c r="E925" s="263">
        <v>7</v>
      </c>
      <c r="F925" s="262" t="s">
        <v>2379</v>
      </c>
      <c r="G925" s="262" t="s">
        <v>2396</v>
      </c>
      <c r="H925" s="395"/>
    </row>
    <row r="926" spans="1:8" ht="14.55" hidden="1" customHeight="1" x14ac:dyDescent="0.3">
      <c r="A926" s="262" t="s">
        <v>3201</v>
      </c>
      <c r="B926" s="262" t="s">
        <v>2370</v>
      </c>
      <c r="C926" s="262" t="s">
        <v>3079</v>
      </c>
      <c r="D926" s="262" t="s">
        <v>3218</v>
      </c>
      <c r="E926" s="263">
        <v>7</v>
      </c>
      <c r="F926" s="262" t="s">
        <v>2376</v>
      </c>
      <c r="G926" s="262" t="s">
        <v>2377</v>
      </c>
      <c r="H926" s="395"/>
    </row>
    <row r="927" spans="1:8" ht="14.55" hidden="1" customHeight="1" x14ac:dyDescent="0.3">
      <c r="A927" s="262" t="s">
        <v>3201</v>
      </c>
      <c r="B927" s="262" t="s">
        <v>2370</v>
      </c>
      <c r="C927" s="262" t="s">
        <v>3079</v>
      </c>
      <c r="D927" s="262" t="s">
        <v>2444</v>
      </c>
      <c r="E927" s="263">
        <v>5</v>
      </c>
      <c r="F927" s="262" t="s">
        <v>2376</v>
      </c>
      <c r="G927" s="262" t="s">
        <v>2394</v>
      </c>
      <c r="H927" s="395"/>
    </row>
    <row r="928" spans="1:8" ht="14.55" hidden="1" customHeight="1" x14ac:dyDescent="0.3">
      <c r="A928" s="262" t="s">
        <v>3201</v>
      </c>
      <c r="B928" s="262" t="s">
        <v>2370</v>
      </c>
      <c r="C928" s="262" t="s">
        <v>3079</v>
      </c>
      <c r="D928" s="262" t="s">
        <v>2614</v>
      </c>
      <c r="E928" s="263">
        <v>7</v>
      </c>
      <c r="F928" s="262" t="s">
        <v>2379</v>
      </c>
      <c r="G928" s="262" t="s">
        <v>2396</v>
      </c>
      <c r="H928" s="395"/>
    </row>
    <row r="929" spans="1:8" ht="14.55" hidden="1" customHeight="1" x14ac:dyDescent="0.3">
      <c r="A929" s="262" t="s">
        <v>3201</v>
      </c>
      <c r="B929" s="262" t="s">
        <v>2370</v>
      </c>
      <c r="C929" s="262" t="s">
        <v>3079</v>
      </c>
      <c r="D929" s="262" t="s">
        <v>3068</v>
      </c>
      <c r="E929" s="263">
        <v>5</v>
      </c>
      <c r="F929" s="262" t="s">
        <v>2389</v>
      </c>
      <c r="G929" s="262" t="s">
        <v>2390</v>
      </c>
      <c r="H929" s="395"/>
    </row>
    <row r="930" spans="1:8" ht="14.55" hidden="1" customHeight="1" x14ac:dyDescent="0.3">
      <c r="A930" s="262" t="s">
        <v>3201</v>
      </c>
      <c r="B930" s="262" t="s">
        <v>2370</v>
      </c>
      <c r="C930" s="262" t="s">
        <v>3079</v>
      </c>
      <c r="D930" s="262" t="s">
        <v>3219</v>
      </c>
      <c r="E930" s="263">
        <v>5</v>
      </c>
      <c r="F930" s="262" t="s">
        <v>2373</v>
      </c>
      <c r="G930" s="262" t="s">
        <v>2392</v>
      </c>
      <c r="H930" s="395"/>
    </row>
    <row r="931" spans="1:8" ht="14.55" hidden="1" customHeight="1" x14ac:dyDescent="0.3">
      <c r="A931" s="262" t="s">
        <v>3201</v>
      </c>
      <c r="B931" s="262" t="s">
        <v>2370</v>
      </c>
      <c r="C931" s="262" t="s">
        <v>3079</v>
      </c>
      <c r="D931" s="262" t="s">
        <v>2930</v>
      </c>
      <c r="E931" s="263">
        <v>7</v>
      </c>
      <c r="F931" s="262" t="s">
        <v>2419</v>
      </c>
      <c r="G931" s="262" t="s">
        <v>3220</v>
      </c>
      <c r="H931" s="395"/>
    </row>
    <row r="932" spans="1:8" ht="14.55" hidden="1" customHeight="1" x14ac:dyDescent="0.3">
      <c r="A932" s="262" t="s">
        <v>3201</v>
      </c>
      <c r="B932" s="262" t="s">
        <v>2370</v>
      </c>
      <c r="C932" s="262" t="s">
        <v>3079</v>
      </c>
      <c r="D932" s="262" t="s">
        <v>3221</v>
      </c>
      <c r="E932" s="263">
        <v>5</v>
      </c>
      <c r="F932" s="262" t="s">
        <v>2419</v>
      </c>
      <c r="G932" s="262" t="s">
        <v>2432</v>
      </c>
      <c r="H932" s="395"/>
    </row>
    <row r="933" spans="1:8" ht="14.55" hidden="1" customHeight="1" x14ac:dyDescent="0.3">
      <c r="A933" s="262" t="s">
        <v>3201</v>
      </c>
      <c r="B933" s="262" t="s">
        <v>2370</v>
      </c>
      <c r="C933" s="262" t="s">
        <v>3079</v>
      </c>
      <c r="D933" s="262" t="s">
        <v>3222</v>
      </c>
      <c r="E933" s="263">
        <v>3</v>
      </c>
      <c r="F933" s="262" t="s">
        <v>2389</v>
      </c>
      <c r="G933" s="262" t="s">
        <v>2631</v>
      </c>
      <c r="H933" s="395"/>
    </row>
    <row r="934" spans="1:8" ht="14.55" hidden="1" customHeight="1" x14ac:dyDescent="0.3">
      <c r="A934" s="262" t="s">
        <v>3201</v>
      </c>
      <c r="B934" s="262" t="s">
        <v>2370</v>
      </c>
      <c r="C934" s="262" t="s">
        <v>3079</v>
      </c>
      <c r="D934" s="262" t="s">
        <v>2802</v>
      </c>
      <c r="E934" s="263">
        <v>5</v>
      </c>
      <c r="F934" s="262" t="s">
        <v>2373</v>
      </c>
      <c r="G934" s="262" t="s">
        <v>2453</v>
      </c>
      <c r="H934" s="395"/>
    </row>
    <row r="935" spans="1:8" ht="14.55" hidden="1" customHeight="1" x14ac:dyDescent="0.3">
      <c r="A935" s="262" t="s">
        <v>3201</v>
      </c>
      <c r="B935" s="262" t="s">
        <v>2370</v>
      </c>
      <c r="C935" s="262" t="s">
        <v>3079</v>
      </c>
      <c r="D935" s="262" t="s">
        <v>2554</v>
      </c>
      <c r="E935" s="263">
        <v>7</v>
      </c>
      <c r="F935" s="262" t="s">
        <v>2376</v>
      </c>
      <c r="G935" s="262" t="s">
        <v>3223</v>
      </c>
      <c r="H935" s="395"/>
    </row>
    <row r="936" spans="1:8" ht="14.55" hidden="1" customHeight="1" x14ac:dyDescent="0.3">
      <c r="A936" s="262" t="s">
        <v>3201</v>
      </c>
      <c r="B936" s="262" t="s">
        <v>2370</v>
      </c>
      <c r="C936" s="262" t="s">
        <v>3079</v>
      </c>
      <c r="D936" s="262" t="s">
        <v>2551</v>
      </c>
      <c r="E936" s="263">
        <v>5</v>
      </c>
      <c r="F936" s="262" t="s">
        <v>2379</v>
      </c>
      <c r="G936" s="262" t="s">
        <v>2396</v>
      </c>
      <c r="H936" s="395"/>
    </row>
    <row r="937" spans="1:8" ht="14.55" hidden="1" customHeight="1" x14ac:dyDescent="0.3">
      <c r="A937" s="262" t="s">
        <v>3224</v>
      </c>
      <c r="B937" s="262" t="s">
        <v>2370</v>
      </c>
      <c r="C937" s="262" t="s">
        <v>3079</v>
      </c>
      <c r="D937" s="262" t="s">
        <v>3225</v>
      </c>
      <c r="E937" s="263">
        <v>5</v>
      </c>
      <c r="F937" s="262" t="s">
        <v>2419</v>
      </c>
      <c r="G937" s="262" t="s">
        <v>2480</v>
      </c>
      <c r="H937" s="395"/>
    </row>
    <row r="938" spans="1:8" ht="14.55" hidden="1" customHeight="1" x14ac:dyDescent="0.3">
      <c r="A938" s="262" t="s">
        <v>3224</v>
      </c>
      <c r="B938" s="262" t="s">
        <v>2380</v>
      </c>
      <c r="C938" s="262" t="s">
        <v>3079</v>
      </c>
      <c r="D938" s="262" t="s">
        <v>3026</v>
      </c>
      <c r="E938" s="263">
        <v>7</v>
      </c>
      <c r="F938" s="262" t="s">
        <v>2373</v>
      </c>
      <c r="G938" s="262" t="s">
        <v>2374</v>
      </c>
      <c r="H938" s="395"/>
    </row>
    <row r="939" spans="1:8" ht="14.55" hidden="1" customHeight="1" x14ac:dyDescent="0.3">
      <c r="A939" s="262" t="s">
        <v>3224</v>
      </c>
      <c r="B939" s="262" t="s">
        <v>2370</v>
      </c>
      <c r="C939" s="262" t="s">
        <v>3079</v>
      </c>
      <c r="D939" s="262" t="s">
        <v>3226</v>
      </c>
      <c r="E939" s="263">
        <v>5</v>
      </c>
      <c r="F939" s="262" t="s">
        <v>2419</v>
      </c>
      <c r="G939" s="262" t="s">
        <v>2480</v>
      </c>
      <c r="H939" s="395"/>
    </row>
    <row r="940" spans="1:8" ht="14.55" hidden="1" customHeight="1" x14ac:dyDescent="0.3">
      <c r="A940" s="262" t="s">
        <v>3224</v>
      </c>
      <c r="B940" s="262" t="s">
        <v>2370</v>
      </c>
      <c r="C940" s="262" t="s">
        <v>3079</v>
      </c>
      <c r="D940" s="262" t="s">
        <v>3227</v>
      </c>
      <c r="E940" s="263">
        <v>5</v>
      </c>
      <c r="F940" s="262" t="s">
        <v>2419</v>
      </c>
      <c r="G940" s="262" t="s">
        <v>2480</v>
      </c>
      <c r="H940" s="395"/>
    </row>
    <row r="941" spans="1:8" ht="14.55" hidden="1" customHeight="1" x14ac:dyDescent="0.3">
      <c r="A941" s="262" t="s">
        <v>3224</v>
      </c>
      <c r="B941" s="262" t="s">
        <v>2370</v>
      </c>
      <c r="C941" s="262" t="s">
        <v>3079</v>
      </c>
      <c r="D941" s="262" t="s">
        <v>3228</v>
      </c>
      <c r="E941" s="263">
        <v>7</v>
      </c>
      <c r="F941" s="262" t="s">
        <v>2419</v>
      </c>
      <c r="G941" s="262" t="s">
        <v>2432</v>
      </c>
      <c r="H941" s="395"/>
    </row>
    <row r="942" spans="1:8" ht="14.55" hidden="1" customHeight="1" x14ac:dyDescent="0.3">
      <c r="A942" s="262" t="s">
        <v>3224</v>
      </c>
      <c r="B942" s="262" t="s">
        <v>2370</v>
      </c>
      <c r="C942" s="262" t="s">
        <v>3079</v>
      </c>
      <c r="D942" s="262" t="s">
        <v>2823</v>
      </c>
      <c r="E942" s="263">
        <v>3</v>
      </c>
      <c r="F942" s="262" t="s">
        <v>2419</v>
      </c>
      <c r="G942" s="262" t="s">
        <v>2480</v>
      </c>
      <c r="H942" s="395"/>
    </row>
    <row r="943" spans="1:8" ht="14.55" hidden="1" customHeight="1" x14ac:dyDescent="0.3">
      <c r="A943" s="262" t="s">
        <v>3224</v>
      </c>
      <c r="B943" s="262" t="s">
        <v>2370</v>
      </c>
      <c r="C943" s="262" t="s">
        <v>3079</v>
      </c>
      <c r="D943" s="262" t="s">
        <v>2508</v>
      </c>
      <c r="E943" s="263">
        <v>7</v>
      </c>
      <c r="F943" s="262" t="s">
        <v>2373</v>
      </c>
      <c r="G943" s="262" t="s">
        <v>2374</v>
      </c>
      <c r="H943" s="395"/>
    </row>
    <row r="944" spans="1:8" ht="14.55" hidden="1" customHeight="1" x14ac:dyDescent="0.3">
      <c r="A944" s="262" t="s">
        <v>3224</v>
      </c>
      <c r="B944" s="262" t="s">
        <v>2370</v>
      </c>
      <c r="C944" s="262" t="s">
        <v>3079</v>
      </c>
      <c r="D944" s="262" t="s">
        <v>3229</v>
      </c>
      <c r="E944" s="263">
        <v>5</v>
      </c>
      <c r="F944" s="262" t="s">
        <v>2419</v>
      </c>
      <c r="G944" s="262" t="s">
        <v>2480</v>
      </c>
      <c r="H944" s="395"/>
    </row>
    <row r="945" spans="1:8" ht="14.55" hidden="1" customHeight="1" x14ac:dyDescent="0.3">
      <c r="A945" s="262" t="s">
        <v>3224</v>
      </c>
      <c r="B945" s="262" t="s">
        <v>2370</v>
      </c>
      <c r="C945" s="262" t="s">
        <v>3079</v>
      </c>
      <c r="D945" s="262" t="s">
        <v>3230</v>
      </c>
      <c r="E945" s="263">
        <v>7</v>
      </c>
      <c r="F945" s="262" t="s">
        <v>2389</v>
      </c>
      <c r="G945" s="262" t="s">
        <v>2428</v>
      </c>
      <c r="H945" s="395"/>
    </row>
    <row r="946" spans="1:8" ht="14.55" hidden="1" customHeight="1" x14ac:dyDescent="0.3">
      <c r="A946" s="262" t="s">
        <v>3224</v>
      </c>
      <c r="B946" s="262" t="s">
        <v>2370</v>
      </c>
      <c r="C946" s="262" t="s">
        <v>3079</v>
      </c>
      <c r="D946" s="262" t="s">
        <v>3231</v>
      </c>
      <c r="E946" s="263">
        <v>7</v>
      </c>
      <c r="F946" s="262" t="s">
        <v>2376</v>
      </c>
      <c r="G946" s="262" t="s">
        <v>2394</v>
      </c>
      <c r="H946" s="395"/>
    </row>
    <row r="947" spans="1:8" ht="14.55" hidden="1" customHeight="1" x14ac:dyDescent="0.3">
      <c r="A947" s="262" t="s">
        <v>3224</v>
      </c>
      <c r="B947" s="262" t="s">
        <v>2380</v>
      </c>
      <c r="C947" s="262" t="s">
        <v>3079</v>
      </c>
      <c r="D947" s="262" t="s">
        <v>2780</v>
      </c>
      <c r="E947" s="263">
        <v>7</v>
      </c>
      <c r="F947" s="262" t="s">
        <v>2376</v>
      </c>
      <c r="G947" s="262" t="s">
        <v>2394</v>
      </c>
      <c r="H947" s="395"/>
    </row>
    <row r="948" spans="1:8" ht="14.55" hidden="1" customHeight="1" x14ac:dyDescent="0.3">
      <c r="A948" s="262" t="s">
        <v>3224</v>
      </c>
      <c r="B948" s="262" t="s">
        <v>2370</v>
      </c>
      <c r="C948" s="262" t="s">
        <v>3079</v>
      </c>
      <c r="D948" s="262" t="s">
        <v>3232</v>
      </c>
      <c r="E948" s="263">
        <v>7</v>
      </c>
      <c r="F948" s="262" t="s">
        <v>2373</v>
      </c>
      <c r="G948" s="262" t="s">
        <v>2392</v>
      </c>
      <c r="H948" s="395"/>
    </row>
    <row r="949" spans="1:8" ht="14.55" hidden="1" customHeight="1" x14ac:dyDescent="0.3">
      <c r="A949" s="262" t="s">
        <v>3224</v>
      </c>
      <c r="B949" s="262" t="s">
        <v>2370</v>
      </c>
      <c r="C949" s="262" t="s">
        <v>3079</v>
      </c>
      <c r="D949" s="262" t="s">
        <v>3028</v>
      </c>
      <c r="E949" s="263">
        <v>7</v>
      </c>
      <c r="F949" s="262" t="s">
        <v>2419</v>
      </c>
      <c r="G949" s="262" t="s">
        <v>2420</v>
      </c>
      <c r="H949" s="395"/>
    </row>
    <row r="950" spans="1:8" ht="14.55" hidden="1" customHeight="1" x14ac:dyDescent="0.3">
      <c r="A950" s="262" t="s">
        <v>3224</v>
      </c>
      <c r="B950" s="262" t="s">
        <v>2370</v>
      </c>
      <c r="C950" s="262" t="s">
        <v>3079</v>
      </c>
      <c r="D950" s="262" t="s">
        <v>2534</v>
      </c>
      <c r="E950" s="263">
        <v>5</v>
      </c>
      <c r="F950" s="262" t="s">
        <v>2419</v>
      </c>
      <c r="G950" s="262" t="s">
        <v>2420</v>
      </c>
      <c r="H950" s="395"/>
    </row>
    <row r="951" spans="1:8" ht="14.55" hidden="1" customHeight="1" x14ac:dyDescent="0.3">
      <c r="A951" s="262" t="s">
        <v>3224</v>
      </c>
      <c r="B951" s="262" t="s">
        <v>2370</v>
      </c>
      <c r="C951" s="262" t="s">
        <v>3079</v>
      </c>
      <c r="D951" s="262" t="s">
        <v>2774</v>
      </c>
      <c r="E951" s="263">
        <v>5</v>
      </c>
      <c r="F951" s="262" t="s">
        <v>2376</v>
      </c>
      <c r="G951" s="262" t="s">
        <v>2928</v>
      </c>
      <c r="H951" s="395"/>
    </row>
    <row r="952" spans="1:8" ht="14.55" hidden="1" customHeight="1" x14ac:dyDescent="0.3">
      <c r="A952" s="262" t="s">
        <v>3224</v>
      </c>
      <c r="B952" s="262" t="s">
        <v>2370</v>
      </c>
      <c r="C952" s="262" t="s">
        <v>3079</v>
      </c>
      <c r="D952" s="262" t="s">
        <v>3233</v>
      </c>
      <c r="E952" s="263">
        <v>7</v>
      </c>
      <c r="F952" s="262" t="s">
        <v>2389</v>
      </c>
      <c r="G952" s="262" t="s">
        <v>2408</v>
      </c>
      <c r="H952" s="395"/>
    </row>
    <row r="953" spans="1:8" ht="14.55" hidden="1" customHeight="1" x14ac:dyDescent="0.3">
      <c r="A953" s="262" t="s">
        <v>3224</v>
      </c>
      <c r="B953" s="262" t="s">
        <v>2370</v>
      </c>
      <c r="C953" s="262" t="s">
        <v>3079</v>
      </c>
      <c r="D953" s="262" t="s">
        <v>3234</v>
      </c>
      <c r="E953" s="263">
        <v>7</v>
      </c>
      <c r="F953" s="262" t="s">
        <v>2379</v>
      </c>
      <c r="G953" s="262" t="s">
        <v>2396</v>
      </c>
      <c r="H953" s="395"/>
    </row>
    <row r="954" spans="1:8" ht="14.55" hidden="1" customHeight="1" x14ac:dyDescent="0.3">
      <c r="A954" s="262" t="s">
        <v>3224</v>
      </c>
      <c r="B954" s="262" t="s">
        <v>2370</v>
      </c>
      <c r="C954" s="262" t="s">
        <v>3079</v>
      </c>
      <c r="D954" s="262" t="s">
        <v>2811</v>
      </c>
      <c r="E954" s="263">
        <v>7</v>
      </c>
      <c r="F954" s="262" t="s">
        <v>2376</v>
      </c>
      <c r="G954" s="262" t="s">
        <v>2377</v>
      </c>
      <c r="H954" s="395"/>
    </row>
    <row r="955" spans="1:8" ht="14.55" hidden="1" customHeight="1" x14ac:dyDescent="0.3">
      <c r="A955" s="262" t="s">
        <v>3224</v>
      </c>
      <c r="B955" s="262" t="s">
        <v>2370</v>
      </c>
      <c r="C955" s="262" t="s">
        <v>3079</v>
      </c>
      <c r="D955" s="262" t="s">
        <v>3029</v>
      </c>
      <c r="E955" s="263">
        <v>7</v>
      </c>
      <c r="F955" s="262" t="s">
        <v>2373</v>
      </c>
      <c r="G955" s="262" t="s">
        <v>2374</v>
      </c>
      <c r="H955" s="395"/>
    </row>
    <row r="956" spans="1:8" ht="14.55" hidden="1" customHeight="1" x14ac:dyDescent="0.3">
      <c r="A956" s="262" t="s">
        <v>3224</v>
      </c>
      <c r="B956" s="262" t="s">
        <v>2370</v>
      </c>
      <c r="C956" s="262" t="s">
        <v>3079</v>
      </c>
      <c r="D956" s="262" t="s">
        <v>3235</v>
      </c>
      <c r="E956" s="263">
        <v>7</v>
      </c>
      <c r="F956" s="262" t="s">
        <v>2379</v>
      </c>
      <c r="G956" s="262" t="s">
        <v>2544</v>
      </c>
      <c r="H956" s="395"/>
    </row>
    <row r="957" spans="1:8" ht="14.55" hidden="1" customHeight="1" x14ac:dyDescent="0.3">
      <c r="A957" s="262" t="s">
        <v>3224</v>
      </c>
      <c r="B957" s="262" t="s">
        <v>2370</v>
      </c>
      <c r="C957" s="262" t="s">
        <v>3079</v>
      </c>
      <c r="D957" s="262" t="s">
        <v>3236</v>
      </c>
      <c r="E957" s="263">
        <v>3</v>
      </c>
      <c r="F957" s="262" t="s">
        <v>2373</v>
      </c>
      <c r="G957" s="262" t="s">
        <v>2453</v>
      </c>
      <c r="H957" s="395"/>
    </row>
    <row r="958" spans="1:8" ht="14.55" hidden="1" customHeight="1" x14ac:dyDescent="0.3">
      <c r="A958" s="262" t="s">
        <v>3224</v>
      </c>
      <c r="B958" s="262" t="s">
        <v>2370</v>
      </c>
      <c r="C958" s="262" t="s">
        <v>3079</v>
      </c>
      <c r="D958" s="262" t="s">
        <v>2912</v>
      </c>
      <c r="E958" s="263">
        <v>7</v>
      </c>
      <c r="F958" s="262" t="s">
        <v>2376</v>
      </c>
      <c r="G958" s="262" t="s">
        <v>3237</v>
      </c>
      <c r="H958" s="395"/>
    </row>
    <row r="959" spans="1:8" ht="14.55" hidden="1" customHeight="1" x14ac:dyDescent="0.3">
      <c r="A959" s="262" t="s">
        <v>3224</v>
      </c>
      <c r="B959" s="262" t="s">
        <v>2370</v>
      </c>
      <c r="C959" s="262" t="s">
        <v>3079</v>
      </c>
      <c r="D959" s="262" t="s">
        <v>2693</v>
      </c>
      <c r="E959" s="263">
        <v>7</v>
      </c>
      <c r="F959" s="262" t="s">
        <v>2379</v>
      </c>
      <c r="G959" s="262" t="s">
        <v>2396</v>
      </c>
      <c r="H959" s="395"/>
    </row>
    <row r="960" spans="1:8" ht="14.55" hidden="1" customHeight="1" x14ac:dyDescent="0.3">
      <c r="A960" s="262" t="s">
        <v>3224</v>
      </c>
      <c r="B960" s="262" t="s">
        <v>2370</v>
      </c>
      <c r="C960" s="262" t="s">
        <v>3079</v>
      </c>
      <c r="D960" s="262" t="s">
        <v>3238</v>
      </c>
      <c r="E960" s="263">
        <v>5</v>
      </c>
      <c r="F960" s="262" t="s">
        <v>2373</v>
      </c>
      <c r="G960" s="262" t="s">
        <v>2392</v>
      </c>
      <c r="H960" s="395"/>
    </row>
    <row r="961" spans="1:8" ht="14.55" hidden="1" customHeight="1" x14ac:dyDescent="0.3">
      <c r="A961" s="262" t="s">
        <v>3224</v>
      </c>
      <c r="B961" s="262" t="s">
        <v>2370</v>
      </c>
      <c r="C961" s="262" t="s">
        <v>3079</v>
      </c>
      <c r="D961" s="262" t="s">
        <v>3239</v>
      </c>
      <c r="E961" s="263">
        <v>5</v>
      </c>
      <c r="F961" s="262" t="s">
        <v>2376</v>
      </c>
      <c r="G961" s="262" t="s">
        <v>2377</v>
      </c>
      <c r="H961" s="395"/>
    </row>
    <row r="962" spans="1:8" ht="14.55" hidden="1" customHeight="1" x14ac:dyDescent="0.3">
      <c r="A962" s="262" t="s">
        <v>3224</v>
      </c>
      <c r="B962" s="262" t="s">
        <v>2370</v>
      </c>
      <c r="C962" s="262" t="s">
        <v>3079</v>
      </c>
      <c r="D962" s="262" t="s">
        <v>3240</v>
      </c>
      <c r="E962" s="263">
        <v>7</v>
      </c>
      <c r="F962" s="262" t="s">
        <v>2379</v>
      </c>
      <c r="G962" s="262" t="s">
        <v>2396</v>
      </c>
      <c r="H962" s="395"/>
    </row>
    <row r="963" spans="1:8" ht="14.55" hidden="1" customHeight="1" x14ac:dyDescent="0.3">
      <c r="A963" s="262" t="s">
        <v>3224</v>
      </c>
      <c r="B963" s="262" t="s">
        <v>2370</v>
      </c>
      <c r="C963" s="262" t="s">
        <v>3079</v>
      </c>
      <c r="D963" s="262" t="s">
        <v>3241</v>
      </c>
      <c r="E963" s="263">
        <v>7</v>
      </c>
      <c r="F963" s="262" t="s">
        <v>2389</v>
      </c>
      <c r="G963" s="262" t="s">
        <v>2408</v>
      </c>
      <c r="H963" s="395"/>
    </row>
    <row r="964" spans="1:8" ht="14.55" hidden="1" customHeight="1" x14ac:dyDescent="0.3">
      <c r="A964" s="262" t="s">
        <v>3224</v>
      </c>
      <c r="B964" s="262" t="s">
        <v>2370</v>
      </c>
      <c r="C964" s="262" t="s">
        <v>3079</v>
      </c>
      <c r="D964" s="262" t="s">
        <v>2694</v>
      </c>
      <c r="E964" s="263">
        <v>7</v>
      </c>
      <c r="F964" s="262" t="s">
        <v>2419</v>
      </c>
      <c r="G964" s="262" t="s">
        <v>2488</v>
      </c>
      <c r="H964" s="395"/>
    </row>
    <row r="965" spans="1:8" ht="14.55" hidden="1" customHeight="1" x14ac:dyDescent="0.3">
      <c r="A965" s="262" t="s">
        <v>3224</v>
      </c>
      <c r="B965" s="262" t="s">
        <v>2380</v>
      </c>
      <c r="C965" s="262" t="s">
        <v>3079</v>
      </c>
      <c r="D965" s="262" t="s">
        <v>2835</v>
      </c>
      <c r="E965" s="263">
        <v>7</v>
      </c>
      <c r="F965" s="262" t="s">
        <v>2379</v>
      </c>
      <c r="G965" s="262" t="s">
        <v>3242</v>
      </c>
      <c r="H965" s="395"/>
    </row>
    <row r="966" spans="1:8" ht="14.55" hidden="1" customHeight="1" x14ac:dyDescent="0.3">
      <c r="A966" s="262" t="s">
        <v>3224</v>
      </c>
      <c r="B966" s="262" t="s">
        <v>2380</v>
      </c>
      <c r="C966" s="262" t="s">
        <v>3079</v>
      </c>
      <c r="D966" s="262" t="s">
        <v>2662</v>
      </c>
      <c r="E966" s="263">
        <v>7</v>
      </c>
      <c r="F966" s="262" t="s">
        <v>2373</v>
      </c>
      <c r="G966" s="262" t="s">
        <v>2374</v>
      </c>
      <c r="H966" s="395"/>
    </row>
    <row r="967" spans="1:8" ht="14.55" hidden="1" customHeight="1" x14ac:dyDescent="0.3">
      <c r="A967" s="262" t="s">
        <v>3224</v>
      </c>
      <c r="B967" s="262" t="s">
        <v>2370</v>
      </c>
      <c r="C967" s="262" t="s">
        <v>3079</v>
      </c>
      <c r="D967" s="262" t="s">
        <v>3243</v>
      </c>
      <c r="E967" s="263">
        <v>3</v>
      </c>
      <c r="F967" s="262" t="s">
        <v>2379</v>
      </c>
      <c r="G967" s="262" t="s">
        <v>2568</v>
      </c>
      <c r="H967" s="395"/>
    </row>
    <row r="968" spans="1:8" ht="14.55" hidden="1" customHeight="1" x14ac:dyDescent="0.3">
      <c r="A968" s="262" t="s">
        <v>3224</v>
      </c>
      <c r="B968" s="262" t="s">
        <v>2370</v>
      </c>
      <c r="C968" s="262" t="s">
        <v>3079</v>
      </c>
      <c r="D968" s="262" t="s">
        <v>3244</v>
      </c>
      <c r="E968" s="263">
        <v>3</v>
      </c>
      <c r="F968" s="262" t="s">
        <v>2389</v>
      </c>
      <c r="G968" s="262" t="s">
        <v>2631</v>
      </c>
      <c r="H968" s="395"/>
    </row>
    <row r="969" spans="1:8" ht="14.55" hidden="1" customHeight="1" x14ac:dyDescent="0.3">
      <c r="A969" s="262" t="s">
        <v>3224</v>
      </c>
      <c r="B969" s="262" t="s">
        <v>2370</v>
      </c>
      <c r="C969" s="262" t="s">
        <v>3079</v>
      </c>
      <c r="D969" s="262" t="s">
        <v>3245</v>
      </c>
      <c r="E969" s="263">
        <v>7</v>
      </c>
      <c r="F969" s="262" t="s">
        <v>2379</v>
      </c>
      <c r="G969" s="262" t="s">
        <v>3246</v>
      </c>
      <c r="H969" s="395"/>
    </row>
    <row r="970" spans="1:8" ht="14.55" hidden="1" customHeight="1" x14ac:dyDescent="0.3">
      <c r="A970" s="262" t="s">
        <v>3224</v>
      </c>
      <c r="B970" s="262" t="s">
        <v>2370</v>
      </c>
      <c r="C970" s="262" t="s">
        <v>3079</v>
      </c>
      <c r="D970" s="262" t="s">
        <v>2582</v>
      </c>
      <c r="E970" s="263">
        <v>5</v>
      </c>
      <c r="F970" s="262" t="s">
        <v>2419</v>
      </c>
      <c r="G970" s="262" t="s">
        <v>2480</v>
      </c>
      <c r="H970" s="395"/>
    </row>
    <row r="971" spans="1:8" ht="14.55" hidden="1" customHeight="1" x14ac:dyDescent="0.3">
      <c r="A971" s="262" t="s">
        <v>3224</v>
      </c>
      <c r="B971" s="262" t="s">
        <v>2370</v>
      </c>
      <c r="C971" s="262" t="s">
        <v>3079</v>
      </c>
      <c r="D971" s="262" t="s">
        <v>2911</v>
      </c>
      <c r="E971" s="263">
        <v>5</v>
      </c>
      <c r="F971" s="262" t="s">
        <v>2379</v>
      </c>
      <c r="G971" s="262" t="s">
        <v>2568</v>
      </c>
      <c r="H971" s="395"/>
    </row>
    <row r="972" spans="1:8" ht="14.55" hidden="1" customHeight="1" x14ac:dyDescent="0.3">
      <c r="A972" s="262" t="s">
        <v>3224</v>
      </c>
      <c r="B972" s="262" t="s">
        <v>2370</v>
      </c>
      <c r="C972" s="262" t="s">
        <v>3079</v>
      </c>
      <c r="D972" s="262" t="s">
        <v>2586</v>
      </c>
      <c r="E972" s="263">
        <v>7</v>
      </c>
      <c r="F972" s="262" t="s">
        <v>2379</v>
      </c>
      <c r="G972" s="262" t="s">
        <v>2463</v>
      </c>
      <c r="H972" s="395"/>
    </row>
    <row r="973" spans="1:8" ht="14.55" hidden="1" customHeight="1" x14ac:dyDescent="0.3">
      <c r="A973" s="262" t="s">
        <v>3224</v>
      </c>
      <c r="B973" s="262" t="s">
        <v>2370</v>
      </c>
      <c r="C973" s="262" t="s">
        <v>3079</v>
      </c>
      <c r="D973" s="262" t="s">
        <v>3247</v>
      </c>
      <c r="E973" s="263">
        <v>7</v>
      </c>
      <c r="F973" s="262" t="s">
        <v>2379</v>
      </c>
      <c r="G973" s="262" t="s">
        <v>2396</v>
      </c>
      <c r="H973" s="395"/>
    </row>
    <row r="974" spans="1:8" ht="14.55" hidden="1" customHeight="1" x14ac:dyDescent="0.3">
      <c r="A974" s="262" t="s">
        <v>3224</v>
      </c>
      <c r="B974" s="262" t="s">
        <v>2370</v>
      </c>
      <c r="C974" s="262" t="s">
        <v>3079</v>
      </c>
      <c r="D974" s="262" t="s">
        <v>2437</v>
      </c>
      <c r="E974" s="263">
        <v>7</v>
      </c>
      <c r="F974" s="262" t="s">
        <v>2373</v>
      </c>
      <c r="G974" s="262" t="s">
        <v>2723</v>
      </c>
      <c r="H974" s="395"/>
    </row>
    <row r="975" spans="1:8" ht="14.55" hidden="1" customHeight="1" x14ac:dyDescent="0.3">
      <c r="A975" s="262" t="s">
        <v>3248</v>
      </c>
      <c r="B975" s="262" t="s">
        <v>2380</v>
      </c>
      <c r="C975" s="262" t="s">
        <v>3079</v>
      </c>
      <c r="D975" s="262" t="s">
        <v>3249</v>
      </c>
      <c r="E975" s="263">
        <v>7</v>
      </c>
      <c r="F975" s="262" t="s">
        <v>2373</v>
      </c>
      <c r="G975" s="262" t="s">
        <v>2719</v>
      </c>
      <c r="H975" s="395"/>
    </row>
    <row r="976" spans="1:8" ht="14.55" hidden="1" customHeight="1" x14ac:dyDescent="0.3">
      <c r="A976" s="262" t="s">
        <v>3248</v>
      </c>
      <c r="B976" s="262" t="s">
        <v>2380</v>
      </c>
      <c r="C976" s="262" t="s">
        <v>3079</v>
      </c>
      <c r="D976" s="262" t="s">
        <v>2884</v>
      </c>
      <c r="E976" s="263">
        <v>7</v>
      </c>
      <c r="F976" s="262" t="s">
        <v>2419</v>
      </c>
      <c r="G976" s="262" t="s">
        <v>2420</v>
      </c>
      <c r="H976" s="395"/>
    </row>
    <row r="977" spans="1:8" x14ac:dyDescent="0.3">
      <c r="A977" s="264" t="s">
        <v>3248</v>
      </c>
      <c r="B977" s="264" t="s">
        <v>2370</v>
      </c>
      <c r="C977" s="264" t="s">
        <v>3079</v>
      </c>
      <c r="D977" s="264" t="s">
        <v>3057</v>
      </c>
      <c r="E977" s="265">
        <v>3</v>
      </c>
      <c r="F977" s="264" t="s">
        <v>2379</v>
      </c>
      <c r="G977" s="264" t="s">
        <v>2402</v>
      </c>
      <c r="H977" s="396"/>
    </row>
    <row r="978" spans="1:8" ht="14.55" hidden="1" customHeight="1" x14ac:dyDescent="0.3">
      <c r="A978" s="262" t="s">
        <v>3248</v>
      </c>
      <c r="B978" s="262" t="s">
        <v>2370</v>
      </c>
      <c r="C978" s="262" t="s">
        <v>3079</v>
      </c>
      <c r="D978" s="262" t="s">
        <v>3250</v>
      </c>
      <c r="E978" s="263">
        <v>3</v>
      </c>
      <c r="F978" s="262" t="s">
        <v>2379</v>
      </c>
      <c r="G978" s="262" t="s">
        <v>2568</v>
      </c>
      <c r="H978" s="395"/>
    </row>
    <row r="979" spans="1:8" ht="14.55" hidden="1" customHeight="1" x14ac:dyDescent="0.3">
      <c r="A979" s="262" t="s">
        <v>3248</v>
      </c>
      <c r="B979" s="262" t="s">
        <v>2380</v>
      </c>
      <c r="C979" s="262" t="s">
        <v>3079</v>
      </c>
      <c r="D979" s="262" t="s">
        <v>2459</v>
      </c>
      <c r="E979" s="263">
        <v>7</v>
      </c>
      <c r="F979" s="262" t="s">
        <v>2379</v>
      </c>
      <c r="G979" s="262" t="s">
        <v>2396</v>
      </c>
      <c r="H979" s="395"/>
    </row>
    <row r="980" spans="1:8" ht="14.55" hidden="1" customHeight="1" x14ac:dyDescent="0.3">
      <c r="A980" s="262" t="s">
        <v>3248</v>
      </c>
      <c r="B980" s="262" t="s">
        <v>2370</v>
      </c>
      <c r="C980" s="262" t="s">
        <v>3079</v>
      </c>
      <c r="D980" s="262" t="s">
        <v>2798</v>
      </c>
      <c r="E980" s="263">
        <v>3</v>
      </c>
      <c r="F980" s="262" t="s">
        <v>2376</v>
      </c>
      <c r="G980" s="262" t="s">
        <v>2377</v>
      </c>
      <c r="H980" s="395"/>
    </row>
    <row r="981" spans="1:8" ht="14.55" hidden="1" customHeight="1" x14ac:dyDescent="0.3">
      <c r="A981" s="262" t="s">
        <v>3248</v>
      </c>
      <c r="B981" s="262" t="s">
        <v>2370</v>
      </c>
      <c r="C981" s="262" t="s">
        <v>3079</v>
      </c>
      <c r="D981" s="262" t="s">
        <v>3025</v>
      </c>
      <c r="E981" s="263">
        <v>7</v>
      </c>
      <c r="F981" s="262" t="s">
        <v>2373</v>
      </c>
      <c r="G981" s="262" t="s">
        <v>2374</v>
      </c>
      <c r="H981" s="395"/>
    </row>
    <row r="982" spans="1:8" ht="14.55" hidden="1" customHeight="1" x14ac:dyDescent="0.3">
      <c r="A982" s="262" t="s">
        <v>3248</v>
      </c>
      <c r="B982" s="262" t="s">
        <v>2370</v>
      </c>
      <c r="C982" s="262" t="s">
        <v>3079</v>
      </c>
      <c r="D982" s="262" t="s">
        <v>3251</v>
      </c>
      <c r="E982" s="263">
        <v>7</v>
      </c>
      <c r="F982" s="262" t="s">
        <v>2389</v>
      </c>
      <c r="G982" s="262" t="s">
        <v>2408</v>
      </c>
      <c r="H982" s="395"/>
    </row>
    <row r="983" spans="1:8" ht="14.55" hidden="1" customHeight="1" x14ac:dyDescent="0.3">
      <c r="A983" s="262" t="s">
        <v>3248</v>
      </c>
      <c r="B983" s="262" t="s">
        <v>2370</v>
      </c>
      <c r="C983" s="262" t="s">
        <v>3079</v>
      </c>
      <c r="D983" s="262" t="s">
        <v>2827</v>
      </c>
      <c r="E983" s="263">
        <v>5</v>
      </c>
      <c r="F983" s="262" t="s">
        <v>2419</v>
      </c>
      <c r="G983" s="262" t="s">
        <v>3252</v>
      </c>
      <c r="H983" s="395"/>
    </row>
    <row r="984" spans="1:8" ht="14.55" hidden="1" customHeight="1" x14ac:dyDescent="0.3">
      <c r="A984" s="262" t="s">
        <v>3248</v>
      </c>
      <c r="B984" s="262" t="s">
        <v>2370</v>
      </c>
      <c r="C984" s="262" t="s">
        <v>3079</v>
      </c>
      <c r="D984" s="262" t="s">
        <v>3253</v>
      </c>
      <c r="E984" s="263">
        <v>5</v>
      </c>
      <c r="F984" s="262" t="s">
        <v>2389</v>
      </c>
      <c r="G984" s="262" t="s">
        <v>2390</v>
      </c>
      <c r="H984" s="395"/>
    </row>
    <row r="985" spans="1:8" ht="14.55" hidden="1" customHeight="1" x14ac:dyDescent="0.3">
      <c r="A985" s="262" t="s">
        <v>3248</v>
      </c>
      <c r="B985" s="262" t="s">
        <v>2370</v>
      </c>
      <c r="C985" s="262" t="s">
        <v>3079</v>
      </c>
      <c r="D985" s="262" t="s">
        <v>2898</v>
      </c>
      <c r="E985" s="263">
        <v>5</v>
      </c>
      <c r="F985" s="262" t="s">
        <v>2389</v>
      </c>
      <c r="G985" s="262" t="s">
        <v>2428</v>
      </c>
      <c r="H985" s="395"/>
    </row>
    <row r="986" spans="1:8" ht="14.55" hidden="1" customHeight="1" x14ac:dyDescent="0.3">
      <c r="A986" s="262" t="s">
        <v>3248</v>
      </c>
      <c r="B986" s="262" t="s">
        <v>2370</v>
      </c>
      <c r="C986" s="262" t="s">
        <v>3079</v>
      </c>
      <c r="D986" s="262" t="s">
        <v>3254</v>
      </c>
      <c r="E986" s="263">
        <v>3</v>
      </c>
      <c r="F986" s="262" t="s">
        <v>2389</v>
      </c>
      <c r="G986" s="262" t="s">
        <v>2428</v>
      </c>
      <c r="H986" s="395"/>
    </row>
    <row r="987" spans="1:8" ht="14.55" hidden="1" customHeight="1" x14ac:dyDescent="0.3">
      <c r="A987" s="262" t="s">
        <v>3248</v>
      </c>
      <c r="B987" s="262" t="s">
        <v>2370</v>
      </c>
      <c r="C987" s="262" t="s">
        <v>3079</v>
      </c>
      <c r="D987" s="262" t="s">
        <v>3255</v>
      </c>
      <c r="E987" s="263">
        <v>5</v>
      </c>
      <c r="F987" s="262" t="s">
        <v>2373</v>
      </c>
      <c r="G987" s="262" t="s">
        <v>3256</v>
      </c>
      <c r="H987" s="395"/>
    </row>
    <row r="988" spans="1:8" ht="14.55" hidden="1" customHeight="1" x14ac:dyDescent="0.3">
      <c r="A988" s="262" t="s">
        <v>3248</v>
      </c>
      <c r="B988" s="262" t="s">
        <v>2370</v>
      </c>
      <c r="C988" s="262" t="s">
        <v>3079</v>
      </c>
      <c r="D988" s="262" t="s">
        <v>2537</v>
      </c>
      <c r="E988" s="263">
        <v>7</v>
      </c>
      <c r="F988" s="262" t="s">
        <v>2376</v>
      </c>
      <c r="G988" s="262" t="s">
        <v>2377</v>
      </c>
      <c r="H988" s="395"/>
    </row>
    <row r="989" spans="1:8" ht="14.55" hidden="1" customHeight="1" x14ac:dyDescent="0.3">
      <c r="A989" s="262" t="s">
        <v>3248</v>
      </c>
      <c r="B989" s="262" t="s">
        <v>2370</v>
      </c>
      <c r="C989" s="262" t="s">
        <v>3079</v>
      </c>
      <c r="D989" s="262" t="s">
        <v>3064</v>
      </c>
      <c r="E989" s="263">
        <v>5</v>
      </c>
      <c r="F989" s="262" t="s">
        <v>2389</v>
      </c>
      <c r="G989" s="262" t="s">
        <v>2428</v>
      </c>
      <c r="H989" s="395"/>
    </row>
    <row r="990" spans="1:8" ht="14.55" hidden="1" customHeight="1" x14ac:dyDescent="0.3">
      <c r="A990" s="262" t="s">
        <v>3248</v>
      </c>
      <c r="B990" s="262" t="s">
        <v>2370</v>
      </c>
      <c r="C990" s="262" t="s">
        <v>3079</v>
      </c>
      <c r="D990" s="262" t="s">
        <v>2973</v>
      </c>
      <c r="E990" s="263">
        <v>7</v>
      </c>
      <c r="F990" s="262" t="s">
        <v>2419</v>
      </c>
      <c r="G990" s="262" t="s">
        <v>2420</v>
      </c>
      <c r="H990" s="395"/>
    </row>
    <row r="991" spans="1:8" ht="14.55" hidden="1" customHeight="1" x14ac:dyDescent="0.3">
      <c r="A991" s="262" t="s">
        <v>3248</v>
      </c>
      <c r="B991" s="262" t="s">
        <v>2370</v>
      </c>
      <c r="C991" s="262" t="s">
        <v>3079</v>
      </c>
      <c r="D991" s="262" t="s">
        <v>3257</v>
      </c>
      <c r="E991" s="263">
        <v>7</v>
      </c>
      <c r="F991" s="262" t="s">
        <v>2389</v>
      </c>
      <c r="G991" s="262" t="s">
        <v>2631</v>
      </c>
      <c r="H991" s="395"/>
    </row>
    <row r="992" spans="1:8" ht="14.55" hidden="1" customHeight="1" x14ac:dyDescent="0.3">
      <c r="A992" s="262" t="s">
        <v>3248</v>
      </c>
      <c r="B992" s="262" t="s">
        <v>2370</v>
      </c>
      <c r="C992" s="262" t="s">
        <v>3079</v>
      </c>
      <c r="D992" s="262" t="s">
        <v>2956</v>
      </c>
      <c r="E992" s="263">
        <v>7</v>
      </c>
      <c r="F992" s="262" t="s">
        <v>2379</v>
      </c>
      <c r="G992" s="262" t="s">
        <v>2383</v>
      </c>
      <c r="H992" s="395"/>
    </row>
    <row r="993" spans="1:8" ht="14.55" hidden="1" customHeight="1" x14ac:dyDescent="0.3">
      <c r="A993" s="262" t="s">
        <v>3248</v>
      </c>
      <c r="B993" s="262" t="s">
        <v>2370</v>
      </c>
      <c r="C993" s="262" t="s">
        <v>3079</v>
      </c>
      <c r="D993" s="262" t="s">
        <v>3258</v>
      </c>
      <c r="E993" s="263">
        <v>7</v>
      </c>
      <c r="F993" s="262" t="s">
        <v>2389</v>
      </c>
      <c r="G993" s="262" t="s">
        <v>2631</v>
      </c>
      <c r="H993" s="395"/>
    </row>
    <row r="994" spans="1:8" ht="14.55" hidden="1" customHeight="1" x14ac:dyDescent="0.3">
      <c r="A994" s="262" t="s">
        <v>3248</v>
      </c>
      <c r="B994" s="262" t="s">
        <v>2370</v>
      </c>
      <c r="C994" s="262" t="s">
        <v>3079</v>
      </c>
      <c r="D994" s="262" t="s">
        <v>3259</v>
      </c>
      <c r="E994" s="263">
        <v>7</v>
      </c>
      <c r="F994" s="262" t="s">
        <v>2389</v>
      </c>
      <c r="G994" s="262" t="s">
        <v>2428</v>
      </c>
      <c r="H994" s="395"/>
    </row>
    <row r="995" spans="1:8" ht="14.55" hidden="1" customHeight="1" x14ac:dyDescent="0.3">
      <c r="A995" s="262" t="s">
        <v>3248</v>
      </c>
      <c r="B995" s="262" t="s">
        <v>2370</v>
      </c>
      <c r="C995" s="262" t="s">
        <v>3079</v>
      </c>
      <c r="D995" s="262" t="s">
        <v>2866</v>
      </c>
      <c r="E995" s="263">
        <v>3</v>
      </c>
      <c r="F995" s="262" t="s">
        <v>2419</v>
      </c>
      <c r="G995" s="262" t="s">
        <v>2480</v>
      </c>
      <c r="H995" s="395"/>
    </row>
    <row r="996" spans="1:8" ht="14.55" hidden="1" customHeight="1" x14ac:dyDescent="0.3">
      <c r="A996" s="262" t="s">
        <v>3248</v>
      </c>
      <c r="B996" s="262" t="s">
        <v>2370</v>
      </c>
      <c r="C996" s="262" t="s">
        <v>3079</v>
      </c>
      <c r="D996" s="262" t="s">
        <v>3055</v>
      </c>
      <c r="E996" s="263">
        <v>7</v>
      </c>
      <c r="F996" s="262" t="s">
        <v>2389</v>
      </c>
      <c r="G996" s="262" t="s">
        <v>2408</v>
      </c>
      <c r="H996" s="395"/>
    </row>
    <row r="997" spans="1:8" ht="14.55" hidden="1" customHeight="1" x14ac:dyDescent="0.3">
      <c r="A997" s="262" t="s">
        <v>3248</v>
      </c>
      <c r="B997" s="262" t="s">
        <v>2370</v>
      </c>
      <c r="C997" s="262" t="s">
        <v>3079</v>
      </c>
      <c r="D997" s="262" t="s">
        <v>2647</v>
      </c>
      <c r="E997" s="263">
        <v>5</v>
      </c>
      <c r="F997" s="262" t="s">
        <v>2373</v>
      </c>
      <c r="G997" s="262" t="s">
        <v>2374</v>
      </c>
      <c r="H997" s="395"/>
    </row>
    <row r="998" spans="1:8" ht="14.55" hidden="1" customHeight="1" x14ac:dyDescent="0.3">
      <c r="A998" s="262" t="s">
        <v>3248</v>
      </c>
      <c r="B998" s="262" t="s">
        <v>2370</v>
      </c>
      <c r="C998" s="262" t="s">
        <v>3079</v>
      </c>
      <c r="D998" s="262" t="s">
        <v>2734</v>
      </c>
      <c r="E998" s="263">
        <v>7</v>
      </c>
      <c r="F998" s="262" t="s">
        <v>2379</v>
      </c>
      <c r="G998" s="262" t="s">
        <v>2463</v>
      </c>
      <c r="H998" s="395"/>
    </row>
    <row r="999" spans="1:8" ht="14.55" hidden="1" customHeight="1" x14ac:dyDescent="0.3">
      <c r="A999" s="262" t="s">
        <v>3248</v>
      </c>
      <c r="B999" s="262" t="s">
        <v>2370</v>
      </c>
      <c r="C999" s="262" t="s">
        <v>3079</v>
      </c>
      <c r="D999" s="262" t="s">
        <v>2867</v>
      </c>
      <c r="E999" s="263">
        <v>7</v>
      </c>
      <c r="F999" s="262" t="s">
        <v>2419</v>
      </c>
      <c r="G999" s="262" t="s">
        <v>2420</v>
      </c>
      <c r="H999" s="395"/>
    </row>
    <row r="1000" spans="1:8" ht="14.55" hidden="1" customHeight="1" x14ac:dyDescent="0.3">
      <c r="A1000" s="262" t="s">
        <v>3248</v>
      </c>
      <c r="B1000" s="262" t="s">
        <v>2370</v>
      </c>
      <c r="C1000" s="262" t="s">
        <v>3079</v>
      </c>
      <c r="D1000" s="262" t="s">
        <v>3260</v>
      </c>
      <c r="E1000" s="263">
        <v>7</v>
      </c>
      <c r="F1000" s="262" t="s">
        <v>2376</v>
      </c>
      <c r="G1000" s="262" t="s">
        <v>3261</v>
      </c>
      <c r="H1000" s="395"/>
    </row>
    <row r="1001" spans="1:8" ht="14.55" hidden="1" customHeight="1" x14ac:dyDescent="0.3">
      <c r="A1001" s="262" t="s">
        <v>3248</v>
      </c>
      <c r="B1001" s="262" t="s">
        <v>2370</v>
      </c>
      <c r="C1001" s="262" t="s">
        <v>3079</v>
      </c>
      <c r="D1001" s="262" t="s">
        <v>2908</v>
      </c>
      <c r="E1001" s="263">
        <v>7</v>
      </c>
      <c r="F1001" s="262" t="s">
        <v>2373</v>
      </c>
      <c r="G1001" s="262" t="s">
        <v>2374</v>
      </c>
      <c r="H1001" s="395"/>
    </row>
    <row r="1002" spans="1:8" ht="14.55" hidden="1" customHeight="1" x14ac:dyDescent="0.3">
      <c r="A1002" s="262" t="s">
        <v>3248</v>
      </c>
      <c r="B1002" s="262" t="s">
        <v>2370</v>
      </c>
      <c r="C1002" s="262" t="s">
        <v>3079</v>
      </c>
      <c r="D1002" s="262" t="s">
        <v>2892</v>
      </c>
      <c r="E1002" s="263">
        <v>5</v>
      </c>
      <c r="F1002" s="262" t="s">
        <v>2389</v>
      </c>
      <c r="G1002" s="262" t="s">
        <v>2428</v>
      </c>
      <c r="H1002" s="395"/>
    </row>
    <row r="1003" spans="1:8" ht="14.55" hidden="1" customHeight="1" x14ac:dyDescent="0.3">
      <c r="A1003" s="262" t="s">
        <v>3248</v>
      </c>
      <c r="B1003" s="262" t="s">
        <v>2380</v>
      </c>
      <c r="C1003" s="262" t="s">
        <v>3079</v>
      </c>
      <c r="D1003" s="262" t="s">
        <v>3007</v>
      </c>
      <c r="E1003" s="263">
        <v>7</v>
      </c>
      <c r="F1003" s="262" t="s">
        <v>2373</v>
      </c>
      <c r="G1003" s="262" t="s">
        <v>2374</v>
      </c>
      <c r="H1003" s="395"/>
    </row>
    <row r="1004" spans="1:8" ht="14.55" hidden="1" customHeight="1" x14ac:dyDescent="0.3">
      <c r="A1004" s="262" t="s">
        <v>3248</v>
      </c>
      <c r="B1004" s="262" t="s">
        <v>2370</v>
      </c>
      <c r="C1004" s="262" t="s">
        <v>3079</v>
      </c>
      <c r="D1004" s="262" t="s">
        <v>2949</v>
      </c>
      <c r="E1004" s="263">
        <v>5</v>
      </c>
      <c r="F1004" s="262" t="s">
        <v>2389</v>
      </c>
      <c r="G1004" s="262" t="s">
        <v>2428</v>
      </c>
      <c r="H1004" s="395"/>
    </row>
    <row r="1005" spans="1:8" ht="14.55" hidden="1" customHeight="1" x14ac:dyDescent="0.3">
      <c r="A1005" s="262" t="s">
        <v>3248</v>
      </c>
      <c r="B1005" s="262" t="s">
        <v>2370</v>
      </c>
      <c r="C1005" s="262" t="s">
        <v>3079</v>
      </c>
      <c r="D1005" s="262" t="s">
        <v>3262</v>
      </c>
      <c r="E1005" s="263">
        <v>5</v>
      </c>
      <c r="F1005" s="262" t="s">
        <v>2373</v>
      </c>
      <c r="G1005" s="262" t="s">
        <v>2392</v>
      </c>
      <c r="H1005" s="395"/>
    </row>
    <row r="1006" spans="1:8" ht="14.55" hidden="1" customHeight="1" x14ac:dyDescent="0.3">
      <c r="A1006" s="262" t="s">
        <v>3248</v>
      </c>
      <c r="B1006" s="262" t="s">
        <v>2370</v>
      </c>
      <c r="C1006" s="262" t="s">
        <v>3079</v>
      </c>
      <c r="D1006" s="262" t="s">
        <v>3263</v>
      </c>
      <c r="E1006" s="263">
        <v>7</v>
      </c>
      <c r="F1006" s="262" t="s">
        <v>2419</v>
      </c>
      <c r="G1006" s="262" t="s">
        <v>2488</v>
      </c>
      <c r="H1006" s="395"/>
    </row>
    <row r="1007" spans="1:8" ht="14.55" hidden="1" customHeight="1" x14ac:dyDescent="0.3">
      <c r="A1007" s="262" t="s">
        <v>3248</v>
      </c>
      <c r="B1007" s="262" t="s">
        <v>2370</v>
      </c>
      <c r="C1007" s="262" t="s">
        <v>3079</v>
      </c>
      <c r="D1007" s="262" t="s">
        <v>3264</v>
      </c>
      <c r="E1007" s="263">
        <v>7</v>
      </c>
      <c r="F1007" s="262" t="s">
        <v>2419</v>
      </c>
      <c r="G1007" s="262" t="s">
        <v>2488</v>
      </c>
      <c r="H1007" s="395"/>
    </row>
    <row r="1008" spans="1:8" ht="14.55" hidden="1" customHeight="1" x14ac:dyDescent="0.3">
      <c r="A1008" s="262" t="s">
        <v>3248</v>
      </c>
      <c r="B1008" s="262" t="s">
        <v>2370</v>
      </c>
      <c r="C1008" s="262" t="s">
        <v>3079</v>
      </c>
      <c r="D1008" s="262" t="s">
        <v>2558</v>
      </c>
      <c r="E1008" s="263">
        <v>7</v>
      </c>
      <c r="F1008" s="262" t="s">
        <v>2373</v>
      </c>
      <c r="G1008" s="262" t="s">
        <v>2374</v>
      </c>
      <c r="H1008" s="395"/>
    </row>
    <row r="1009" spans="1:8" ht="14.55" hidden="1" customHeight="1" x14ac:dyDescent="0.3">
      <c r="A1009" s="262" t="s">
        <v>3248</v>
      </c>
      <c r="B1009" s="262" t="s">
        <v>2370</v>
      </c>
      <c r="C1009" s="262" t="s">
        <v>3079</v>
      </c>
      <c r="D1009" s="262" t="s">
        <v>3265</v>
      </c>
      <c r="E1009" s="263">
        <v>5</v>
      </c>
      <c r="F1009" s="262" t="s">
        <v>2373</v>
      </c>
      <c r="G1009" s="262" t="s">
        <v>2453</v>
      </c>
      <c r="H1009" s="395"/>
    </row>
    <row r="1010" spans="1:8" ht="14.55" hidden="1" customHeight="1" x14ac:dyDescent="0.3">
      <c r="A1010" s="262" t="s">
        <v>3248</v>
      </c>
      <c r="B1010" s="262" t="s">
        <v>2370</v>
      </c>
      <c r="C1010" s="262" t="s">
        <v>3079</v>
      </c>
      <c r="D1010" s="262" t="s">
        <v>2515</v>
      </c>
      <c r="E1010" s="263">
        <v>7</v>
      </c>
      <c r="F1010" s="262" t="s">
        <v>2419</v>
      </c>
      <c r="G1010" s="262" t="s">
        <v>2432</v>
      </c>
      <c r="H1010" s="395"/>
    </row>
    <row r="1011" spans="1:8" ht="14.55" hidden="1" customHeight="1" x14ac:dyDescent="0.3">
      <c r="A1011" s="262" t="s">
        <v>3248</v>
      </c>
      <c r="B1011" s="262" t="s">
        <v>2380</v>
      </c>
      <c r="C1011" s="262" t="s">
        <v>3079</v>
      </c>
      <c r="D1011" s="262" t="s">
        <v>3266</v>
      </c>
      <c r="E1011" s="263">
        <v>7</v>
      </c>
      <c r="F1011" s="262" t="s">
        <v>2379</v>
      </c>
      <c r="G1011" s="262" t="s">
        <v>2383</v>
      </c>
      <c r="H1011" s="395"/>
    </row>
    <row r="1012" spans="1:8" ht="14.55" hidden="1" customHeight="1" x14ac:dyDescent="0.3">
      <c r="A1012" s="262" t="s">
        <v>3248</v>
      </c>
      <c r="B1012" s="262" t="s">
        <v>2370</v>
      </c>
      <c r="C1012" s="262" t="s">
        <v>3079</v>
      </c>
      <c r="D1012" s="262" t="s">
        <v>2766</v>
      </c>
      <c r="E1012" s="263">
        <v>5</v>
      </c>
      <c r="F1012" s="262" t="s">
        <v>2419</v>
      </c>
      <c r="G1012" s="262" t="s">
        <v>2480</v>
      </c>
      <c r="H1012" s="395"/>
    </row>
    <row r="1013" spans="1:8" ht="14.55" hidden="1" customHeight="1" x14ac:dyDescent="0.3">
      <c r="A1013" s="262" t="s">
        <v>3248</v>
      </c>
      <c r="B1013" s="262" t="s">
        <v>2370</v>
      </c>
      <c r="C1013" s="262" t="s">
        <v>3079</v>
      </c>
      <c r="D1013" s="262" t="s">
        <v>2557</v>
      </c>
      <c r="E1013" s="263">
        <v>7</v>
      </c>
      <c r="F1013" s="262" t="s">
        <v>2419</v>
      </c>
      <c r="G1013" s="262" t="s">
        <v>2432</v>
      </c>
      <c r="H1013" s="395"/>
    </row>
    <row r="1014" spans="1:8" ht="14.55" hidden="1" customHeight="1" x14ac:dyDescent="0.3">
      <c r="A1014" s="262" t="s">
        <v>3248</v>
      </c>
      <c r="B1014" s="262" t="s">
        <v>2380</v>
      </c>
      <c r="C1014" s="262" t="s">
        <v>3079</v>
      </c>
      <c r="D1014" s="262" t="s">
        <v>3267</v>
      </c>
      <c r="E1014" s="263">
        <v>9</v>
      </c>
      <c r="F1014" s="262" t="s">
        <v>2373</v>
      </c>
      <c r="G1014" s="262" t="s">
        <v>2392</v>
      </c>
      <c r="H1014" s="395"/>
    </row>
    <row r="1015" spans="1:8" x14ac:dyDescent="0.3">
      <c r="A1015" s="264" t="s">
        <v>3248</v>
      </c>
      <c r="B1015" s="264" t="s">
        <v>2370</v>
      </c>
      <c r="C1015" s="264" t="s">
        <v>3079</v>
      </c>
      <c r="D1015" s="264" t="s">
        <v>3268</v>
      </c>
      <c r="E1015" s="265">
        <v>3</v>
      </c>
      <c r="F1015" s="264" t="s">
        <v>2379</v>
      </c>
      <c r="G1015" s="264" t="s">
        <v>2402</v>
      </c>
      <c r="H1015" s="396"/>
    </row>
    <row r="1016" spans="1:8" ht="14.55" hidden="1" customHeight="1" x14ac:dyDescent="0.3">
      <c r="A1016" s="262" t="s">
        <v>3248</v>
      </c>
      <c r="B1016" s="262" t="s">
        <v>2370</v>
      </c>
      <c r="C1016" s="262" t="s">
        <v>3079</v>
      </c>
      <c r="D1016" s="262" t="s">
        <v>3013</v>
      </c>
      <c r="E1016" s="263">
        <v>7</v>
      </c>
      <c r="F1016" s="262" t="s">
        <v>2419</v>
      </c>
      <c r="G1016" s="262" t="s">
        <v>2432</v>
      </c>
      <c r="H1016" s="395"/>
    </row>
    <row r="1017" spans="1:8" ht="14.55" hidden="1" customHeight="1" x14ac:dyDescent="0.3">
      <c r="A1017" s="262" t="s">
        <v>3269</v>
      </c>
      <c r="B1017" s="262" t="s">
        <v>2370</v>
      </c>
      <c r="C1017" s="262" t="s">
        <v>3079</v>
      </c>
      <c r="D1017" s="262" t="s">
        <v>2483</v>
      </c>
      <c r="E1017" s="263">
        <v>5</v>
      </c>
      <c r="F1017" s="262" t="s">
        <v>2379</v>
      </c>
      <c r="G1017" s="262" t="s">
        <v>2383</v>
      </c>
      <c r="H1017" s="395"/>
    </row>
    <row r="1018" spans="1:8" ht="14.55" hidden="1" customHeight="1" x14ac:dyDescent="0.3">
      <c r="A1018" s="262" t="s">
        <v>3269</v>
      </c>
      <c r="B1018" s="262" t="s">
        <v>2370</v>
      </c>
      <c r="C1018" s="262" t="s">
        <v>3079</v>
      </c>
      <c r="D1018" s="262" t="s">
        <v>3012</v>
      </c>
      <c r="E1018" s="263">
        <v>5</v>
      </c>
      <c r="F1018" s="262" t="s">
        <v>2373</v>
      </c>
      <c r="G1018" s="262" t="s">
        <v>2449</v>
      </c>
      <c r="H1018" s="395"/>
    </row>
    <row r="1019" spans="1:8" ht="14.55" hidden="1" customHeight="1" x14ac:dyDescent="0.3">
      <c r="A1019" s="262" t="s">
        <v>3269</v>
      </c>
      <c r="B1019" s="262" t="s">
        <v>2370</v>
      </c>
      <c r="C1019" s="262" t="s">
        <v>3079</v>
      </c>
      <c r="D1019" s="262" t="s">
        <v>3270</v>
      </c>
      <c r="E1019" s="263">
        <v>5</v>
      </c>
      <c r="F1019" s="262" t="s">
        <v>2389</v>
      </c>
      <c r="G1019" s="262" t="s">
        <v>2408</v>
      </c>
      <c r="H1019" s="395"/>
    </row>
    <row r="1020" spans="1:8" ht="14.55" hidden="1" customHeight="1" x14ac:dyDescent="0.3">
      <c r="A1020" s="262" t="s">
        <v>3269</v>
      </c>
      <c r="B1020" s="262" t="s">
        <v>2380</v>
      </c>
      <c r="C1020" s="262" t="s">
        <v>3079</v>
      </c>
      <c r="D1020" s="262" t="s">
        <v>3271</v>
      </c>
      <c r="E1020" s="263">
        <v>7</v>
      </c>
      <c r="F1020" s="262" t="s">
        <v>2379</v>
      </c>
      <c r="G1020" s="262" t="s">
        <v>2396</v>
      </c>
      <c r="H1020" s="395"/>
    </row>
    <row r="1021" spans="1:8" ht="14.55" hidden="1" customHeight="1" x14ac:dyDescent="0.3">
      <c r="A1021" s="262" t="s">
        <v>3269</v>
      </c>
      <c r="B1021" s="262" t="s">
        <v>2370</v>
      </c>
      <c r="C1021" s="262" t="s">
        <v>3079</v>
      </c>
      <c r="D1021" s="262" t="s">
        <v>2815</v>
      </c>
      <c r="E1021" s="263">
        <v>7</v>
      </c>
      <c r="F1021" s="262" t="s">
        <v>2373</v>
      </c>
      <c r="G1021" s="262" t="s">
        <v>2392</v>
      </c>
      <c r="H1021" s="395"/>
    </row>
    <row r="1022" spans="1:8" ht="14.55" hidden="1" customHeight="1" x14ac:dyDescent="0.3">
      <c r="A1022" s="262" t="s">
        <v>3269</v>
      </c>
      <c r="B1022" s="262" t="s">
        <v>2370</v>
      </c>
      <c r="C1022" s="262" t="s">
        <v>3079</v>
      </c>
      <c r="D1022" s="262" t="s">
        <v>2506</v>
      </c>
      <c r="E1022" s="263">
        <v>5</v>
      </c>
      <c r="F1022" s="262" t="s">
        <v>2419</v>
      </c>
      <c r="G1022" s="262" t="s">
        <v>2605</v>
      </c>
      <c r="H1022" s="395"/>
    </row>
    <row r="1023" spans="1:8" ht="14.55" hidden="1" customHeight="1" x14ac:dyDescent="0.3">
      <c r="A1023" s="262" t="s">
        <v>3269</v>
      </c>
      <c r="B1023" s="262" t="s">
        <v>2380</v>
      </c>
      <c r="C1023" s="262" t="s">
        <v>3079</v>
      </c>
      <c r="D1023" s="262" t="s">
        <v>3272</v>
      </c>
      <c r="E1023" s="263">
        <v>7</v>
      </c>
      <c r="F1023" s="262" t="s">
        <v>2389</v>
      </c>
      <c r="G1023" s="262" t="s">
        <v>2408</v>
      </c>
      <c r="H1023" s="395"/>
    </row>
    <row r="1024" spans="1:8" ht="14.55" hidden="1" customHeight="1" x14ac:dyDescent="0.3">
      <c r="A1024" s="262" t="s">
        <v>3269</v>
      </c>
      <c r="B1024" s="262" t="s">
        <v>2370</v>
      </c>
      <c r="C1024" s="262" t="s">
        <v>3079</v>
      </c>
      <c r="D1024" s="262" t="s">
        <v>2613</v>
      </c>
      <c r="E1024" s="263">
        <v>3</v>
      </c>
      <c r="F1024" s="262" t="s">
        <v>2389</v>
      </c>
      <c r="G1024" s="262" t="s">
        <v>2428</v>
      </c>
      <c r="H1024" s="395"/>
    </row>
    <row r="1025" spans="1:8" ht="14.55" hidden="1" customHeight="1" x14ac:dyDescent="0.3">
      <c r="A1025" s="262" t="s">
        <v>3269</v>
      </c>
      <c r="B1025" s="262" t="s">
        <v>2370</v>
      </c>
      <c r="C1025" s="262" t="s">
        <v>3079</v>
      </c>
      <c r="D1025" s="262" t="s">
        <v>2789</v>
      </c>
      <c r="E1025" s="263">
        <v>7</v>
      </c>
      <c r="F1025" s="262" t="s">
        <v>2419</v>
      </c>
      <c r="G1025" s="262" t="s">
        <v>3273</v>
      </c>
      <c r="H1025" s="395"/>
    </row>
    <row r="1026" spans="1:8" ht="14.55" hidden="1" customHeight="1" x14ac:dyDescent="0.3">
      <c r="A1026" s="262" t="s">
        <v>3274</v>
      </c>
      <c r="B1026" s="262" t="s">
        <v>2370</v>
      </c>
      <c r="C1026" s="262" t="s">
        <v>3079</v>
      </c>
      <c r="D1026" s="262" t="s">
        <v>3275</v>
      </c>
      <c r="E1026" s="263">
        <v>3</v>
      </c>
      <c r="F1026" s="262" t="s">
        <v>2376</v>
      </c>
      <c r="G1026" s="262" t="s">
        <v>2406</v>
      </c>
      <c r="H1026" s="395"/>
    </row>
    <row r="1027" spans="1:8" ht="14.55" hidden="1" customHeight="1" x14ac:dyDescent="0.3">
      <c r="A1027" s="262" t="s">
        <v>3274</v>
      </c>
      <c r="B1027" s="262" t="s">
        <v>2370</v>
      </c>
      <c r="C1027" s="262" t="s">
        <v>3079</v>
      </c>
      <c r="D1027" s="262" t="s">
        <v>3276</v>
      </c>
      <c r="E1027" s="263">
        <v>7</v>
      </c>
      <c r="F1027" s="262" t="s">
        <v>2379</v>
      </c>
      <c r="G1027" s="262" t="s">
        <v>2396</v>
      </c>
      <c r="H1027" s="395"/>
    </row>
    <row r="1028" spans="1:8" ht="14.55" hidden="1" customHeight="1" x14ac:dyDescent="0.3">
      <c r="A1028" s="262" t="s">
        <v>3274</v>
      </c>
      <c r="B1028" s="262" t="s">
        <v>2370</v>
      </c>
      <c r="C1028" s="262" t="s">
        <v>3079</v>
      </c>
      <c r="D1028" s="262" t="s">
        <v>2587</v>
      </c>
      <c r="E1028" s="263">
        <v>7</v>
      </c>
      <c r="F1028" s="262" t="s">
        <v>2419</v>
      </c>
      <c r="G1028" s="262" t="s">
        <v>2488</v>
      </c>
      <c r="H1028" s="395"/>
    </row>
    <row r="1029" spans="1:8" ht="14.55" hidden="1" customHeight="1" x14ac:dyDescent="0.3">
      <c r="A1029" s="262" t="s">
        <v>3274</v>
      </c>
      <c r="B1029" s="262" t="s">
        <v>2370</v>
      </c>
      <c r="C1029" s="262" t="s">
        <v>3079</v>
      </c>
      <c r="D1029" s="262" t="s">
        <v>3277</v>
      </c>
      <c r="E1029" s="263">
        <v>7</v>
      </c>
      <c r="F1029" s="262" t="s">
        <v>2389</v>
      </c>
      <c r="G1029" s="262" t="s">
        <v>2408</v>
      </c>
      <c r="H1029" s="395"/>
    </row>
    <row r="1030" spans="1:8" ht="14.55" hidden="1" customHeight="1" x14ac:dyDescent="0.3">
      <c r="A1030" s="262" t="s">
        <v>3274</v>
      </c>
      <c r="B1030" s="262" t="s">
        <v>2370</v>
      </c>
      <c r="C1030" s="262" t="s">
        <v>3079</v>
      </c>
      <c r="D1030" s="262" t="s">
        <v>3278</v>
      </c>
      <c r="E1030" s="263">
        <v>7</v>
      </c>
      <c r="F1030" s="262" t="s">
        <v>2379</v>
      </c>
      <c r="G1030" s="262" t="s">
        <v>2383</v>
      </c>
      <c r="H1030" s="395"/>
    </row>
    <row r="1031" spans="1:8" ht="14.55" hidden="1" customHeight="1" x14ac:dyDescent="0.3">
      <c r="A1031" s="262" t="s">
        <v>3274</v>
      </c>
      <c r="B1031" s="262" t="s">
        <v>2370</v>
      </c>
      <c r="C1031" s="262" t="s">
        <v>3079</v>
      </c>
      <c r="D1031" s="262" t="s">
        <v>2572</v>
      </c>
      <c r="E1031" s="263">
        <v>7</v>
      </c>
      <c r="F1031" s="262" t="s">
        <v>2379</v>
      </c>
      <c r="G1031" s="262" t="s">
        <v>2470</v>
      </c>
      <c r="H1031" s="395"/>
    </row>
    <row r="1032" spans="1:8" ht="14.55" hidden="1" customHeight="1" x14ac:dyDescent="0.3">
      <c r="A1032" s="262" t="s">
        <v>3274</v>
      </c>
      <c r="B1032" s="262" t="s">
        <v>2370</v>
      </c>
      <c r="C1032" s="262" t="s">
        <v>3079</v>
      </c>
      <c r="D1032" s="262" t="s">
        <v>2900</v>
      </c>
      <c r="E1032" s="263">
        <v>3</v>
      </c>
      <c r="F1032" s="262" t="s">
        <v>2376</v>
      </c>
      <c r="G1032" s="262" t="s">
        <v>2377</v>
      </c>
      <c r="H1032" s="395"/>
    </row>
    <row r="1033" spans="1:8" ht="14.55" hidden="1" customHeight="1" x14ac:dyDescent="0.3">
      <c r="A1033" s="262" t="s">
        <v>3279</v>
      </c>
      <c r="B1033" s="262" t="s">
        <v>2370</v>
      </c>
      <c r="C1033" s="262" t="s">
        <v>3079</v>
      </c>
      <c r="D1033" s="262" t="s">
        <v>2623</v>
      </c>
      <c r="E1033" s="263">
        <v>7</v>
      </c>
      <c r="F1033" s="262" t="s">
        <v>2419</v>
      </c>
      <c r="G1033" s="262" t="s">
        <v>2432</v>
      </c>
      <c r="H1033" s="395"/>
    </row>
    <row r="1034" spans="1:8" ht="14.55" hidden="1" customHeight="1" x14ac:dyDescent="0.3">
      <c r="A1034" s="262" t="s">
        <v>3280</v>
      </c>
      <c r="B1034" s="262" t="s">
        <v>2380</v>
      </c>
      <c r="C1034" s="262" t="s">
        <v>3281</v>
      </c>
      <c r="D1034" s="262" t="s">
        <v>3282</v>
      </c>
      <c r="E1034" s="263">
        <v>8</v>
      </c>
      <c r="F1034" s="262" t="s">
        <v>2389</v>
      </c>
      <c r="G1034" s="262" t="s">
        <v>3283</v>
      </c>
      <c r="H1034" s="395"/>
    </row>
    <row r="1035" spans="1:8" ht="14.55" hidden="1" customHeight="1" x14ac:dyDescent="0.3">
      <c r="A1035" s="262" t="s">
        <v>3284</v>
      </c>
      <c r="B1035" s="262" t="s">
        <v>2370</v>
      </c>
      <c r="C1035" s="262" t="s">
        <v>3285</v>
      </c>
      <c r="D1035" s="262" t="s">
        <v>3286</v>
      </c>
      <c r="E1035" s="263">
        <v>4</v>
      </c>
      <c r="F1035" s="262" t="s">
        <v>2419</v>
      </c>
      <c r="G1035" s="262" t="s">
        <v>2700</v>
      </c>
      <c r="H1035" s="395"/>
    </row>
    <row r="1036" spans="1:8" ht="14.55" hidden="1" customHeight="1" x14ac:dyDescent="0.3">
      <c r="A1036" s="262" t="s">
        <v>3287</v>
      </c>
      <c r="B1036" s="262" t="s">
        <v>2370</v>
      </c>
      <c r="C1036" s="262" t="s">
        <v>3288</v>
      </c>
      <c r="D1036" s="262" t="s">
        <v>3289</v>
      </c>
      <c r="E1036" s="263">
        <v>8</v>
      </c>
      <c r="F1036" s="262" t="s">
        <v>2373</v>
      </c>
      <c r="G1036" s="262" t="s">
        <v>3022</v>
      </c>
      <c r="H1036" s="395"/>
    </row>
    <row r="1037" spans="1:8" ht="14.55" hidden="1" customHeight="1" x14ac:dyDescent="0.3">
      <c r="A1037" s="262" t="s">
        <v>3287</v>
      </c>
      <c r="B1037" s="262" t="s">
        <v>2380</v>
      </c>
      <c r="C1037" s="262" t="s">
        <v>3288</v>
      </c>
      <c r="D1037" s="262" t="s">
        <v>2711</v>
      </c>
      <c r="E1037" s="263">
        <v>4</v>
      </c>
      <c r="F1037" s="262" t="s">
        <v>2376</v>
      </c>
      <c r="G1037" s="262" t="s">
        <v>2394</v>
      </c>
      <c r="H1037" s="395"/>
    </row>
    <row r="1038" spans="1:8" ht="14.55" hidden="1" customHeight="1" x14ac:dyDescent="0.3">
      <c r="A1038" s="262" t="s">
        <v>3287</v>
      </c>
      <c r="B1038" s="262" t="s">
        <v>2380</v>
      </c>
      <c r="C1038" s="262" t="s">
        <v>3288</v>
      </c>
      <c r="D1038" s="262" t="s">
        <v>3290</v>
      </c>
      <c r="E1038" s="263">
        <v>8</v>
      </c>
      <c r="F1038" s="262" t="s">
        <v>2376</v>
      </c>
      <c r="G1038" s="262" t="s">
        <v>2406</v>
      </c>
      <c r="H1038" s="395"/>
    </row>
    <row r="1039" spans="1:8" ht="14.55" hidden="1" customHeight="1" x14ac:dyDescent="0.3">
      <c r="A1039" s="262" t="s">
        <v>3287</v>
      </c>
      <c r="B1039" s="262" t="s">
        <v>2370</v>
      </c>
      <c r="C1039" s="262" t="s">
        <v>3288</v>
      </c>
      <c r="D1039" s="262" t="s">
        <v>3291</v>
      </c>
      <c r="E1039" s="263">
        <v>8</v>
      </c>
      <c r="F1039" s="262" t="s">
        <v>2376</v>
      </c>
      <c r="G1039" s="262" t="s">
        <v>2406</v>
      </c>
      <c r="H1039" s="395"/>
    </row>
    <row r="1040" spans="1:8" ht="14.55" hidden="1" customHeight="1" x14ac:dyDescent="0.3">
      <c r="A1040" s="262" t="s">
        <v>3287</v>
      </c>
      <c r="B1040" s="262" t="s">
        <v>2380</v>
      </c>
      <c r="C1040" s="262" t="s">
        <v>3288</v>
      </c>
      <c r="D1040" s="262" t="s">
        <v>3292</v>
      </c>
      <c r="E1040" s="263">
        <v>8</v>
      </c>
      <c r="F1040" s="262" t="s">
        <v>2389</v>
      </c>
      <c r="G1040" s="262" t="s">
        <v>2428</v>
      </c>
      <c r="H1040" s="395"/>
    </row>
    <row r="1041" spans="1:8" ht="14.55" hidden="1" customHeight="1" x14ac:dyDescent="0.3">
      <c r="A1041" s="262" t="s">
        <v>3287</v>
      </c>
      <c r="B1041" s="262" t="s">
        <v>2370</v>
      </c>
      <c r="C1041" s="262" t="s">
        <v>3288</v>
      </c>
      <c r="D1041" s="262" t="s">
        <v>3293</v>
      </c>
      <c r="E1041" s="263">
        <v>4</v>
      </c>
      <c r="F1041" s="262" t="s">
        <v>2389</v>
      </c>
      <c r="G1041" s="262" t="s">
        <v>2428</v>
      </c>
      <c r="H1041" s="395"/>
    </row>
    <row r="1042" spans="1:8" ht="14.55" hidden="1" customHeight="1" x14ac:dyDescent="0.3">
      <c r="A1042" s="262" t="s">
        <v>3287</v>
      </c>
      <c r="B1042" s="262" t="s">
        <v>2370</v>
      </c>
      <c r="C1042" s="262" t="s">
        <v>3288</v>
      </c>
      <c r="D1042" s="262" t="s">
        <v>2687</v>
      </c>
      <c r="E1042" s="263">
        <v>4</v>
      </c>
      <c r="F1042" s="262" t="s">
        <v>2419</v>
      </c>
      <c r="G1042" s="262" t="s">
        <v>2432</v>
      </c>
      <c r="H1042" s="395"/>
    </row>
    <row r="1043" spans="1:8" ht="14.55" hidden="1" customHeight="1" x14ac:dyDescent="0.3">
      <c r="A1043" s="262" t="s">
        <v>3287</v>
      </c>
      <c r="B1043" s="262" t="s">
        <v>2370</v>
      </c>
      <c r="C1043" s="262" t="s">
        <v>3288</v>
      </c>
      <c r="D1043" s="262" t="s">
        <v>2997</v>
      </c>
      <c r="E1043" s="263">
        <v>4</v>
      </c>
      <c r="F1043" s="262" t="s">
        <v>2419</v>
      </c>
      <c r="G1043" s="262" t="s">
        <v>2432</v>
      </c>
      <c r="H1043" s="395"/>
    </row>
    <row r="1044" spans="1:8" ht="14.55" hidden="1" customHeight="1" x14ac:dyDescent="0.3">
      <c r="A1044" s="262" t="s">
        <v>3287</v>
      </c>
      <c r="B1044" s="262" t="s">
        <v>2370</v>
      </c>
      <c r="C1044" s="262" t="s">
        <v>3288</v>
      </c>
      <c r="D1044" s="262" t="s">
        <v>3294</v>
      </c>
      <c r="E1044" s="263">
        <v>4</v>
      </c>
      <c r="F1044" s="262" t="s">
        <v>2419</v>
      </c>
      <c r="G1044" s="262" t="s">
        <v>2432</v>
      </c>
      <c r="H1044" s="395"/>
    </row>
    <row r="1045" spans="1:8" ht="14.55" hidden="1" customHeight="1" x14ac:dyDescent="0.3">
      <c r="A1045" s="262" t="s">
        <v>3287</v>
      </c>
      <c r="B1045" s="262" t="s">
        <v>2370</v>
      </c>
      <c r="C1045" s="262" t="s">
        <v>3288</v>
      </c>
      <c r="D1045" s="262" t="s">
        <v>3295</v>
      </c>
      <c r="E1045" s="263">
        <v>8</v>
      </c>
      <c r="F1045" s="262" t="s">
        <v>2376</v>
      </c>
      <c r="G1045" s="262" t="s">
        <v>2406</v>
      </c>
      <c r="H1045" s="395"/>
    </row>
    <row r="1046" spans="1:8" ht="14.55" hidden="1" customHeight="1" x14ac:dyDescent="0.3">
      <c r="A1046" s="262" t="s">
        <v>3287</v>
      </c>
      <c r="B1046" s="262" t="s">
        <v>2380</v>
      </c>
      <c r="C1046" s="262" t="s">
        <v>3288</v>
      </c>
      <c r="D1046" s="262" t="s">
        <v>3296</v>
      </c>
      <c r="E1046" s="263">
        <v>6</v>
      </c>
      <c r="F1046" s="262" t="s">
        <v>2389</v>
      </c>
      <c r="G1046" s="262" t="s">
        <v>2428</v>
      </c>
      <c r="H1046" s="395"/>
    </row>
    <row r="1047" spans="1:8" ht="14.55" hidden="1" customHeight="1" x14ac:dyDescent="0.3">
      <c r="A1047" s="262" t="s">
        <v>3297</v>
      </c>
      <c r="B1047" s="262" t="s">
        <v>2370</v>
      </c>
      <c r="C1047" s="262" t="s">
        <v>3288</v>
      </c>
      <c r="D1047" s="262" t="s">
        <v>3298</v>
      </c>
      <c r="E1047" s="263">
        <v>6</v>
      </c>
      <c r="F1047" s="262" t="s">
        <v>2389</v>
      </c>
      <c r="G1047" s="262" t="s">
        <v>2428</v>
      </c>
      <c r="H1047" s="395"/>
    </row>
    <row r="1048" spans="1:8" ht="14.55" hidden="1" customHeight="1" x14ac:dyDescent="0.3">
      <c r="A1048" s="262" t="s">
        <v>3297</v>
      </c>
      <c r="B1048" s="262" t="s">
        <v>2370</v>
      </c>
      <c r="C1048" s="262" t="s">
        <v>3288</v>
      </c>
      <c r="D1048" s="262" t="s">
        <v>3299</v>
      </c>
      <c r="E1048" s="263">
        <v>6</v>
      </c>
      <c r="F1048" s="262" t="s">
        <v>2389</v>
      </c>
      <c r="G1048" s="262" t="s">
        <v>2428</v>
      </c>
      <c r="H1048" s="395"/>
    </row>
    <row r="1049" spans="1:8" ht="14.55" hidden="1" customHeight="1" x14ac:dyDescent="0.3">
      <c r="A1049" s="262" t="s">
        <v>3297</v>
      </c>
      <c r="B1049" s="262" t="s">
        <v>2370</v>
      </c>
      <c r="C1049" s="262" t="s">
        <v>3288</v>
      </c>
      <c r="D1049" s="262" t="s">
        <v>3300</v>
      </c>
      <c r="E1049" s="263">
        <v>8</v>
      </c>
      <c r="F1049" s="262" t="s">
        <v>2376</v>
      </c>
      <c r="G1049" s="262" t="s">
        <v>2416</v>
      </c>
      <c r="H1049" s="395"/>
    </row>
    <row r="1050" spans="1:8" ht="14.55" hidden="1" customHeight="1" x14ac:dyDescent="0.3">
      <c r="A1050" s="262" t="s">
        <v>3297</v>
      </c>
      <c r="B1050" s="262" t="s">
        <v>2370</v>
      </c>
      <c r="C1050" s="262" t="s">
        <v>3288</v>
      </c>
      <c r="D1050" s="262" t="s">
        <v>3301</v>
      </c>
      <c r="E1050" s="263">
        <v>6</v>
      </c>
      <c r="F1050" s="262" t="s">
        <v>2389</v>
      </c>
      <c r="G1050" s="262" t="s">
        <v>2408</v>
      </c>
      <c r="H1050" s="395"/>
    </row>
    <row r="1051" spans="1:8" ht="14.55" hidden="1" customHeight="1" x14ac:dyDescent="0.3">
      <c r="A1051" s="262" t="s">
        <v>3297</v>
      </c>
      <c r="B1051" s="262" t="s">
        <v>2370</v>
      </c>
      <c r="C1051" s="262" t="s">
        <v>3288</v>
      </c>
      <c r="D1051" s="262" t="s">
        <v>3302</v>
      </c>
      <c r="E1051" s="263">
        <v>8</v>
      </c>
      <c r="F1051" s="262" t="s">
        <v>2419</v>
      </c>
      <c r="G1051" s="262" t="s">
        <v>2420</v>
      </c>
      <c r="H1051" s="395"/>
    </row>
    <row r="1052" spans="1:8" ht="14.55" hidden="1" customHeight="1" x14ac:dyDescent="0.3">
      <c r="A1052" s="262" t="s">
        <v>3297</v>
      </c>
      <c r="B1052" s="262" t="s">
        <v>2380</v>
      </c>
      <c r="C1052" s="262" t="s">
        <v>3288</v>
      </c>
      <c r="D1052" s="262" t="s">
        <v>3303</v>
      </c>
      <c r="E1052" s="263">
        <v>6</v>
      </c>
      <c r="F1052" s="262" t="s">
        <v>2389</v>
      </c>
      <c r="G1052" s="262" t="s">
        <v>2408</v>
      </c>
      <c r="H1052" s="395"/>
    </row>
    <row r="1053" spans="1:8" ht="14.55" hidden="1" customHeight="1" x14ac:dyDescent="0.3">
      <c r="A1053" s="262" t="s">
        <v>3297</v>
      </c>
      <c r="B1053" s="262" t="s">
        <v>2370</v>
      </c>
      <c r="C1053" s="262" t="s">
        <v>3288</v>
      </c>
      <c r="D1053" s="262" t="s">
        <v>3304</v>
      </c>
      <c r="E1053" s="263">
        <v>6</v>
      </c>
      <c r="F1053" s="262" t="s">
        <v>2389</v>
      </c>
      <c r="G1053" s="262" t="s">
        <v>2428</v>
      </c>
      <c r="H1053" s="395"/>
    </row>
    <row r="1054" spans="1:8" ht="14.55" hidden="1" customHeight="1" x14ac:dyDescent="0.3">
      <c r="A1054" s="262" t="s">
        <v>3297</v>
      </c>
      <c r="B1054" s="262" t="s">
        <v>2370</v>
      </c>
      <c r="C1054" s="262" t="s">
        <v>3288</v>
      </c>
      <c r="D1054" s="262" t="s">
        <v>3305</v>
      </c>
      <c r="E1054" s="263">
        <v>6</v>
      </c>
      <c r="F1054" s="262" t="s">
        <v>2419</v>
      </c>
      <c r="G1054" s="262" t="s">
        <v>2420</v>
      </c>
      <c r="H1054" s="395"/>
    </row>
    <row r="1055" spans="1:8" ht="14.55" hidden="1" customHeight="1" x14ac:dyDescent="0.3">
      <c r="A1055" s="262" t="s">
        <v>3297</v>
      </c>
      <c r="B1055" s="262" t="s">
        <v>2370</v>
      </c>
      <c r="C1055" s="262" t="s">
        <v>3288</v>
      </c>
      <c r="D1055" s="262" t="s">
        <v>3178</v>
      </c>
      <c r="E1055" s="263">
        <v>4</v>
      </c>
      <c r="F1055" s="262" t="s">
        <v>2419</v>
      </c>
      <c r="G1055" s="262" t="s">
        <v>2420</v>
      </c>
      <c r="H1055" s="395"/>
    </row>
    <row r="1056" spans="1:8" ht="14.55" hidden="1" customHeight="1" x14ac:dyDescent="0.3">
      <c r="A1056" s="262" t="s">
        <v>3297</v>
      </c>
      <c r="B1056" s="262" t="s">
        <v>2380</v>
      </c>
      <c r="C1056" s="262" t="s">
        <v>3288</v>
      </c>
      <c r="D1056" s="262" t="s">
        <v>2960</v>
      </c>
      <c r="E1056" s="263">
        <v>4</v>
      </c>
      <c r="F1056" s="262" t="s">
        <v>2373</v>
      </c>
      <c r="G1056" s="262" t="s">
        <v>2374</v>
      </c>
      <c r="H1056" s="395"/>
    </row>
    <row r="1057" spans="1:8" ht="14.55" hidden="1" customHeight="1" x14ac:dyDescent="0.3">
      <c r="A1057" s="262" t="s">
        <v>3297</v>
      </c>
      <c r="B1057" s="262" t="s">
        <v>2380</v>
      </c>
      <c r="C1057" s="262" t="s">
        <v>3288</v>
      </c>
      <c r="D1057" s="262" t="s">
        <v>3306</v>
      </c>
      <c r="E1057" s="263">
        <v>4</v>
      </c>
      <c r="F1057" s="262" t="s">
        <v>2419</v>
      </c>
      <c r="G1057" s="262" t="s">
        <v>3038</v>
      </c>
      <c r="H1057" s="395"/>
    </row>
    <row r="1058" spans="1:8" ht="14.55" hidden="1" customHeight="1" x14ac:dyDescent="0.3">
      <c r="A1058" s="262" t="s">
        <v>3297</v>
      </c>
      <c r="B1058" s="262" t="s">
        <v>2370</v>
      </c>
      <c r="C1058" s="262" t="s">
        <v>3288</v>
      </c>
      <c r="D1058" s="262" t="s">
        <v>3307</v>
      </c>
      <c r="E1058" s="263">
        <v>6</v>
      </c>
      <c r="F1058" s="262" t="s">
        <v>2389</v>
      </c>
      <c r="G1058" s="262" t="s">
        <v>2408</v>
      </c>
      <c r="H1058" s="395"/>
    </row>
    <row r="1059" spans="1:8" ht="14.55" hidden="1" customHeight="1" x14ac:dyDescent="0.3">
      <c r="A1059" s="262" t="s">
        <v>3297</v>
      </c>
      <c r="B1059" s="262" t="s">
        <v>2370</v>
      </c>
      <c r="C1059" s="262" t="s">
        <v>3288</v>
      </c>
      <c r="D1059" s="262" t="s">
        <v>3308</v>
      </c>
      <c r="E1059" s="263">
        <v>6</v>
      </c>
      <c r="F1059" s="262" t="s">
        <v>2389</v>
      </c>
      <c r="G1059" s="262" t="s">
        <v>2408</v>
      </c>
      <c r="H1059" s="395"/>
    </row>
    <row r="1060" spans="1:8" ht="14.55" hidden="1" customHeight="1" x14ac:dyDescent="0.3">
      <c r="A1060" s="262" t="s">
        <v>3297</v>
      </c>
      <c r="B1060" s="262" t="s">
        <v>2370</v>
      </c>
      <c r="C1060" s="262" t="s">
        <v>3288</v>
      </c>
      <c r="D1060" s="262" t="s">
        <v>3309</v>
      </c>
      <c r="E1060" s="263">
        <v>4</v>
      </c>
      <c r="F1060" s="262" t="s">
        <v>2419</v>
      </c>
      <c r="G1060" s="262" t="s">
        <v>3310</v>
      </c>
      <c r="H1060" s="395"/>
    </row>
    <row r="1061" spans="1:8" ht="14.55" hidden="1" customHeight="1" x14ac:dyDescent="0.3">
      <c r="A1061" s="262" t="s">
        <v>3297</v>
      </c>
      <c r="B1061" s="262" t="s">
        <v>2380</v>
      </c>
      <c r="C1061" s="262" t="s">
        <v>3288</v>
      </c>
      <c r="D1061" s="262" t="s">
        <v>3311</v>
      </c>
      <c r="E1061" s="263">
        <v>6</v>
      </c>
      <c r="F1061" s="262" t="s">
        <v>2379</v>
      </c>
      <c r="G1061" s="262" t="s">
        <v>2470</v>
      </c>
      <c r="H1061" s="395"/>
    </row>
    <row r="1062" spans="1:8" ht="14.55" hidden="1" customHeight="1" x14ac:dyDescent="0.3">
      <c r="A1062" s="262" t="s">
        <v>3297</v>
      </c>
      <c r="B1062" s="262" t="s">
        <v>2370</v>
      </c>
      <c r="C1062" s="262" t="s">
        <v>3312</v>
      </c>
      <c r="D1062" s="262" t="s">
        <v>3313</v>
      </c>
      <c r="E1062" s="263">
        <v>4</v>
      </c>
      <c r="F1062" s="262" t="s">
        <v>2389</v>
      </c>
      <c r="G1062" s="262" t="s">
        <v>2408</v>
      </c>
      <c r="H1062" s="395"/>
    </row>
    <row r="1063" spans="1:8" ht="14.55" hidden="1" customHeight="1" x14ac:dyDescent="0.3">
      <c r="A1063" s="262" t="s">
        <v>3297</v>
      </c>
      <c r="B1063" s="262" t="s">
        <v>2380</v>
      </c>
      <c r="C1063" s="262" t="s">
        <v>3288</v>
      </c>
      <c r="D1063" s="262" t="s">
        <v>3314</v>
      </c>
      <c r="E1063" s="263">
        <v>6</v>
      </c>
      <c r="F1063" s="262" t="s">
        <v>2419</v>
      </c>
      <c r="G1063" s="262" t="s">
        <v>2605</v>
      </c>
      <c r="H1063" s="395"/>
    </row>
    <row r="1064" spans="1:8" ht="14.55" hidden="1" customHeight="1" x14ac:dyDescent="0.3">
      <c r="A1064" s="262" t="s">
        <v>3297</v>
      </c>
      <c r="B1064" s="262" t="s">
        <v>2380</v>
      </c>
      <c r="C1064" s="262" t="s">
        <v>3288</v>
      </c>
      <c r="D1064" s="262" t="s">
        <v>3315</v>
      </c>
      <c r="E1064" s="263">
        <v>8</v>
      </c>
      <c r="F1064" s="262" t="s">
        <v>2376</v>
      </c>
      <c r="G1064" s="262" t="s">
        <v>2377</v>
      </c>
      <c r="H1064" s="395"/>
    </row>
    <row r="1065" spans="1:8" ht="14.55" hidden="1" customHeight="1" x14ac:dyDescent="0.3">
      <c r="A1065" s="262" t="s">
        <v>3297</v>
      </c>
      <c r="B1065" s="262" t="s">
        <v>2370</v>
      </c>
      <c r="C1065" s="262" t="s">
        <v>3288</v>
      </c>
      <c r="D1065" s="262" t="s">
        <v>3316</v>
      </c>
      <c r="E1065" s="263">
        <v>4</v>
      </c>
      <c r="F1065" s="262" t="s">
        <v>2373</v>
      </c>
      <c r="G1065" s="262" t="s">
        <v>2596</v>
      </c>
      <c r="H1065" s="395"/>
    </row>
    <row r="1066" spans="1:8" ht="14.55" hidden="1" customHeight="1" x14ac:dyDescent="0.3">
      <c r="A1066" s="262" t="s">
        <v>3297</v>
      </c>
      <c r="B1066" s="262" t="s">
        <v>2380</v>
      </c>
      <c r="C1066" s="262" t="s">
        <v>3288</v>
      </c>
      <c r="D1066" s="262" t="s">
        <v>2780</v>
      </c>
      <c r="E1066" s="263">
        <v>4</v>
      </c>
      <c r="F1066" s="262" t="s">
        <v>2376</v>
      </c>
      <c r="G1066" s="262" t="s">
        <v>2394</v>
      </c>
      <c r="H1066" s="395"/>
    </row>
    <row r="1067" spans="1:8" ht="14.55" hidden="1" customHeight="1" x14ac:dyDescent="0.3">
      <c r="A1067" s="262" t="s">
        <v>3297</v>
      </c>
      <c r="B1067" s="262" t="s">
        <v>2370</v>
      </c>
      <c r="C1067" s="262" t="s">
        <v>3288</v>
      </c>
      <c r="D1067" s="262" t="s">
        <v>3277</v>
      </c>
      <c r="E1067" s="263">
        <v>4</v>
      </c>
      <c r="F1067" s="262" t="s">
        <v>2389</v>
      </c>
      <c r="G1067" s="262" t="s">
        <v>2408</v>
      </c>
      <c r="H1067" s="395"/>
    </row>
    <row r="1068" spans="1:8" ht="14.55" hidden="1" customHeight="1" x14ac:dyDescent="0.3">
      <c r="A1068" s="262" t="s">
        <v>3297</v>
      </c>
      <c r="B1068" s="262" t="s">
        <v>2370</v>
      </c>
      <c r="C1068" s="262" t="s">
        <v>3288</v>
      </c>
      <c r="D1068" s="262" t="s">
        <v>3317</v>
      </c>
      <c r="E1068" s="263">
        <v>4</v>
      </c>
      <c r="F1068" s="262" t="s">
        <v>2373</v>
      </c>
      <c r="G1068" s="262" t="s">
        <v>3318</v>
      </c>
      <c r="H1068" s="395"/>
    </row>
    <row r="1069" spans="1:8" ht="14.55" hidden="1" customHeight="1" x14ac:dyDescent="0.3">
      <c r="A1069" s="262" t="s">
        <v>3297</v>
      </c>
      <c r="B1069" s="262" t="s">
        <v>2380</v>
      </c>
      <c r="C1069" s="262" t="s">
        <v>3288</v>
      </c>
      <c r="D1069" s="262" t="s">
        <v>3319</v>
      </c>
      <c r="E1069" s="263">
        <v>4</v>
      </c>
      <c r="F1069" s="262" t="s">
        <v>2379</v>
      </c>
      <c r="G1069" s="262" t="s">
        <v>2568</v>
      </c>
      <c r="H1069" s="395"/>
    </row>
    <row r="1070" spans="1:8" ht="14.55" hidden="1" customHeight="1" x14ac:dyDescent="0.3">
      <c r="A1070" s="262" t="s">
        <v>3297</v>
      </c>
      <c r="B1070" s="262" t="s">
        <v>2380</v>
      </c>
      <c r="C1070" s="262" t="s">
        <v>3288</v>
      </c>
      <c r="D1070" s="262" t="s">
        <v>3320</v>
      </c>
      <c r="E1070" s="263">
        <v>8</v>
      </c>
      <c r="F1070" s="262" t="s">
        <v>2389</v>
      </c>
      <c r="G1070" s="262" t="s">
        <v>3321</v>
      </c>
      <c r="H1070" s="395"/>
    </row>
    <row r="1071" spans="1:8" ht="14.55" hidden="1" customHeight="1" x14ac:dyDescent="0.3">
      <c r="A1071" s="262" t="s">
        <v>3297</v>
      </c>
      <c r="B1071" s="262" t="s">
        <v>2370</v>
      </c>
      <c r="C1071" s="262" t="s">
        <v>3288</v>
      </c>
      <c r="D1071" s="262" t="s">
        <v>3322</v>
      </c>
      <c r="E1071" s="263">
        <v>6</v>
      </c>
      <c r="F1071" s="262" t="s">
        <v>2419</v>
      </c>
      <c r="G1071" s="262" t="s">
        <v>2432</v>
      </c>
      <c r="H1071" s="395"/>
    </row>
    <row r="1072" spans="1:8" ht="14.55" hidden="1" customHeight="1" x14ac:dyDescent="0.3">
      <c r="A1072" s="262" t="s">
        <v>3297</v>
      </c>
      <c r="B1072" s="262" t="s">
        <v>2370</v>
      </c>
      <c r="C1072" s="262" t="s">
        <v>3288</v>
      </c>
      <c r="D1072" s="262" t="s">
        <v>2829</v>
      </c>
      <c r="E1072" s="263">
        <v>4</v>
      </c>
      <c r="F1072" s="262" t="s">
        <v>2373</v>
      </c>
      <c r="G1072" s="262" t="s">
        <v>2453</v>
      </c>
      <c r="H1072" s="395"/>
    </row>
    <row r="1073" spans="1:8" ht="14.55" hidden="1" customHeight="1" x14ac:dyDescent="0.3">
      <c r="A1073" s="262" t="s">
        <v>3297</v>
      </c>
      <c r="B1073" s="262" t="s">
        <v>2370</v>
      </c>
      <c r="C1073" s="262" t="s">
        <v>3312</v>
      </c>
      <c r="D1073" s="262" t="s">
        <v>3323</v>
      </c>
      <c r="E1073" s="263">
        <v>4</v>
      </c>
      <c r="F1073" s="262" t="s">
        <v>2419</v>
      </c>
      <c r="G1073" s="262" t="s">
        <v>2480</v>
      </c>
      <c r="H1073" s="395"/>
    </row>
    <row r="1074" spans="1:8" ht="14.55" hidden="1" customHeight="1" x14ac:dyDescent="0.3">
      <c r="A1074" s="262" t="s">
        <v>3297</v>
      </c>
      <c r="B1074" s="262" t="s">
        <v>2380</v>
      </c>
      <c r="C1074" s="262" t="s">
        <v>3288</v>
      </c>
      <c r="D1074" s="262" t="s">
        <v>3324</v>
      </c>
      <c r="E1074" s="263">
        <v>6</v>
      </c>
      <c r="F1074" s="262" t="s">
        <v>2379</v>
      </c>
      <c r="G1074" s="262" t="s">
        <v>2568</v>
      </c>
      <c r="H1074" s="395"/>
    </row>
    <row r="1075" spans="1:8" ht="14.55" hidden="1" customHeight="1" x14ac:dyDescent="0.3">
      <c r="A1075" s="262" t="s">
        <v>3297</v>
      </c>
      <c r="B1075" s="262" t="s">
        <v>2370</v>
      </c>
      <c r="C1075" s="262" t="s">
        <v>3288</v>
      </c>
      <c r="D1075" s="262" t="s">
        <v>3325</v>
      </c>
      <c r="E1075" s="263">
        <v>6</v>
      </c>
      <c r="F1075" s="262" t="s">
        <v>2419</v>
      </c>
      <c r="G1075" s="262" t="s">
        <v>2488</v>
      </c>
      <c r="H1075" s="395"/>
    </row>
    <row r="1076" spans="1:8" ht="14.55" hidden="1" customHeight="1" x14ac:dyDescent="0.3">
      <c r="A1076" s="262" t="s">
        <v>3297</v>
      </c>
      <c r="B1076" s="262" t="s">
        <v>2380</v>
      </c>
      <c r="C1076" s="262" t="s">
        <v>3288</v>
      </c>
      <c r="D1076" s="262" t="s">
        <v>3326</v>
      </c>
      <c r="E1076" s="263">
        <v>6</v>
      </c>
      <c r="F1076" s="262" t="s">
        <v>2379</v>
      </c>
      <c r="G1076" s="262" t="s">
        <v>2396</v>
      </c>
      <c r="H1076" s="395"/>
    </row>
    <row r="1077" spans="1:8" ht="14.55" hidden="1" customHeight="1" x14ac:dyDescent="0.3">
      <c r="A1077" s="262" t="s">
        <v>3297</v>
      </c>
      <c r="B1077" s="262" t="s">
        <v>2370</v>
      </c>
      <c r="C1077" s="262" t="s">
        <v>3288</v>
      </c>
      <c r="D1077" s="262" t="s">
        <v>3327</v>
      </c>
      <c r="E1077" s="263">
        <v>6</v>
      </c>
      <c r="F1077" s="262" t="s">
        <v>2389</v>
      </c>
      <c r="G1077" s="262" t="s">
        <v>2428</v>
      </c>
      <c r="H1077" s="395"/>
    </row>
    <row r="1078" spans="1:8" ht="14.55" hidden="1" customHeight="1" x14ac:dyDescent="0.3">
      <c r="A1078" s="262" t="s">
        <v>3297</v>
      </c>
      <c r="B1078" s="262" t="s">
        <v>2370</v>
      </c>
      <c r="C1078" s="262" t="s">
        <v>3288</v>
      </c>
      <c r="D1078" s="262" t="s">
        <v>3328</v>
      </c>
      <c r="E1078" s="263">
        <v>6</v>
      </c>
      <c r="F1078" s="262" t="s">
        <v>2379</v>
      </c>
      <c r="G1078" s="262" t="s">
        <v>2568</v>
      </c>
      <c r="H1078" s="395"/>
    </row>
    <row r="1079" spans="1:8" ht="14.55" hidden="1" customHeight="1" x14ac:dyDescent="0.3">
      <c r="A1079" s="262" t="s">
        <v>3297</v>
      </c>
      <c r="B1079" s="262" t="s">
        <v>2380</v>
      </c>
      <c r="C1079" s="262" t="s">
        <v>3288</v>
      </c>
      <c r="D1079" s="262" t="s">
        <v>3329</v>
      </c>
      <c r="E1079" s="263">
        <v>6</v>
      </c>
      <c r="F1079" s="262" t="s">
        <v>2419</v>
      </c>
      <c r="G1079" s="262" t="s">
        <v>2605</v>
      </c>
      <c r="H1079" s="395"/>
    </row>
    <row r="1080" spans="1:8" ht="14.55" hidden="1" customHeight="1" x14ac:dyDescent="0.3">
      <c r="A1080" s="262" t="s">
        <v>3297</v>
      </c>
      <c r="B1080" s="262" t="s">
        <v>2380</v>
      </c>
      <c r="C1080" s="262" t="s">
        <v>3312</v>
      </c>
      <c r="D1080" s="262" t="s">
        <v>3161</v>
      </c>
      <c r="E1080" s="263">
        <v>4</v>
      </c>
      <c r="F1080" s="262" t="s">
        <v>2379</v>
      </c>
      <c r="G1080" s="262" t="s">
        <v>2463</v>
      </c>
      <c r="H1080" s="395"/>
    </row>
    <row r="1081" spans="1:8" ht="14.55" hidden="1" customHeight="1" x14ac:dyDescent="0.3">
      <c r="A1081" s="262" t="s">
        <v>3297</v>
      </c>
      <c r="B1081" s="262" t="s">
        <v>2370</v>
      </c>
      <c r="C1081" s="262" t="s">
        <v>3288</v>
      </c>
      <c r="D1081" s="262" t="s">
        <v>2515</v>
      </c>
      <c r="E1081" s="263">
        <v>4</v>
      </c>
      <c r="F1081" s="262" t="s">
        <v>2419</v>
      </c>
      <c r="G1081" s="262" t="s">
        <v>2432</v>
      </c>
      <c r="H1081" s="395"/>
    </row>
    <row r="1082" spans="1:8" ht="14.55" hidden="1" customHeight="1" x14ac:dyDescent="0.3">
      <c r="A1082" s="262" t="s">
        <v>3297</v>
      </c>
      <c r="B1082" s="262" t="s">
        <v>2370</v>
      </c>
      <c r="C1082" s="262" t="s">
        <v>3288</v>
      </c>
      <c r="D1082" s="262" t="s">
        <v>3330</v>
      </c>
      <c r="E1082" s="263">
        <v>5</v>
      </c>
      <c r="F1082" s="262" t="s">
        <v>2379</v>
      </c>
      <c r="G1082" s="262" t="s">
        <v>2396</v>
      </c>
      <c r="H1082" s="395"/>
    </row>
    <row r="1083" spans="1:8" ht="14.55" hidden="1" customHeight="1" x14ac:dyDescent="0.3">
      <c r="A1083" s="262" t="s">
        <v>3297</v>
      </c>
      <c r="B1083" s="262" t="s">
        <v>2370</v>
      </c>
      <c r="C1083" s="262" t="s">
        <v>3288</v>
      </c>
      <c r="D1083" s="262" t="s">
        <v>3331</v>
      </c>
      <c r="E1083" s="263">
        <v>6</v>
      </c>
      <c r="F1083" s="262" t="s">
        <v>2419</v>
      </c>
      <c r="G1083" s="262" t="s">
        <v>2488</v>
      </c>
      <c r="H1083" s="395"/>
    </row>
    <row r="1084" spans="1:8" ht="14.55" hidden="1" customHeight="1" x14ac:dyDescent="0.3">
      <c r="A1084" s="262" t="s">
        <v>3297</v>
      </c>
      <c r="B1084" s="262" t="s">
        <v>2370</v>
      </c>
      <c r="C1084" s="262" t="s">
        <v>3288</v>
      </c>
      <c r="D1084" s="262" t="s">
        <v>3332</v>
      </c>
      <c r="E1084" s="263">
        <v>6</v>
      </c>
      <c r="F1084" s="262" t="s">
        <v>2376</v>
      </c>
      <c r="G1084" s="262" t="s">
        <v>2377</v>
      </c>
      <c r="H1084" s="395"/>
    </row>
    <row r="1085" spans="1:8" ht="14.55" hidden="1" customHeight="1" x14ac:dyDescent="0.3">
      <c r="A1085" s="262" t="s">
        <v>3333</v>
      </c>
      <c r="B1085" s="262" t="s">
        <v>2370</v>
      </c>
      <c r="C1085" s="262" t="s">
        <v>3288</v>
      </c>
      <c r="D1085" s="262" t="s">
        <v>3334</v>
      </c>
      <c r="E1085" s="263">
        <v>4</v>
      </c>
      <c r="F1085" s="262" t="s">
        <v>2376</v>
      </c>
      <c r="G1085" s="262" t="s">
        <v>2394</v>
      </c>
      <c r="H1085" s="395"/>
    </row>
    <row r="1086" spans="1:8" ht="14.55" hidden="1" customHeight="1" x14ac:dyDescent="0.3">
      <c r="A1086" s="262" t="s">
        <v>3333</v>
      </c>
      <c r="B1086" s="262" t="s">
        <v>2370</v>
      </c>
      <c r="C1086" s="262" t="s">
        <v>3288</v>
      </c>
      <c r="D1086" s="262" t="s">
        <v>3335</v>
      </c>
      <c r="E1086" s="263">
        <v>6</v>
      </c>
      <c r="F1086" s="262" t="s">
        <v>2419</v>
      </c>
      <c r="G1086" s="262" t="s">
        <v>2432</v>
      </c>
      <c r="H1086" s="395"/>
    </row>
    <row r="1087" spans="1:8" ht="14.55" hidden="1" customHeight="1" x14ac:dyDescent="0.3">
      <c r="A1087" s="262" t="s">
        <v>3333</v>
      </c>
      <c r="B1087" s="262" t="s">
        <v>2370</v>
      </c>
      <c r="C1087" s="262" t="s">
        <v>3288</v>
      </c>
      <c r="D1087" s="262" t="s">
        <v>3336</v>
      </c>
      <c r="E1087" s="263">
        <v>8</v>
      </c>
      <c r="F1087" s="262" t="s">
        <v>2373</v>
      </c>
      <c r="G1087" s="262" t="s">
        <v>2392</v>
      </c>
      <c r="H1087" s="395"/>
    </row>
    <row r="1088" spans="1:8" ht="14.55" hidden="1" customHeight="1" x14ac:dyDescent="0.3">
      <c r="A1088" s="262" t="s">
        <v>3333</v>
      </c>
      <c r="B1088" s="262" t="s">
        <v>2370</v>
      </c>
      <c r="C1088" s="262" t="s">
        <v>3288</v>
      </c>
      <c r="D1088" s="262" t="s">
        <v>2984</v>
      </c>
      <c r="E1088" s="263">
        <v>4</v>
      </c>
      <c r="F1088" s="262" t="s">
        <v>2419</v>
      </c>
      <c r="G1088" s="262" t="s">
        <v>2432</v>
      </c>
      <c r="H1088" s="395"/>
    </row>
    <row r="1089" spans="1:8" ht="14.55" hidden="1" customHeight="1" x14ac:dyDescent="0.3">
      <c r="A1089" s="262" t="s">
        <v>3337</v>
      </c>
      <c r="B1089" s="262" t="s">
        <v>2370</v>
      </c>
      <c r="C1089" s="262" t="s">
        <v>3288</v>
      </c>
      <c r="D1089" s="262" t="s">
        <v>3272</v>
      </c>
      <c r="E1089" s="263">
        <v>4</v>
      </c>
      <c r="F1089" s="262" t="s">
        <v>2389</v>
      </c>
      <c r="G1089" s="262" t="s">
        <v>2408</v>
      </c>
      <c r="H1089" s="395"/>
    </row>
    <row r="1090" spans="1:8" ht="14.55" hidden="1" customHeight="1" x14ac:dyDescent="0.3">
      <c r="A1090" s="262" t="s">
        <v>3337</v>
      </c>
      <c r="B1090" s="262" t="s">
        <v>2370</v>
      </c>
      <c r="C1090" s="262" t="s">
        <v>3288</v>
      </c>
      <c r="D1090" s="262" t="s">
        <v>3338</v>
      </c>
      <c r="E1090" s="263">
        <v>6</v>
      </c>
      <c r="F1090" s="262" t="s">
        <v>2389</v>
      </c>
      <c r="G1090" s="262" t="s">
        <v>2390</v>
      </c>
      <c r="H1090" s="395"/>
    </row>
    <row r="1091" spans="1:8" ht="14.55" hidden="1" customHeight="1" x14ac:dyDescent="0.3">
      <c r="A1091" s="262" t="s">
        <v>3337</v>
      </c>
      <c r="B1091" s="262" t="s">
        <v>2380</v>
      </c>
      <c r="C1091" s="262" t="s">
        <v>3288</v>
      </c>
      <c r="D1091" s="262" t="s">
        <v>3339</v>
      </c>
      <c r="E1091" s="263">
        <v>6</v>
      </c>
      <c r="F1091" s="262" t="s">
        <v>2419</v>
      </c>
      <c r="G1091" s="262" t="s">
        <v>2432</v>
      </c>
      <c r="H1091" s="395"/>
    </row>
    <row r="1092" spans="1:8" x14ac:dyDescent="0.3">
      <c r="A1092" s="264" t="s">
        <v>3337</v>
      </c>
      <c r="B1092" s="264" t="s">
        <v>2370</v>
      </c>
      <c r="C1092" s="264" t="s">
        <v>3288</v>
      </c>
      <c r="D1092" s="264" t="s">
        <v>3340</v>
      </c>
      <c r="E1092" s="265">
        <v>8</v>
      </c>
      <c r="F1092" s="264" t="s">
        <v>2379</v>
      </c>
      <c r="G1092" s="264" t="s">
        <v>2402</v>
      </c>
      <c r="H1092" s="396"/>
    </row>
    <row r="1093" spans="1:8" ht="14.55" hidden="1" customHeight="1" x14ac:dyDescent="0.3">
      <c r="A1093" s="262" t="s">
        <v>3337</v>
      </c>
      <c r="B1093" s="262" t="s">
        <v>2370</v>
      </c>
      <c r="C1093" s="262" t="s">
        <v>3288</v>
      </c>
      <c r="D1093" s="262" t="s">
        <v>3341</v>
      </c>
      <c r="E1093" s="263">
        <v>8</v>
      </c>
      <c r="F1093" s="262" t="s">
        <v>2376</v>
      </c>
      <c r="G1093" s="262" t="s">
        <v>2394</v>
      </c>
      <c r="H1093" s="395"/>
    </row>
    <row r="1094" spans="1:8" ht="14.55" hidden="1" customHeight="1" x14ac:dyDescent="0.3">
      <c r="A1094" s="262" t="s">
        <v>3337</v>
      </c>
      <c r="B1094" s="262" t="s">
        <v>2370</v>
      </c>
      <c r="C1094" s="262" t="s">
        <v>3288</v>
      </c>
      <c r="D1094" s="262" t="s">
        <v>3342</v>
      </c>
      <c r="E1094" s="263">
        <v>8</v>
      </c>
      <c r="F1094" s="262" t="s">
        <v>2376</v>
      </c>
      <c r="G1094" s="262" t="s">
        <v>2406</v>
      </c>
      <c r="H1094" s="395"/>
    </row>
    <row r="1095" spans="1:8" ht="14.55" hidden="1" customHeight="1" x14ac:dyDescent="0.3">
      <c r="A1095" s="262" t="s">
        <v>3337</v>
      </c>
      <c r="B1095" s="262" t="s">
        <v>2370</v>
      </c>
      <c r="C1095" s="262" t="s">
        <v>3288</v>
      </c>
      <c r="D1095" s="262" t="s">
        <v>3266</v>
      </c>
      <c r="E1095" s="263">
        <v>4</v>
      </c>
      <c r="F1095" s="262" t="s">
        <v>2379</v>
      </c>
      <c r="G1095" s="262" t="s">
        <v>2383</v>
      </c>
      <c r="H1095" s="395"/>
    </row>
    <row r="1096" spans="1:8" ht="14.55" hidden="1" customHeight="1" x14ac:dyDescent="0.3">
      <c r="A1096" s="262" t="s">
        <v>3343</v>
      </c>
      <c r="B1096" s="262" t="s">
        <v>2370</v>
      </c>
      <c r="C1096" s="262" t="s">
        <v>3288</v>
      </c>
      <c r="D1096" s="262" t="s">
        <v>3344</v>
      </c>
      <c r="E1096" s="263">
        <v>8</v>
      </c>
      <c r="F1096" s="262" t="s">
        <v>2419</v>
      </c>
      <c r="G1096" s="262" t="s">
        <v>2857</v>
      </c>
      <c r="H1096" s="395"/>
    </row>
    <row r="1097" spans="1:8" ht="14.55" hidden="1" customHeight="1" x14ac:dyDescent="0.3">
      <c r="A1097" s="262" t="s">
        <v>3343</v>
      </c>
      <c r="B1097" s="262" t="s">
        <v>2370</v>
      </c>
      <c r="C1097" s="262" t="s">
        <v>3288</v>
      </c>
      <c r="D1097" s="262" t="s">
        <v>2749</v>
      </c>
      <c r="E1097" s="263">
        <v>4</v>
      </c>
      <c r="F1097" s="262" t="s">
        <v>2376</v>
      </c>
      <c r="G1097" s="262" t="s">
        <v>2394</v>
      </c>
      <c r="H1097" s="395"/>
    </row>
    <row r="1098" spans="1:8" ht="14.55" hidden="1" customHeight="1" x14ac:dyDescent="0.3">
      <c r="A1098" s="262" t="s">
        <v>3343</v>
      </c>
      <c r="B1098" s="262" t="s">
        <v>2370</v>
      </c>
      <c r="C1098" s="262" t="s">
        <v>3288</v>
      </c>
      <c r="D1098" s="262" t="s">
        <v>3345</v>
      </c>
      <c r="E1098" s="263">
        <v>6</v>
      </c>
      <c r="F1098" s="262" t="s">
        <v>2379</v>
      </c>
      <c r="G1098" s="262" t="s">
        <v>15</v>
      </c>
      <c r="H1098" s="395"/>
    </row>
    <row r="1099" spans="1:8" ht="14.55" hidden="1" customHeight="1" x14ac:dyDescent="0.3">
      <c r="A1099" s="262" t="s">
        <v>3343</v>
      </c>
      <c r="B1099" s="262" t="s">
        <v>2370</v>
      </c>
      <c r="C1099" s="262" t="s">
        <v>3288</v>
      </c>
      <c r="D1099" s="262" t="s">
        <v>3346</v>
      </c>
      <c r="E1099" s="263">
        <v>8</v>
      </c>
      <c r="F1099" s="262" t="s">
        <v>2419</v>
      </c>
      <c r="G1099" s="262" t="s">
        <v>3092</v>
      </c>
      <c r="H1099" s="395"/>
    </row>
    <row r="1100" spans="1:8" ht="14.55" hidden="1" customHeight="1" x14ac:dyDescent="0.3">
      <c r="A1100" s="262" t="s">
        <v>3343</v>
      </c>
      <c r="B1100" s="262" t="s">
        <v>2380</v>
      </c>
      <c r="C1100" s="262" t="s">
        <v>3312</v>
      </c>
      <c r="D1100" s="262" t="s">
        <v>3347</v>
      </c>
      <c r="E1100" s="263">
        <v>6</v>
      </c>
      <c r="F1100" s="262" t="s">
        <v>2379</v>
      </c>
      <c r="G1100" s="262" t="s">
        <v>2544</v>
      </c>
      <c r="H1100" s="395"/>
    </row>
    <row r="1101" spans="1:8" ht="14.55" hidden="1" customHeight="1" x14ac:dyDescent="0.3">
      <c r="A1101" s="262" t="s">
        <v>3343</v>
      </c>
      <c r="B1101" s="262" t="s">
        <v>2380</v>
      </c>
      <c r="C1101" s="262" t="s">
        <v>3312</v>
      </c>
      <c r="D1101" s="262" t="s">
        <v>3348</v>
      </c>
      <c r="E1101" s="263">
        <v>4</v>
      </c>
      <c r="F1101" s="262" t="s">
        <v>2379</v>
      </c>
      <c r="G1101" s="262" t="s">
        <v>2470</v>
      </c>
      <c r="H1101" s="395"/>
    </row>
    <row r="1102" spans="1:8" ht="14.55" hidden="1" customHeight="1" x14ac:dyDescent="0.3">
      <c r="A1102" s="262" t="s">
        <v>3349</v>
      </c>
      <c r="B1102" s="262" t="s">
        <v>2380</v>
      </c>
      <c r="C1102" s="262" t="s">
        <v>3312</v>
      </c>
      <c r="D1102" s="262" t="s">
        <v>3350</v>
      </c>
      <c r="E1102" s="263">
        <v>8</v>
      </c>
      <c r="F1102" s="262" t="s">
        <v>2389</v>
      </c>
      <c r="G1102" s="262" t="s">
        <v>2800</v>
      </c>
      <c r="H1102" s="395"/>
    </row>
    <row r="1103" spans="1:8" ht="14.55" hidden="1" customHeight="1" x14ac:dyDescent="0.3">
      <c r="A1103" s="262" t="s">
        <v>3349</v>
      </c>
      <c r="B1103" s="262" t="s">
        <v>2380</v>
      </c>
      <c r="C1103" s="262" t="s">
        <v>3288</v>
      </c>
      <c r="D1103" s="262" t="s">
        <v>3351</v>
      </c>
      <c r="E1103" s="263">
        <v>8</v>
      </c>
      <c r="F1103" s="262" t="s">
        <v>2389</v>
      </c>
      <c r="G1103" s="262" t="s">
        <v>2408</v>
      </c>
      <c r="H1103" s="395"/>
    </row>
    <row r="1104" spans="1:8" ht="14.55" hidden="1" customHeight="1" x14ac:dyDescent="0.3">
      <c r="A1104" s="262" t="s">
        <v>3352</v>
      </c>
      <c r="B1104" s="262" t="s">
        <v>2370</v>
      </c>
      <c r="C1104" s="262" t="s">
        <v>3288</v>
      </c>
      <c r="D1104" s="262" t="s">
        <v>3353</v>
      </c>
      <c r="E1104" s="263">
        <v>8</v>
      </c>
      <c r="F1104" s="262" t="s">
        <v>2389</v>
      </c>
      <c r="G1104" s="262" t="s">
        <v>2428</v>
      </c>
      <c r="H1104" s="395"/>
    </row>
    <row r="1105" spans="1:8" ht="14.55" hidden="1" customHeight="1" x14ac:dyDescent="0.3">
      <c r="A1105" s="262" t="s">
        <v>3352</v>
      </c>
      <c r="B1105" s="262" t="s">
        <v>2370</v>
      </c>
      <c r="C1105" s="262" t="s">
        <v>3288</v>
      </c>
      <c r="D1105" s="262" t="s">
        <v>2636</v>
      </c>
      <c r="E1105" s="263">
        <v>4</v>
      </c>
      <c r="F1105" s="262" t="s">
        <v>2419</v>
      </c>
      <c r="G1105" s="262" t="s">
        <v>2885</v>
      </c>
      <c r="H1105" s="395"/>
    </row>
    <row r="1106" spans="1:8" ht="14.55" hidden="1" customHeight="1" x14ac:dyDescent="0.3">
      <c r="A1106" s="262" t="s">
        <v>3352</v>
      </c>
      <c r="B1106" s="262" t="s">
        <v>2370</v>
      </c>
      <c r="C1106" s="262" t="s">
        <v>3288</v>
      </c>
      <c r="D1106" s="262" t="s">
        <v>3354</v>
      </c>
      <c r="E1106" s="263">
        <v>4</v>
      </c>
      <c r="F1106" s="262" t="s">
        <v>2379</v>
      </c>
      <c r="G1106" s="262" t="s">
        <v>2383</v>
      </c>
      <c r="H1106" s="395"/>
    </row>
    <row r="1107" spans="1:8" ht="14.55" hidden="1" customHeight="1" x14ac:dyDescent="0.3">
      <c r="A1107" s="262" t="s">
        <v>3352</v>
      </c>
      <c r="B1107" s="262" t="s">
        <v>2370</v>
      </c>
      <c r="C1107" s="262" t="s">
        <v>3288</v>
      </c>
      <c r="D1107" s="262" t="s">
        <v>3355</v>
      </c>
      <c r="E1107" s="263">
        <v>4</v>
      </c>
      <c r="F1107" s="262" t="s">
        <v>2376</v>
      </c>
      <c r="G1107" s="262" t="s">
        <v>2394</v>
      </c>
      <c r="H1107" s="395"/>
    </row>
    <row r="1108" spans="1:8" ht="14.55" hidden="1" customHeight="1" x14ac:dyDescent="0.3">
      <c r="A1108" s="262" t="s">
        <v>3352</v>
      </c>
      <c r="B1108" s="262" t="s">
        <v>2380</v>
      </c>
      <c r="C1108" s="262" t="s">
        <v>3288</v>
      </c>
      <c r="D1108" s="262" t="s">
        <v>3356</v>
      </c>
      <c r="E1108" s="263">
        <v>8</v>
      </c>
      <c r="F1108" s="262" t="s">
        <v>2419</v>
      </c>
      <c r="G1108" s="262" t="s">
        <v>2605</v>
      </c>
      <c r="H1108" s="395"/>
    </row>
    <row r="1109" spans="1:8" ht="14.55" hidden="1" customHeight="1" x14ac:dyDescent="0.3">
      <c r="A1109" s="262" t="s">
        <v>3352</v>
      </c>
      <c r="B1109" s="262" t="s">
        <v>2380</v>
      </c>
      <c r="C1109" s="262" t="s">
        <v>3288</v>
      </c>
      <c r="D1109" s="262" t="s">
        <v>3357</v>
      </c>
      <c r="E1109" s="263">
        <v>6</v>
      </c>
      <c r="F1109" s="262" t="s">
        <v>2389</v>
      </c>
      <c r="G1109" s="262" t="s">
        <v>2428</v>
      </c>
      <c r="H1109" s="395"/>
    </row>
    <row r="1110" spans="1:8" ht="14.55" hidden="1" customHeight="1" x14ac:dyDescent="0.3">
      <c r="A1110" s="262" t="s">
        <v>3352</v>
      </c>
      <c r="B1110" s="262" t="s">
        <v>2370</v>
      </c>
      <c r="C1110" s="262" t="s">
        <v>3288</v>
      </c>
      <c r="D1110" s="262" t="s">
        <v>3358</v>
      </c>
      <c r="E1110" s="263">
        <v>6</v>
      </c>
      <c r="F1110" s="262" t="s">
        <v>2376</v>
      </c>
      <c r="G1110" s="262" t="s">
        <v>2394</v>
      </c>
      <c r="H1110" s="395"/>
    </row>
    <row r="1111" spans="1:8" ht="14.55" hidden="1" customHeight="1" x14ac:dyDescent="0.3">
      <c r="A1111" s="262" t="s">
        <v>3352</v>
      </c>
      <c r="B1111" s="262" t="s">
        <v>2370</v>
      </c>
      <c r="C1111" s="262" t="s">
        <v>3288</v>
      </c>
      <c r="D1111" s="262" t="s">
        <v>3359</v>
      </c>
      <c r="E1111" s="263">
        <v>6</v>
      </c>
      <c r="F1111" s="262" t="s">
        <v>2389</v>
      </c>
      <c r="G1111" s="262" t="s">
        <v>2408</v>
      </c>
      <c r="H1111" s="395"/>
    </row>
    <row r="1112" spans="1:8" ht="14.55" hidden="1" customHeight="1" x14ac:dyDescent="0.3">
      <c r="A1112" s="262" t="s">
        <v>3352</v>
      </c>
      <c r="B1112" s="262" t="s">
        <v>2370</v>
      </c>
      <c r="C1112" s="262" t="s">
        <v>3288</v>
      </c>
      <c r="D1112" s="262" t="s">
        <v>3360</v>
      </c>
      <c r="E1112" s="263">
        <v>6</v>
      </c>
      <c r="F1112" s="262" t="s">
        <v>2376</v>
      </c>
      <c r="G1112" s="262" t="s">
        <v>2394</v>
      </c>
      <c r="H1112" s="395"/>
    </row>
    <row r="1113" spans="1:8" ht="14.55" hidden="1" customHeight="1" x14ac:dyDescent="0.3">
      <c r="A1113" s="262" t="s">
        <v>3352</v>
      </c>
      <c r="B1113" s="262" t="s">
        <v>2370</v>
      </c>
      <c r="C1113" s="262" t="s">
        <v>3288</v>
      </c>
      <c r="D1113" s="262" t="s">
        <v>3361</v>
      </c>
      <c r="E1113" s="263">
        <v>6</v>
      </c>
      <c r="F1113" s="262" t="s">
        <v>2389</v>
      </c>
      <c r="G1113" s="262" t="s">
        <v>2428</v>
      </c>
      <c r="H1113" s="395"/>
    </row>
    <row r="1114" spans="1:8" ht="14.55" hidden="1" customHeight="1" x14ac:dyDescent="0.3">
      <c r="A1114" s="262" t="s">
        <v>3352</v>
      </c>
      <c r="B1114" s="262" t="s">
        <v>2370</v>
      </c>
      <c r="C1114" s="262" t="s">
        <v>3288</v>
      </c>
      <c r="D1114" s="262" t="s">
        <v>3362</v>
      </c>
      <c r="E1114" s="263">
        <v>8</v>
      </c>
      <c r="F1114" s="262" t="s">
        <v>2373</v>
      </c>
      <c r="G1114" s="262" t="s">
        <v>2392</v>
      </c>
      <c r="H1114" s="395"/>
    </row>
    <row r="1115" spans="1:8" ht="14.55" hidden="1" customHeight="1" x14ac:dyDescent="0.3">
      <c r="A1115" s="262" t="s">
        <v>3352</v>
      </c>
      <c r="B1115" s="262" t="s">
        <v>2370</v>
      </c>
      <c r="C1115" s="262" t="s">
        <v>3288</v>
      </c>
      <c r="D1115" s="262" t="s">
        <v>3363</v>
      </c>
      <c r="E1115" s="263">
        <v>6</v>
      </c>
      <c r="F1115" s="262" t="s">
        <v>2379</v>
      </c>
      <c r="G1115" s="262" t="s">
        <v>2544</v>
      </c>
      <c r="H1115" s="395"/>
    </row>
    <row r="1116" spans="1:8" ht="14.55" hidden="1" customHeight="1" x14ac:dyDescent="0.3">
      <c r="A1116" s="262" t="s">
        <v>3352</v>
      </c>
      <c r="B1116" s="262" t="s">
        <v>2370</v>
      </c>
      <c r="C1116" s="262" t="s">
        <v>3288</v>
      </c>
      <c r="D1116" s="262" t="s">
        <v>2764</v>
      </c>
      <c r="E1116" s="263">
        <v>4</v>
      </c>
      <c r="F1116" s="262" t="s">
        <v>2419</v>
      </c>
      <c r="G1116" s="262" t="s">
        <v>2420</v>
      </c>
      <c r="H1116" s="395"/>
    </row>
    <row r="1117" spans="1:8" ht="14.55" hidden="1" customHeight="1" x14ac:dyDescent="0.3">
      <c r="A1117" s="262" t="s">
        <v>3364</v>
      </c>
      <c r="B1117" s="262" t="s">
        <v>2370</v>
      </c>
      <c r="C1117" s="262" t="s">
        <v>3288</v>
      </c>
      <c r="D1117" s="262" t="s">
        <v>3365</v>
      </c>
      <c r="E1117" s="263">
        <v>4</v>
      </c>
      <c r="F1117" s="262" t="s">
        <v>2379</v>
      </c>
      <c r="G1117" s="262" t="s">
        <v>2463</v>
      </c>
      <c r="H1117" s="395"/>
    </row>
    <row r="1118" spans="1:8" ht="14.55" hidden="1" customHeight="1" x14ac:dyDescent="0.3">
      <c r="A1118" s="262" t="s">
        <v>3364</v>
      </c>
      <c r="B1118" s="262" t="s">
        <v>2370</v>
      </c>
      <c r="C1118" s="262" t="s">
        <v>3288</v>
      </c>
      <c r="D1118" s="262" t="s">
        <v>2461</v>
      </c>
      <c r="E1118" s="263">
        <v>4</v>
      </c>
      <c r="F1118" s="262" t="s">
        <v>2376</v>
      </c>
      <c r="G1118" s="262" t="s">
        <v>2394</v>
      </c>
      <c r="H1118" s="395"/>
    </row>
    <row r="1119" spans="1:8" ht="14.55" hidden="1" customHeight="1" x14ac:dyDescent="0.3">
      <c r="A1119" s="262" t="s">
        <v>3364</v>
      </c>
      <c r="B1119" s="262" t="s">
        <v>2380</v>
      </c>
      <c r="C1119" s="262" t="s">
        <v>3288</v>
      </c>
      <c r="D1119" s="262" t="s">
        <v>3366</v>
      </c>
      <c r="E1119" s="263">
        <v>4</v>
      </c>
      <c r="F1119" s="262" t="s">
        <v>2379</v>
      </c>
      <c r="G1119" s="262" t="s">
        <v>2544</v>
      </c>
      <c r="H1119" s="395"/>
    </row>
    <row r="1120" spans="1:8" ht="14.55" hidden="1" customHeight="1" x14ac:dyDescent="0.3">
      <c r="A1120" s="262" t="s">
        <v>3364</v>
      </c>
      <c r="B1120" s="262" t="s">
        <v>2370</v>
      </c>
      <c r="C1120" s="262" t="s">
        <v>3288</v>
      </c>
      <c r="D1120" s="262" t="s">
        <v>2439</v>
      </c>
      <c r="E1120" s="263">
        <v>4</v>
      </c>
      <c r="F1120" s="262" t="s">
        <v>2376</v>
      </c>
      <c r="G1120" s="262" t="s">
        <v>2406</v>
      </c>
      <c r="H1120" s="395"/>
    </row>
    <row r="1121" spans="1:8" ht="14.55" hidden="1" customHeight="1" x14ac:dyDescent="0.3">
      <c r="A1121" s="262" t="s">
        <v>3364</v>
      </c>
      <c r="B1121" s="262" t="s">
        <v>2370</v>
      </c>
      <c r="C1121" s="262" t="s">
        <v>3288</v>
      </c>
      <c r="D1121" s="262" t="s">
        <v>3367</v>
      </c>
      <c r="E1121" s="263">
        <v>8</v>
      </c>
      <c r="F1121" s="262" t="s">
        <v>2389</v>
      </c>
      <c r="G1121" s="262" t="s">
        <v>3368</v>
      </c>
      <c r="H1121" s="395"/>
    </row>
    <row r="1122" spans="1:8" ht="14.55" hidden="1" customHeight="1" x14ac:dyDescent="0.3">
      <c r="A1122" s="262" t="s">
        <v>3364</v>
      </c>
      <c r="B1122" s="262" t="s">
        <v>2380</v>
      </c>
      <c r="C1122" s="262" t="s">
        <v>3288</v>
      </c>
      <c r="D1122" s="262" t="s">
        <v>3369</v>
      </c>
      <c r="E1122" s="263">
        <v>8</v>
      </c>
      <c r="F1122" s="262" t="s">
        <v>2376</v>
      </c>
      <c r="G1122" s="262" t="s">
        <v>2416</v>
      </c>
      <c r="H1122" s="395"/>
    </row>
    <row r="1123" spans="1:8" ht="14.55" hidden="1" customHeight="1" x14ac:dyDescent="0.3">
      <c r="A1123" s="262" t="s">
        <v>3364</v>
      </c>
      <c r="B1123" s="262" t="s">
        <v>2370</v>
      </c>
      <c r="C1123" s="262" t="s">
        <v>3288</v>
      </c>
      <c r="D1123" s="262" t="s">
        <v>3153</v>
      </c>
      <c r="E1123" s="263">
        <v>4</v>
      </c>
      <c r="F1123" s="262" t="s">
        <v>2379</v>
      </c>
      <c r="G1123" s="262" t="s">
        <v>2470</v>
      </c>
      <c r="H1123" s="395"/>
    </row>
    <row r="1124" spans="1:8" ht="14.55" hidden="1" customHeight="1" x14ac:dyDescent="0.3">
      <c r="A1124" s="262" t="s">
        <v>3364</v>
      </c>
      <c r="B1124" s="262" t="s">
        <v>2370</v>
      </c>
      <c r="C1124" s="262" t="s">
        <v>3288</v>
      </c>
      <c r="D1124" s="262" t="s">
        <v>3370</v>
      </c>
      <c r="E1124" s="263">
        <v>6</v>
      </c>
      <c r="F1124" s="262" t="s">
        <v>2389</v>
      </c>
      <c r="G1124" s="262" t="s">
        <v>2390</v>
      </c>
      <c r="H1124" s="395"/>
    </row>
    <row r="1125" spans="1:8" ht="14.55" hidden="1" customHeight="1" x14ac:dyDescent="0.3">
      <c r="A1125" s="262" t="s">
        <v>3364</v>
      </c>
      <c r="B1125" s="262" t="s">
        <v>2370</v>
      </c>
      <c r="C1125" s="262" t="s">
        <v>3288</v>
      </c>
      <c r="D1125" s="262" t="s">
        <v>3371</v>
      </c>
      <c r="E1125" s="263">
        <v>8</v>
      </c>
      <c r="F1125" s="262" t="s">
        <v>2419</v>
      </c>
      <c r="G1125" s="262" t="s">
        <v>2432</v>
      </c>
      <c r="H1125" s="395"/>
    </row>
    <row r="1126" spans="1:8" ht="14.55" hidden="1" customHeight="1" x14ac:dyDescent="0.3">
      <c r="A1126" s="262" t="s">
        <v>3364</v>
      </c>
      <c r="B1126" s="262" t="s">
        <v>2370</v>
      </c>
      <c r="C1126" s="262" t="s">
        <v>3288</v>
      </c>
      <c r="D1126" s="262" t="s">
        <v>3372</v>
      </c>
      <c r="E1126" s="263">
        <v>6</v>
      </c>
      <c r="F1126" s="262" t="s">
        <v>2379</v>
      </c>
      <c r="G1126" s="262" t="s">
        <v>2544</v>
      </c>
      <c r="H1126" s="395"/>
    </row>
    <row r="1127" spans="1:8" ht="14.55" hidden="1" customHeight="1" x14ac:dyDescent="0.3">
      <c r="A1127" s="262" t="s">
        <v>3364</v>
      </c>
      <c r="B1127" s="262" t="s">
        <v>2370</v>
      </c>
      <c r="C1127" s="262" t="s">
        <v>3288</v>
      </c>
      <c r="D1127" s="262" t="s">
        <v>3373</v>
      </c>
      <c r="E1127" s="263">
        <v>6</v>
      </c>
      <c r="F1127" s="262" t="s">
        <v>2373</v>
      </c>
      <c r="G1127" s="262" t="s">
        <v>2374</v>
      </c>
      <c r="H1127" s="395"/>
    </row>
    <row r="1128" spans="1:8" ht="14.55" hidden="1" customHeight="1" x14ac:dyDescent="0.3">
      <c r="A1128" s="262" t="s">
        <v>3364</v>
      </c>
      <c r="B1128" s="262" t="s">
        <v>2370</v>
      </c>
      <c r="C1128" s="262" t="s">
        <v>3288</v>
      </c>
      <c r="D1128" s="262" t="s">
        <v>3374</v>
      </c>
      <c r="E1128" s="263">
        <v>8</v>
      </c>
      <c r="F1128" s="262" t="s">
        <v>2373</v>
      </c>
      <c r="G1128" s="262" t="s">
        <v>2374</v>
      </c>
      <c r="H1128" s="395"/>
    </row>
    <row r="1129" spans="1:8" x14ac:dyDescent="0.3">
      <c r="A1129" s="264" t="s">
        <v>3364</v>
      </c>
      <c r="B1129" s="264" t="s">
        <v>2370</v>
      </c>
      <c r="C1129" s="264" t="s">
        <v>3288</v>
      </c>
      <c r="D1129" s="264" t="s">
        <v>2690</v>
      </c>
      <c r="E1129" s="265">
        <v>4</v>
      </c>
      <c r="F1129" s="264" t="s">
        <v>2379</v>
      </c>
      <c r="G1129" s="264" t="s">
        <v>2402</v>
      </c>
      <c r="H1129" s="396"/>
    </row>
    <row r="1130" spans="1:8" ht="14.55" hidden="1" customHeight="1" x14ac:dyDescent="0.3">
      <c r="A1130" s="262" t="s">
        <v>3364</v>
      </c>
      <c r="B1130" s="262" t="s">
        <v>2370</v>
      </c>
      <c r="C1130" s="262" t="s">
        <v>3288</v>
      </c>
      <c r="D1130" s="262" t="s">
        <v>3361</v>
      </c>
      <c r="E1130" s="263">
        <v>6</v>
      </c>
      <c r="F1130" s="262" t="s">
        <v>2389</v>
      </c>
      <c r="G1130" s="262" t="s">
        <v>2428</v>
      </c>
      <c r="H1130" s="395"/>
    </row>
    <row r="1131" spans="1:8" ht="14.55" hidden="1" customHeight="1" x14ac:dyDescent="0.3">
      <c r="A1131" s="262" t="s">
        <v>3364</v>
      </c>
      <c r="B1131" s="262" t="s">
        <v>2370</v>
      </c>
      <c r="C1131" s="262" t="s">
        <v>3288</v>
      </c>
      <c r="D1131" s="262" t="s">
        <v>3375</v>
      </c>
      <c r="E1131" s="263">
        <v>4</v>
      </c>
      <c r="F1131" s="262" t="s">
        <v>2379</v>
      </c>
      <c r="G1131" s="262" t="s">
        <v>3376</v>
      </c>
      <c r="H1131" s="395"/>
    </row>
    <row r="1132" spans="1:8" ht="14.55" hidden="1" customHeight="1" x14ac:dyDescent="0.3">
      <c r="A1132" s="262" t="s">
        <v>3364</v>
      </c>
      <c r="B1132" s="262" t="s">
        <v>2370</v>
      </c>
      <c r="C1132" s="262" t="s">
        <v>3288</v>
      </c>
      <c r="D1132" s="262" t="s">
        <v>3377</v>
      </c>
      <c r="E1132" s="263">
        <v>8</v>
      </c>
      <c r="F1132" s="262" t="s">
        <v>2389</v>
      </c>
      <c r="G1132" s="262" t="s">
        <v>2428</v>
      </c>
      <c r="H1132" s="395"/>
    </row>
    <row r="1133" spans="1:8" ht="14.55" hidden="1" customHeight="1" x14ac:dyDescent="0.3">
      <c r="A1133" s="262" t="s">
        <v>3364</v>
      </c>
      <c r="B1133" s="262" t="s">
        <v>2370</v>
      </c>
      <c r="C1133" s="262" t="s">
        <v>3288</v>
      </c>
      <c r="D1133" s="262" t="s">
        <v>3378</v>
      </c>
      <c r="E1133" s="263">
        <v>4</v>
      </c>
      <c r="F1133" s="262" t="s">
        <v>2376</v>
      </c>
      <c r="G1133" s="262" t="s">
        <v>2394</v>
      </c>
      <c r="H1133" s="395"/>
    </row>
    <row r="1134" spans="1:8" ht="14.55" hidden="1" customHeight="1" x14ac:dyDescent="0.3">
      <c r="A1134" s="262" t="s">
        <v>3364</v>
      </c>
      <c r="B1134" s="262" t="s">
        <v>2380</v>
      </c>
      <c r="C1134" s="262" t="s">
        <v>3288</v>
      </c>
      <c r="D1134" s="262" t="s">
        <v>3379</v>
      </c>
      <c r="E1134" s="263">
        <v>6</v>
      </c>
      <c r="F1134" s="262" t="s">
        <v>2379</v>
      </c>
      <c r="G1134" s="262" t="s">
        <v>2470</v>
      </c>
      <c r="H1134" s="395"/>
    </row>
    <row r="1135" spans="1:8" ht="14.55" hidden="1" customHeight="1" x14ac:dyDescent="0.3">
      <c r="A1135" s="262" t="s">
        <v>3364</v>
      </c>
      <c r="B1135" s="262" t="s">
        <v>2370</v>
      </c>
      <c r="C1135" s="262" t="s">
        <v>3288</v>
      </c>
      <c r="D1135" s="262" t="s">
        <v>3380</v>
      </c>
      <c r="E1135" s="263">
        <v>4</v>
      </c>
      <c r="F1135" s="262" t="s">
        <v>2389</v>
      </c>
      <c r="G1135" s="262" t="s">
        <v>2428</v>
      </c>
      <c r="H1135" s="395"/>
    </row>
    <row r="1136" spans="1:8" ht="14.55" hidden="1" customHeight="1" x14ac:dyDescent="0.3">
      <c r="A1136" s="262" t="s">
        <v>3364</v>
      </c>
      <c r="B1136" s="262" t="s">
        <v>2380</v>
      </c>
      <c r="C1136" s="262" t="s">
        <v>3312</v>
      </c>
      <c r="D1136" s="262" t="s">
        <v>3381</v>
      </c>
      <c r="E1136" s="263">
        <v>4</v>
      </c>
      <c r="F1136" s="262" t="s">
        <v>2379</v>
      </c>
      <c r="G1136" s="262" t="s">
        <v>2463</v>
      </c>
      <c r="H1136" s="395"/>
    </row>
    <row r="1137" spans="1:8" x14ac:dyDescent="0.3">
      <c r="A1137" s="264" t="s">
        <v>3364</v>
      </c>
      <c r="B1137" s="264" t="s">
        <v>2380</v>
      </c>
      <c r="C1137" s="264" t="s">
        <v>3312</v>
      </c>
      <c r="D1137" s="264" t="s">
        <v>3382</v>
      </c>
      <c r="E1137" s="265">
        <v>4</v>
      </c>
      <c r="F1137" s="264" t="s">
        <v>2379</v>
      </c>
      <c r="G1137" s="264" t="s">
        <v>2402</v>
      </c>
      <c r="H1137" s="396"/>
    </row>
    <row r="1138" spans="1:8" ht="14.55" hidden="1" customHeight="1" x14ac:dyDescent="0.3">
      <c r="A1138" s="262" t="s">
        <v>3364</v>
      </c>
      <c r="B1138" s="262" t="s">
        <v>2380</v>
      </c>
      <c r="C1138" s="262" t="s">
        <v>3288</v>
      </c>
      <c r="D1138" s="262" t="s">
        <v>3383</v>
      </c>
      <c r="E1138" s="263">
        <v>8</v>
      </c>
      <c r="F1138" s="262" t="s">
        <v>2389</v>
      </c>
      <c r="G1138" s="262" t="s">
        <v>2428</v>
      </c>
      <c r="H1138" s="395"/>
    </row>
    <row r="1139" spans="1:8" ht="14.55" hidden="1" customHeight="1" x14ac:dyDescent="0.3">
      <c r="A1139" s="262" t="s">
        <v>3364</v>
      </c>
      <c r="B1139" s="262" t="s">
        <v>2380</v>
      </c>
      <c r="C1139" s="262" t="s">
        <v>3288</v>
      </c>
      <c r="D1139" s="262" t="s">
        <v>3384</v>
      </c>
      <c r="E1139" s="263">
        <v>6</v>
      </c>
      <c r="F1139" s="262" t="s">
        <v>2419</v>
      </c>
      <c r="G1139" s="262" t="s">
        <v>2488</v>
      </c>
      <c r="H1139" s="395"/>
    </row>
    <row r="1140" spans="1:8" ht="14.55" hidden="1" customHeight="1" x14ac:dyDescent="0.3">
      <c r="A1140" s="262" t="s">
        <v>3364</v>
      </c>
      <c r="B1140" s="262" t="s">
        <v>2380</v>
      </c>
      <c r="C1140" s="262" t="s">
        <v>3312</v>
      </c>
      <c r="D1140" s="262" t="s">
        <v>3385</v>
      </c>
      <c r="E1140" s="263">
        <v>6</v>
      </c>
      <c r="F1140" s="262" t="s">
        <v>2389</v>
      </c>
      <c r="G1140" s="262" t="s">
        <v>2428</v>
      </c>
      <c r="H1140" s="395"/>
    </row>
    <row r="1141" spans="1:8" ht="14.55" hidden="1" customHeight="1" x14ac:dyDescent="0.3">
      <c r="A1141" s="262" t="s">
        <v>3364</v>
      </c>
      <c r="B1141" s="262" t="s">
        <v>2380</v>
      </c>
      <c r="C1141" s="262" t="s">
        <v>3312</v>
      </c>
      <c r="D1141" s="262" t="s">
        <v>3386</v>
      </c>
      <c r="E1141" s="263">
        <v>6</v>
      </c>
      <c r="F1141" s="262" t="s">
        <v>2373</v>
      </c>
      <c r="G1141" s="262" t="s">
        <v>2596</v>
      </c>
      <c r="H1141" s="395"/>
    </row>
    <row r="1142" spans="1:8" ht="14.55" hidden="1" customHeight="1" x14ac:dyDescent="0.3">
      <c r="A1142" s="262" t="s">
        <v>3364</v>
      </c>
      <c r="B1142" s="262" t="s">
        <v>2380</v>
      </c>
      <c r="C1142" s="262" t="s">
        <v>3312</v>
      </c>
      <c r="D1142" s="262" t="s">
        <v>3387</v>
      </c>
      <c r="E1142" s="263">
        <v>7</v>
      </c>
      <c r="F1142" s="262" t="s">
        <v>2389</v>
      </c>
      <c r="G1142" s="262" t="s">
        <v>2408</v>
      </c>
      <c r="H1142" s="395"/>
    </row>
    <row r="1143" spans="1:8" ht="14.55" hidden="1" customHeight="1" x14ac:dyDescent="0.3">
      <c r="A1143" s="262" t="s">
        <v>3364</v>
      </c>
      <c r="B1143" s="262" t="s">
        <v>2370</v>
      </c>
      <c r="C1143" s="262" t="s">
        <v>3288</v>
      </c>
      <c r="D1143" s="262" t="s">
        <v>3388</v>
      </c>
      <c r="E1143" s="263">
        <v>8</v>
      </c>
      <c r="F1143" s="262" t="s">
        <v>2376</v>
      </c>
      <c r="G1143" s="262" t="s">
        <v>2377</v>
      </c>
      <c r="H1143" s="395"/>
    </row>
    <row r="1144" spans="1:8" ht="14.55" hidden="1" customHeight="1" x14ac:dyDescent="0.3">
      <c r="A1144" s="262" t="s">
        <v>3364</v>
      </c>
      <c r="B1144" s="262" t="s">
        <v>2370</v>
      </c>
      <c r="C1144" s="262" t="s">
        <v>3288</v>
      </c>
      <c r="D1144" s="262" t="s">
        <v>3389</v>
      </c>
      <c r="E1144" s="263">
        <v>6</v>
      </c>
      <c r="F1144" s="262" t="s">
        <v>2389</v>
      </c>
      <c r="G1144" s="262" t="s">
        <v>3390</v>
      </c>
      <c r="H1144" s="395"/>
    </row>
    <row r="1145" spans="1:8" x14ac:dyDescent="0.3">
      <c r="A1145" s="264" t="s">
        <v>3364</v>
      </c>
      <c r="B1145" s="264" t="s">
        <v>2380</v>
      </c>
      <c r="C1145" s="264" t="s">
        <v>3312</v>
      </c>
      <c r="D1145" s="264" t="s">
        <v>3391</v>
      </c>
      <c r="E1145" s="265">
        <v>4</v>
      </c>
      <c r="F1145" s="264" t="s">
        <v>2379</v>
      </c>
      <c r="G1145" s="264" t="s">
        <v>2402</v>
      </c>
      <c r="H1145" s="396"/>
    </row>
    <row r="1146" spans="1:8" ht="14.55" hidden="1" customHeight="1" x14ac:dyDescent="0.3">
      <c r="A1146" s="262" t="s">
        <v>3364</v>
      </c>
      <c r="B1146" s="262" t="s">
        <v>2380</v>
      </c>
      <c r="C1146" s="262" t="s">
        <v>3288</v>
      </c>
      <c r="D1146" s="262" t="s">
        <v>3392</v>
      </c>
      <c r="E1146" s="263">
        <v>6</v>
      </c>
      <c r="F1146" s="262" t="s">
        <v>2379</v>
      </c>
      <c r="G1146" s="262" t="s">
        <v>2470</v>
      </c>
      <c r="H1146" s="395"/>
    </row>
    <row r="1147" spans="1:8" x14ac:dyDescent="0.3">
      <c r="A1147" s="264" t="s">
        <v>3364</v>
      </c>
      <c r="B1147" s="264" t="s">
        <v>2370</v>
      </c>
      <c r="C1147" s="264" t="s">
        <v>3288</v>
      </c>
      <c r="D1147" s="264" t="s">
        <v>3393</v>
      </c>
      <c r="E1147" s="265">
        <v>8</v>
      </c>
      <c r="F1147" s="264" t="s">
        <v>2379</v>
      </c>
      <c r="G1147" s="264" t="s">
        <v>2402</v>
      </c>
      <c r="H1147" s="396"/>
    </row>
    <row r="1148" spans="1:8" ht="14.55" hidden="1" customHeight="1" x14ac:dyDescent="0.3">
      <c r="A1148" s="262" t="s">
        <v>3364</v>
      </c>
      <c r="B1148" s="262" t="s">
        <v>2370</v>
      </c>
      <c r="C1148" s="262" t="s">
        <v>3288</v>
      </c>
      <c r="D1148" s="262" t="s">
        <v>3394</v>
      </c>
      <c r="E1148" s="263">
        <v>8</v>
      </c>
      <c r="F1148" s="262" t="s">
        <v>2419</v>
      </c>
      <c r="G1148" s="262" t="s">
        <v>2420</v>
      </c>
      <c r="H1148" s="395"/>
    </row>
    <row r="1149" spans="1:8" ht="14.55" hidden="1" customHeight="1" x14ac:dyDescent="0.3">
      <c r="A1149" s="262" t="s">
        <v>3364</v>
      </c>
      <c r="B1149" s="262" t="s">
        <v>2380</v>
      </c>
      <c r="C1149" s="262" t="s">
        <v>3288</v>
      </c>
      <c r="D1149" s="262" t="s">
        <v>3395</v>
      </c>
      <c r="E1149" s="263">
        <v>8</v>
      </c>
      <c r="F1149" s="262" t="s">
        <v>2373</v>
      </c>
      <c r="G1149" s="262" t="s">
        <v>2392</v>
      </c>
      <c r="H1149" s="395"/>
    </row>
    <row r="1150" spans="1:8" ht="14.55" hidden="1" customHeight="1" x14ac:dyDescent="0.3">
      <c r="A1150" s="262" t="s">
        <v>3364</v>
      </c>
      <c r="B1150" s="262" t="s">
        <v>2370</v>
      </c>
      <c r="C1150" s="262" t="s">
        <v>3288</v>
      </c>
      <c r="D1150" s="262" t="s">
        <v>3396</v>
      </c>
      <c r="E1150" s="263">
        <v>8</v>
      </c>
      <c r="F1150" s="262" t="s">
        <v>2419</v>
      </c>
      <c r="G1150" s="262" t="s">
        <v>2488</v>
      </c>
      <c r="H1150" s="395"/>
    </row>
    <row r="1151" spans="1:8" ht="14.55" hidden="1" customHeight="1" x14ac:dyDescent="0.3">
      <c r="A1151" s="262" t="s">
        <v>3364</v>
      </c>
      <c r="B1151" s="262" t="s">
        <v>2380</v>
      </c>
      <c r="C1151" s="262" t="s">
        <v>3312</v>
      </c>
      <c r="D1151" s="262" t="s">
        <v>2560</v>
      </c>
      <c r="E1151" s="263">
        <v>3</v>
      </c>
      <c r="F1151" s="262" t="s">
        <v>2419</v>
      </c>
      <c r="G1151" s="262" t="s">
        <v>2432</v>
      </c>
      <c r="H1151" s="395"/>
    </row>
    <row r="1152" spans="1:8" ht="14.55" hidden="1" customHeight="1" x14ac:dyDescent="0.3">
      <c r="A1152" s="262" t="s">
        <v>3364</v>
      </c>
      <c r="B1152" s="262" t="s">
        <v>2380</v>
      </c>
      <c r="C1152" s="262" t="s">
        <v>3288</v>
      </c>
      <c r="D1152" s="262" t="s">
        <v>3397</v>
      </c>
      <c r="E1152" s="263">
        <v>6</v>
      </c>
      <c r="F1152" s="262" t="s">
        <v>2419</v>
      </c>
      <c r="G1152" s="262" t="s">
        <v>2488</v>
      </c>
      <c r="H1152" s="395"/>
    </row>
    <row r="1153" spans="1:8" x14ac:dyDescent="0.3">
      <c r="A1153" s="264" t="s">
        <v>3364</v>
      </c>
      <c r="B1153" s="264" t="s">
        <v>2370</v>
      </c>
      <c r="C1153" s="264" t="s">
        <v>3288</v>
      </c>
      <c r="D1153" s="264" t="s">
        <v>3398</v>
      </c>
      <c r="E1153" s="265">
        <v>8</v>
      </c>
      <c r="F1153" s="264" t="s">
        <v>2379</v>
      </c>
      <c r="G1153" s="264" t="s">
        <v>2402</v>
      </c>
      <c r="H1153" s="396"/>
    </row>
    <row r="1154" spans="1:8" ht="14.55" hidden="1" customHeight="1" x14ac:dyDescent="0.3">
      <c r="A1154" s="262" t="s">
        <v>3364</v>
      </c>
      <c r="B1154" s="262" t="s">
        <v>2370</v>
      </c>
      <c r="C1154" s="262" t="s">
        <v>3288</v>
      </c>
      <c r="D1154" s="262" t="s">
        <v>3399</v>
      </c>
      <c r="E1154" s="263">
        <v>8</v>
      </c>
      <c r="F1154" s="262" t="s">
        <v>2379</v>
      </c>
      <c r="G1154" s="262" t="s">
        <v>2568</v>
      </c>
      <c r="H1154" s="395"/>
    </row>
    <row r="1155" spans="1:8" x14ac:dyDescent="0.3">
      <c r="A1155" s="264" t="s">
        <v>3364</v>
      </c>
      <c r="B1155" s="264" t="s">
        <v>2370</v>
      </c>
      <c r="C1155" s="264" t="s">
        <v>3288</v>
      </c>
      <c r="D1155" s="264" t="s">
        <v>3400</v>
      </c>
      <c r="E1155" s="265">
        <v>8</v>
      </c>
      <c r="F1155" s="264" t="s">
        <v>2379</v>
      </c>
      <c r="G1155" s="264" t="s">
        <v>2402</v>
      </c>
      <c r="H1155" s="396"/>
    </row>
    <row r="1156" spans="1:8" ht="14.55" hidden="1" customHeight="1" x14ac:dyDescent="0.3">
      <c r="A1156" s="262" t="s">
        <v>3364</v>
      </c>
      <c r="B1156" s="262" t="s">
        <v>2370</v>
      </c>
      <c r="C1156" s="262" t="s">
        <v>3288</v>
      </c>
      <c r="D1156" s="262" t="s">
        <v>3401</v>
      </c>
      <c r="E1156" s="263">
        <v>6</v>
      </c>
      <c r="F1156" s="262" t="s">
        <v>2376</v>
      </c>
      <c r="G1156" s="262" t="s">
        <v>2406</v>
      </c>
      <c r="H1156" s="395"/>
    </row>
    <row r="1157" spans="1:8" ht="14.55" hidden="1" customHeight="1" x14ac:dyDescent="0.3">
      <c r="A1157" s="262" t="s">
        <v>3364</v>
      </c>
      <c r="B1157" s="262" t="s">
        <v>2370</v>
      </c>
      <c r="C1157" s="262" t="s">
        <v>3288</v>
      </c>
      <c r="D1157" s="262" t="s">
        <v>3402</v>
      </c>
      <c r="E1157" s="263">
        <v>4</v>
      </c>
      <c r="F1157" s="262" t="s">
        <v>2376</v>
      </c>
      <c r="G1157" s="262" t="s">
        <v>2394</v>
      </c>
      <c r="H1157" s="395"/>
    </row>
    <row r="1158" spans="1:8" x14ac:dyDescent="0.3">
      <c r="A1158" s="264" t="s">
        <v>3364</v>
      </c>
      <c r="B1158" s="264" t="s">
        <v>2370</v>
      </c>
      <c r="C1158" s="264" t="s">
        <v>3288</v>
      </c>
      <c r="D1158" s="264" t="s">
        <v>3403</v>
      </c>
      <c r="E1158" s="265">
        <v>4</v>
      </c>
      <c r="F1158" s="264" t="s">
        <v>2379</v>
      </c>
      <c r="G1158" s="264" t="s">
        <v>2402</v>
      </c>
      <c r="H1158" s="396"/>
    </row>
    <row r="1159" spans="1:8" ht="14.55" hidden="1" customHeight="1" x14ac:dyDescent="0.3">
      <c r="A1159" s="262" t="s">
        <v>3364</v>
      </c>
      <c r="B1159" s="262" t="s">
        <v>2370</v>
      </c>
      <c r="C1159" s="262" t="s">
        <v>3288</v>
      </c>
      <c r="D1159" s="262" t="s">
        <v>3404</v>
      </c>
      <c r="E1159" s="263">
        <v>8</v>
      </c>
      <c r="F1159" s="262" t="s">
        <v>2379</v>
      </c>
      <c r="G1159" s="262" t="s">
        <v>2470</v>
      </c>
      <c r="H1159" s="395"/>
    </row>
    <row r="1160" spans="1:8" ht="14.55" hidden="1" customHeight="1" x14ac:dyDescent="0.3">
      <c r="A1160" s="262" t="s">
        <v>3364</v>
      </c>
      <c r="B1160" s="262" t="s">
        <v>2370</v>
      </c>
      <c r="C1160" s="262" t="s">
        <v>3288</v>
      </c>
      <c r="D1160" s="262" t="s">
        <v>3405</v>
      </c>
      <c r="E1160" s="263">
        <v>6</v>
      </c>
      <c r="F1160" s="262" t="s">
        <v>2419</v>
      </c>
      <c r="G1160" s="262" t="s">
        <v>2432</v>
      </c>
      <c r="H1160" s="395"/>
    </row>
    <row r="1161" spans="1:8" ht="14.55" hidden="1" customHeight="1" x14ac:dyDescent="0.3">
      <c r="A1161" s="262" t="s">
        <v>3364</v>
      </c>
      <c r="B1161" s="262" t="s">
        <v>2370</v>
      </c>
      <c r="C1161" s="262" t="s">
        <v>3288</v>
      </c>
      <c r="D1161" s="262" t="s">
        <v>3406</v>
      </c>
      <c r="E1161" s="263">
        <v>4</v>
      </c>
      <c r="F1161" s="262" t="s">
        <v>2389</v>
      </c>
      <c r="G1161" s="262" t="s">
        <v>2428</v>
      </c>
      <c r="H1161" s="395"/>
    </row>
    <row r="1162" spans="1:8" ht="14.55" hidden="1" customHeight="1" x14ac:dyDescent="0.3">
      <c r="A1162" s="262" t="s">
        <v>3364</v>
      </c>
      <c r="B1162" s="262" t="s">
        <v>2370</v>
      </c>
      <c r="C1162" s="262" t="s">
        <v>3288</v>
      </c>
      <c r="D1162" s="262" t="s">
        <v>3407</v>
      </c>
      <c r="E1162" s="263">
        <v>8</v>
      </c>
      <c r="F1162" s="262" t="s">
        <v>2389</v>
      </c>
      <c r="G1162" s="262" t="s">
        <v>2408</v>
      </c>
      <c r="H1162" s="395"/>
    </row>
    <row r="1163" spans="1:8" ht="14.55" hidden="1" customHeight="1" x14ac:dyDescent="0.3">
      <c r="A1163" s="262" t="s">
        <v>3364</v>
      </c>
      <c r="B1163" s="262" t="s">
        <v>2370</v>
      </c>
      <c r="C1163" s="262" t="s">
        <v>3288</v>
      </c>
      <c r="D1163" s="262" t="s">
        <v>3408</v>
      </c>
      <c r="E1163" s="263">
        <v>6</v>
      </c>
      <c r="F1163" s="262" t="s">
        <v>2389</v>
      </c>
      <c r="G1163" s="262" t="s">
        <v>2631</v>
      </c>
      <c r="H1163" s="395"/>
    </row>
    <row r="1164" spans="1:8" ht="14.55" hidden="1" customHeight="1" x14ac:dyDescent="0.3">
      <c r="A1164" s="262" t="s">
        <v>3364</v>
      </c>
      <c r="B1164" s="262" t="s">
        <v>2370</v>
      </c>
      <c r="C1164" s="262" t="s">
        <v>3288</v>
      </c>
      <c r="D1164" s="262" t="s">
        <v>3409</v>
      </c>
      <c r="E1164" s="263">
        <v>8</v>
      </c>
      <c r="F1164" s="262" t="s">
        <v>2373</v>
      </c>
      <c r="G1164" s="262" t="s">
        <v>2596</v>
      </c>
      <c r="H1164" s="395"/>
    </row>
    <row r="1165" spans="1:8" ht="14.55" hidden="1" customHeight="1" x14ac:dyDescent="0.3">
      <c r="A1165" s="262" t="s">
        <v>3364</v>
      </c>
      <c r="B1165" s="262" t="s">
        <v>2370</v>
      </c>
      <c r="C1165" s="262" t="s">
        <v>3288</v>
      </c>
      <c r="D1165" s="262" t="s">
        <v>3410</v>
      </c>
      <c r="E1165" s="263">
        <v>6</v>
      </c>
      <c r="F1165" s="262" t="s">
        <v>2389</v>
      </c>
      <c r="G1165" s="262" t="s">
        <v>2408</v>
      </c>
      <c r="H1165" s="395"/>
    </row>
    <row r="1166" spans="1:8" ht="14.55" hidden="1" customHeight="1" x14ac:dyDescent="0.3">
      <c r="A1166" s="262" t="s">
        <v>3364</v>
      </c>
      <c r="B1166" s="262" t="s">
        <v>2370</v>
      </c>
      <c r="C1166" s="262" t="s">
        <v>3312</v>
      </c>
      <c r="D1166" s="262" t="s">
        <v>2921</v>
      </c>
      <c r="E1166" s="263">
        <v>4</v>
      </c>
      <c r="F1166" s="262" t="s">
        <v>2379</v>
      </c>
      <c r="G1166" s="262" t="s">
        <v>2396</v>
      </c>
      <c r="H1166" s="395"/>
    </row>
    <row r="1167" spans="1:8" ht="14.55" hidden="1" customHeight="1" x14ac:dyDescent="0.3">
      <c r="A1167" s="262" t="s">
        <v>3364</v>
      </c>
      <c r="B1167" s="262" t="s">
        <v>2370</v>
      </c>
      <c r="C1167" s="262" t="s">
        <v>3288</v>
      </c>
      <c r="D1167" s="262" t="s">
        <v>3411</v>
      </c>
      <c r="E1167" s="263">
        <v>8</v>
      </c>
      <c r="F1167" s="262" t="s">
        <v>2379</v>
      </c>
      <c r="G1167" s="262" t="s">
        <v>3412</v>
      </c>
      <c r="H1167" s="395"/>
    </row>
    <row r="1168" spans="1:8" ht="14.55" hidden="1" customHeight="1" x14ac:dyDescent="0.3">
      <c r="A1168" s="262" t="s">
        <v>3364</v>
      </c>
      <c r="B1168" s="262" t="s">
        <v>2380</v>
      </c>
      <c r="C1168" s="262" t="s">
        <v>3312</v>
      </c>
      <c r="D1168" s="262" t="s">
        <v>3413</v>
      </c>
      <c r="E1168" s="263">
        <v>8</v>
      </c>
      <c r="F1168" s="262" t="s">
        <v>2376</v>
      </c>
      <c r="G1168" s="262" t="s">
        <v>2377</v>
      </c>
      <c r="H1168" s="395"/>
    </row>
    <row r="1169" spans="1:8" ht="14.55" hidden="1" customHeight="1" x14ac:dyDescent="0.3">
      <c r="A1169" s="262" t="s">
        <v>3364</v>
      </c>
      <c r="B1169" s="262" t="s">
        <v>2370</v>
      </c>
      <c r="C1169" s="262" t="s">
        <v>3312</v>
      </c>
      <c r="D1169" s="262" t="s">
        <v>3414</v>
      </c>
      <c r="E1169" s="263">
        <v>6</v>
      </c>
      <c r="F1169" s="262" t="s">
        <v>2419</v>
      </c>
      <c r="G1169" s="262" t="s">
        <v>3415</v>
      </c>
      <c r="H1169" s="395"/>
    </row>
    <row r="1170" spans="1:8" ht="14.55" hidden="1" customHeight="1" x14ac:dyDescent="0.3">
      <c r="A1170" s="262" t="s">
        <v>3364</v>
      </c>
      <c r="B1170" s="262" t="s">
        <v>2370</v>
      </c>
      <c r="C1170" s="262" t="s">
        <v>3288</v>
      </c>
      <c r="D1170" s="262" t="s">
        <v>3416</v>
      </c>
      <c r="E1170" s="263">
        <v>8</v>
      </c>
      <c r="F1170" s="262" t="s">
        <v>2379</v>
      </c>
      <c r="G1170" s="262" t="s">
        <v>2470</v>
      </c>
      <c r="H1170" s="395"/>
    </row>
    <row r="1171" spans="1:8" ht="14.55" hidden="1" customHeight="1" x14ac:dyDescent="0.3">
      <c r="A1171" s="262" t="s">
        <v>3364</v>
      </c>
      <c r="B1171" s="262" t="s">
        <v>2370</v>
      </c>
      <c r="C1171" s="262" t="s">
        <v>3288</v>
      </c>
      <c r="D1171" s="262" t="s">
        <v>3417</v>
      </c>
      <c r="E1171" s="263">
        <v>6</v>
      </c>
      <c r="F1171" s="262" t="s">
        <v>2379</v>
      </c>
      <c r="G1171" s="262" t="s">
        <v>2544</v>
      </c>
      <c r="H1171" s="395"/>
    </row>
    <row r="1172" spans="1:8" ht="14.55" hidden="1" customHeight="1" x14ac:dyDescent="0.3">
      <c r="A1172" s="262" t="s">
        <v>3364</v>
      </c>
      <c r="B1172" s="262" t="s">
        <v>2380</v>
      </c>
      <c r="C1172" s="262" t="s">
        <v>3288</v>
      </c>
      <c r="D1172" s="262" t="s">
        <v>3418</v>
      </c>
      <c r="E1172" s="263">
        <v>6</v>
      </c>
      <c r="F1172" s="262" t="s">
        <v>2379</v>
      </c>
      <c r="G1172" s="262" t="s">
        <v>2544</v>
      </c>
      <c r="H1172" s="395"/>
    </row>
    <row r="1173" spans="1:8" ht="14.55" hidden="1" customHeight="1" x14ac:dyDescent="0.3">
      <c r="A1173" s="262" t="s">
        <v>3364</v>
      </c>
      <c r="B1173" s="262" t="s">
        <v>2370</v>
      </c>
      <c r="C1173" s="262" t="s">
        <v>3288</v>
      </c>
      <c r="D1173" s="262" t="s">
        <v>3419</v>
      </c>
      <c r="E1173" s="263">
        <v>6</v>
      </c>
      <c r="F1173" s="262" t="s">
        <v>2379</v>
      </c>
      <c r="G1173" s="262" t="s">
        <v>3420</v>
      </c>
      <c r="H1173" s="395"/>
    </row>
    <row r="1174" spans="1:8" ht="14.55" hidden="1" customHeight="1" x14ac:dyDescent="0.3">
      <c r="A1174" s="262" t="s">
        <v>3364</v>
      </c>
      <c r="B1174" s="262" t="s">
        <v>2380</v>
      </c>
      <c r="C1174" s="262" t="s">
        <v>3288</v>
      </c>
      <c r="D1174" s="262" t="s">
        <v>3421</v>
      </c>
      <c r="E1174" s="263">
        <v>6</v>
      </c>
      <c r="F1174" s="262" t="s">
        <v>2379</v>
      </c>
      <c r="G1174" s="262" t="s">
        <v>2396</v>
      </c>
      <c r="H1174" s="395"/>
    </row>
    <row r="1175" spans="1:8" ht="14.55" hidden="1" customHeight="1" x14ac:dyDescent="0.3">
      <c r="A1175" s="262" t="s">
        <v>3364</v>
      </c>
      <c r="B1175" s="262" t="s">
        <v>2370</v>
      </c>
      <c r="C1175" s="262" t="s">
        <v>3288</v>
      </c>
      <c r="D1175" s="262" t="s">
        <v>3422</v>
      </c>
      <c r="E1175" s="263">
        <v>4</v>
      </c>
      <c r="F1175" s="262" t="s">
        <v>2379</v>
      </c>
      <c r="G1175" s="262" t="s">
        <v>2396</v>
      </c>
      <c r="H1175" s="395"/>
    </row>
    <row r="1176" spans="1:8" ht="14.55" hidden="1" customHeight="1" x14ac:dyDescent="0.3">
      <c r="A1176" s="262" t="s">
        <v>3364</v>
      </c>
      <c r="B1176" s="262" t="s">
        <v>2370</v>
      </c>
      <c r="C1176" s="262" t="s">
        <v>3288</v>
      </c>
      <c r="D1176" s="262" t="s">
        <v>3423</v>
      </c>
      <c r="E1176" s="263">
        <v>6</v>
      </c>
      <c r="F1176" s="262" t="s">
        <v>2419</v>
      </c>
      <c r="G1176" s="262" t="s">
        <v>2432</v>
      </c>
      <c r="H1176" s="395"/>
    </row>
    <row r="1177" spans="1:8" ht="14.55" hidden="1" customHeight="1" x14ac:dyDescent="0.3">
      <c r="A1177" s="262" t="s">
        <v>3364</v>
      </c>
      <c r="B1177" s="262" t="s">
        <v>2370</v>
      </c>
      <c r="C1177" s="262" t="s">
        <v>3288</v>
      </c>
      <c r="D1177" s="262" t="s">
        <v>3424</v>
      </c>
      <c r="E1177" s="263">
        <v>6</v>
      </c>
      <c r="F1177" s="262" t="s">
        <v>2379</v>
      </c>
      <c r="G1177" s="262" t="s">
        <v>2396</v>
      </c>
      <c r="H1177" s="395"/>
    </row>
    <row r="1178" spans="1:8" ht="14.55" hidden="1" customHeight="1" x14ac:dyDescent="0.3">
      <c r="A1178" s="262" t="s">
        <v>3364</v>
      </c>
      <c r="B1178" s="262" t="s">
        <v>2370</v>
      </c>
      <c r="C1178" s="262" t="s">
        <v>3288</v>
      </c>
      <c r="D1178" s="262" t="s">
        <v>3425</v>
      </c>
      <c r="E1178" s="263">
        <v>8</v>
      </c>
      <c r="F1178" s="262" t="s">
        <v>2373</v>
      </c>
      <c r="G1178" s="262" t="s">
        <v>2374</v>
      </c>
      <c r="H1178" s="395"/>
    </row>
    <row r="1179" spans="1:8" ht="14.55" hidden="1" customHeight="1" x14ac:dyDescent="0.3">
      <c r="A1179" s="262" t="s">
        <v>3364</v>
      </c>
      <c r="B1179" s="262" t="s">
        <v>2370</v>
      </c>
      <c r="C1179" s="262" t="s">
        <v>3288</v>
      </c>
      <c r="D1179" s="262" t="s">
        <v>3426</v>
      </c>
      <c r="E1179" s="263">
        <v>6</v>
      </c>
      <c r="F1179" s="262" t="s">
        <v>2373</v>
      </c>
      <c r="G1179" s="262" t="s">
        <v>2596</v>
      </c>
      <c r="H1179" s="395"/>
    </row>
    <row r="1180" spans="1:8" ht="14.55" hidden="1" customHeight="1" x14ac:dyDescent="0.3">
      <c r="A1180" s="262" t="s">
        <v>3427</v>
      </c>
      <c r="B1180" s="262" t="s">
        <v>2370</v>
      </c>
      <c r="C1180" s="262" t="s">
        <v>3288</v>
      </c>
      <c r="D1180" s="262" t="s">
        <v>3428</v>
      </c>
      <c r="E1180" s="263">
        <v>6</v>
      </c>
      <c r="F1180" s="262" t="s">
        <v>2379</v>
      </c>
      <c r="G1180" s="262" t="s">
        <v>3429</v>
      </c>
      <c r="H1180" s="395"/>
    </row>
    <row r="1181" spans="1:8" ht="14.55" hidden="1" customHeight="1" x14ac:dyDescent="0.3">
      <c r="A1181" s="262" t="s">
        <v>3427</v>
      </c>
      <c r="B1181" s="262" t="s">
        <v>2380</v>
      </c>
      <c r="C1181" s="262" t="s">
        <v>3312</v>
      </c>
      <c r="D1181" s="262" t="s">
        <v>3430</v>
      </c>
      <c r="E1181" s="263">
        <v>6</v>
      </c>
      <c r="F1181" s="262" t="s">
        <v>2376</v>
      </c>
      <c r="G1181" s="262" t="s">
        <v>2377</v>
      </c>
      <c r="H1181" s="395"/>
    </row>
    <row r="1182" spans="1:8" ht="14.55" hidden="1" customHeight="1" x14ac:dyDescent="0.3">
      <c r="A1182" s="262" t="s">
        <v>3427</v>
      </c>
      <c r="B1182" s="262" t="s">
        <v>2380</v>
      </c>
      <c r="C1182" s="262" t="s">
        <v>3312</v>
      </c>
      <c r="D1182" s="262" t="s">
        <v>2731</v>
      </c>
      <c r="E1182" s="263">
        <v>4</v>
      </c>
      <c r="F1182" s="262" t="s">
        <v>2379</v>
      </c>
      <c r="G1182" s="262" t="s">
        <v>2396</v>
      </c>
      <c r="H1182" s="395"/>
    </row>
    <row r="1183" spans="1:8" ht="14.55" hidden="1" customHeight="1" x14ac:dyDescent="0.3">
      <c r="A1183" s="262" t="s">
        <v>3427</v>
      </c>
      <c r="B1183" s="262" t="s">
        <v>2370</v>
      </c>
      <c r="C1183" s="262" t="s">
        <v>3288</v>
      </c>
      <c r="D1183" s="262" t="s">
        <v>3431</v>
      </c>
      <c r="E1183" s="263">
        <v>8</v>
      </c>
      <c r="F1183" s="262" t="s">
        <v>2373</v>
      </c>
      <c r="G1183" s="262" t="s">
        <v>2392</v>
      </c>
      <c r="H1183" s="395"/>
    </row>
    <row r="1184" spans="1:8" x14ac:dyDescent="0.3">
      <c r="A1184" s="264" t="s">
        <v>3427</v>
      </c>
      <c r="B1184" s="264" t="s">
        <v>2370</v>
      </c>
      <c r="C1184" s="264" t="s">
        <v>3288</v>
      </c>
      <c r="D1184" s="264" t="s">
        <v>3432</v>
      </c>
      <c r="E1184" s="265">
        <v>4</v>
      </c>
      <c r="F1184" s="264" t="s">
        <v>2379</v>
      </c>
      <c r="G1184" s="264" t="s">
        <v>2402</v>
      </c>
      <c r="H1184" s="396"/>
    </row>
    <row r="1185" spans="1:8" ht="14.55" hidden="1" customHeight="1" x14ac:dyDescent="0.3">
      <c r="A1185" s="262" t="s">
        <v>3427</v>
      </c>
      <c r="B1185" s="262" t="s">
        <v>2370</v>
      </c>
      <c r="C1185" s="262" t="s">
        <v>3288</v>
      </c>
      <c r="D1185" s="262" t="s">
        <v>3433</v>
      </c>
      <c r="E1185" s="263">
        <v>6</v>
      </c>
      <c r="F1185" s="262" t="s">
        <v>2376</v>
      </c>
      <c r="G1185" s="262" t="s">
        <v>3434</v>
      </c>
      <c r="H1185" s="395"/>
    </row>
    <row r="1186" spans="1:8" ht="14.55" hidden="1" customHeight="1" x14ac:dyDescent="0.3">
      <c r="A1186" s="262" t="s">
        <v>3427</v>
      </c>
      <c r="B1186" s="262" t="s">
        <v>2370</v>
      </c>
      <c r="C1186" s="262" t="s">
        <v>3288</v>
      </c>
      <c r="D1186" s="262" t="s">
        <v>3435</v>
      </c>
      <c r="E1186" s="263">
        <v>6</v>
      </c>
      <c r="F1186" s="262" t="s">
        <v>2419</v>
      </c>
      <c r="G1186" s="262" t="s">
        <v>2480</v>
      </c>
      <c r="H1186" s="395"/>
    </row>
    <row r="1187" spans="1:8" ht="14.55" hidden="1" customHeight="1" x14ac:dyDescent="0.3">
      <c r="A1187" s="262" t="s">
        <v>3427</v>
      </c>
      <c r="B1187" s="262" t="s">
        <v>2370</v>
      </c>
      <c r="C1187" s="262" t="s">
        <v>3288</v>
      </c>
      <c r="D1187" s="262" t="s">
        <v>3436</v>
      </c>
      <c r="E1187" s="263">
        <v>6</v>
      </c>
      <c r="F1187" s="262" t="s">
        <v>2379</v>
      </c>
      <c r="G1187" s="262" t="s">
        <v>2396</v>
      </c>
      <c r="H1187" s="395"/>
    </row>
    <row r="1188" spans="1:8" ht="14.55" hidden="1" customHeight="1" x14ac:dyDescent="0.3">
      <c r="A1188" s="262" t="s">
        <v>3427</v>
      </c>
      <c r="B1188" s="262" t="s">
        <v>2370</v>
      </c>
      <c r="C1188" s="262" t="s">
        <v>3288</v>
      </c>
      <c r="D1188" s="262" t="s">
        <v>3437</v>
      </c>
      <c r="E1188" s="263">
        <v>4</v>
      </c>
      <c r="F1188" s="262" t="s">
        <v>2376</v>
      </c>
      <c r="G1188" s="262" t="s">
        <v>2394</v>
      </c>
      <c r="H1188" s="395"/>
    </row>
    <row r="1189" spans="1:8" ht="14.55" hidden="1" customHeight="1" x14ac:dyDescent="0.3">
      <c r="A1189" s="262" t="s">
        <v>3427</v>
      </c>
      <c r="B1189" s="262" t="s">
        <v>2370</v>
      </c>
      <c r="C1189" s="262" t="s">
        <v>3288</v>
      </c>
      <c r="D1189" s="262" t="s">
        <v>3438</v>
      </c>
      <c r="E1189" s="263">
        <v>6</v>
      </c>
      <c r="F1189" s="262" t="s">
        <v>2419</v>
      </c>
      <c r="G1189" s="262" t="s">
        <v>2420</v>
      </c>
      <c r="H1189" s="395"/>
    </row>
    <row r="1190" spans="1:8" ht="14.55" hidden="1" customHeight="1" x14ac:dyDescent="0.3">
      <c r="A1190" s="262" t="s">
        <v>3427</v>
      </c>
      <c r="B1190" s="262" t="s">
        <v>2370</v>
      </c>
      <c r="C1190" s="262" t="s">
        <v>3288</v>
      </c>
      <c r="D1190" s="262" t="s">
        <v>3439</v>
      </c>
      <c r="E1190" s="263">
        <v>6</v>
      </c>
      <c r="F1190" s="262" t="s">
        <v>2379</v>
      </c>
      <c r="G1190" s="262" t="s">
        <v>2396</v>
      </c>
      <c r="H1190" s="395"/>
    </row>
    <row r="1191" spans="1:8" ht="14.55" hidden="1" customHeight="1" x14ac:dyDescent="0.3">
      <c r="A1191" s="262" t="s">
        <v>3427</v>
      </c>
      <c r="B1191" s="262" t="s">
        <v>2370</v>
      </c>
      <c r="C1191" s="262" t="s">
        <v>3288</v>
      </c>
      <c r="D1191" s="262" t="s">
        <v>3181</v>
      </c>
      <c r="E1191" s="263">
        <v>4</v>
      </c>
      <c r="F1191" s="262" t="s">
        <v>2389</v>
      </c>
      <c r="G1191" s="262" t="s">
        <v>3182</v>
      </c>
      <c r="H1191" s="395"/>
    </row>
    <row r="1192" spans="1:8" ht="14.55" hidden="1" customHeight="1" x14ac:dyDescent="0.3">
      <c r="A1192" s="262" t="s">
        <v>3427</v>
      </c>
      <c r="B1192" s="262" t="s">
        <v>2370</v>
      </c>
      <c r="C1192" s="262" t="s">
        <v>3288</v>
      </c>
      <c r="D1192" s="262" t="s">
        <v>3440</v>
      </c>
      <c r="E1192" s="263">
        <v>6</v>
      </c>
      <c r="F1192" s="262" t="s">
        <v>2379</v>
      </c>
      <c r="G1192" s="262" t="s">
        <v>2396</v>
      </c>
      <c r="H1192" s="395"/>
    </row>
    <row r="1193" spans="1:8" ht="14.55" hidden="1" customHeight="1" x14ac:dyDescent="0.3">
      <c r="A1193" s="262" t="s">
        <v>3427</v>
      </c>
      <c r="B1193" s="262" t="s">
        <v>2370</v>
      </c>
      <c r="C1193" s="262" t="s">
        <v>3288</v>
      </c>
      <c r="D1193" s="262" t="s">
        <v>3441</v>
      </c>
      <c r="E1193" s="263">
        <v>6</v>
      </c>
      <c r="F1193" s="262" t="s">
        <v>2419</v>
      </c>
      <c r="G1193" s="262" t="s">
        <v>2432</v>
      </c>
      <c r="H1193" s="395"/>
    </row>
    <row r="1194" spans="1:8" ht="14.55" hidden="1" customHeight="1" x14ac:dyDescent="0.3">
      <c r="A1194" s="262" t="s">
        <v>3427</v>
      </c>
      <c r="B1194" s="262" t="s">
        <v>2370</v>
      </c>
      <c r="C1194" s="262" t="s">
        <v>3288</v>
      </c>
      <c r="D1194" s="262" t="s">
        <v>2777</v>
      </c>
      <c r="E1194" s="263">
        <v>4</v>
      </c>
      <c r="F1194" s="262" t="s">
        <v>2379</v>
      </c>
      <c r="G1194" s="262" t="s">
        <v>2463</v>
      </c>
      <c r="H1194" s="395"/>
    </row>
    <row r="1195" spans="1:8" ht="14.55" hidden="1" customHeight="1" x14ac:dyDescent="0.3">
      <c r="A1195" s="262" t="s">
        <v>3427</v>
      </c>
      <c r="B1195" s="262" t="s">
        <v>2370</v>
      </c>
      <c r="C1195" s="262" t="s">
        <v>3288</v>
      </c>
      <c r="D1195" s="262" t="s">
        <v>3442</v>
      </c>
      <c r="E1195" s="263">
        <v>6</v>
      </c>
      <c r="F1195" s="262" t="s">
        <v>2379</v>
      </c>
      <c r="G1195" s="262" t="s">
        <v>2396</v>
      </c>
      <c r="H1195" s="395"/>
    </row>
    <row r="1196" spans="1:8" ht="14.55" hidden="1" customHeight="1" x14ac:dyDescent="0.3">
      <c r="A1196" s="262" t="s">
        <v>3427</v>
      </c>
      <c r="B1196" s="262" t="s">
        <v>2380</v>
      </c>
      <c r="C1196" s="262" t="s">
        <v>3312</v>
      </c>
      <c r="D1196" s="262" t="s">
        <v>3443</v>
      </c>
      <c r="E1196" s="263">
        <v>4</v>
      </c>
      <c r="F1196" s="262" t="s">
        <v>2379</v>
      </c>
      <c r="G1196" s="262" t="s">
        <v>2396</v>
      </c>
      <c r="H1196" s="395"/>
    </row>
    <row r="1197" spans="1:8" x14ac:dyDescent="0.3">
      <c r="A1197" s="264" t="s">
        <v>3427</v>
      </c>
      <c r="B1197" s="264" t="s">
        <v>2380</v>
      </c>
      <c r="C1197" s="264" t="s">
        <v>3288</v>
      </c>
      <c r="D1197" s="264" t="s">
        <v>3444</v>
      </c>
      <c r="E1197" s="265">
        <v>6</v>
      </c>
      <c r="F1197" s="264" t="s">
        <v>2379</v>
      </c>
      <c r="G1197" s="264" t="s">
        <v>2402</v>
      </c>
      <c r="H1197" s="396"/>
    </row>
    <row r="1198" spans="1:8" ht="14.55" hidden="1" customHeight="1" x14ac:dyDescent="0.3">
      <c r="A1198" s="262" t="s">
        <v>3427</v>
      </c>
      <c r="B1198" s="262" t="s">
        <v>2370</v>
      </c>
      <c r="C1198" s="262" t="s">
        <v>3288</v>
      </c>
      <c r="D1198" s="262" t="s">
        <v>3445</v>
      </c>
      <c r="E1198" s="263">
        <v>6</v>
      </c>
      <c r="F1198" s="262" t="s">
        <v>2373</v>
      </c>
      <c r="G1198" s="262" t="s">
        <v>2596</v>
      </c>
      <c r="H1198" s="395"/>
    </row>
    <row r="1199" spans="1:8" ht="14.55" hidden="1" customHeight="1" x14ac:dyDescent="0.3">
      <c r="A1199" s="262" t="s">
        <v>3427</v>
      </c>
      <c r="B1199" s="262" t="s">
        <v>2370</v>
      </c>
      <c r="C1199" s="262" t="s">
        <v>3288</v>
      </c>
      <c r="D1199" s="262" t="s">
        <v>3446</v>
      </c>
      <c r="E1199" s="263">
        <v>6</v>
      </c>
      <c r="F1199" s="262" t="s">
        <v>2419</v>
      </c>
      <c r="G1199" s="262" t="s">
        <v>2480</v>
      </c>
      <c r="H1199" s="395"/>
    </row>
    <row r="1200" spans="1:8" ht="14.55" hidden="1" customHeight="1" x14ac:dyDescent="0.3">
      <c r="A1200" s="262" t="s">
        <v>3427</v>
      </c>
      <c r="B1200" s="262" t="s">
        <v>2380</v>
      </c>
      <c r="C1200" s="262" t="s">
        <v>3312</v>
      </c>
      <c r="D1200" s="262" t="s">
        <v>3447</v>
      </c>
      <c r="E1200" s="263">
        <v>6</v>
      </c>
      <c r="F1200" s="262" t="s">
        <v>2389</v>
      </c>
      <c r="G1200" s="262" t="s">
        <v>2428</v>
      </c>
      <c r="H1200" s="395"/>
    </row>
    <row r="1201" spans="1:8" ht="14.55" hidden="1" customHeight="1" x14ac:dyDescent="0.3">
      <c r="A1201" s="262" t="s">
        <v>3427</v>
      </c>
      <c r="B1201" s="262" t="s">
        <v>2380</v>
      </c>
      <c r="C1201" s="262" t="s">
        <v>3288</v>
      </c>
      <c r="D1201" s="262" t="s">
        <v>3448</v>
      </c>
      <c r="E1201" s="263">
        <v>6</v>
      </c>
      <c r="F1201" s="262" t="s">
        <v>2376</v>
      </c>
      <c r="G1201" s="262" t="s">
        <v>2394</v>
      </c>
      <c r="H1201" s="395"/>
    </row>
    <row r="1202" spans="1:8" ht="14.55" hidden="1" customHeight="1" x14ac:dyDescent="0.3">
      <c r="A1202" s="262" t="s">
        <v>3427</v>
      </c>
      <c r="B1202" s="262" t="s">
        <v>2370</v>
      </c>
      <c r="C1202" s="262" t="s">
        <v>3288</v>
      </c>
      <c r="D1202" s="262" t="s">
        <v>3449</v>
      </c>
      <c r="E1202" s="263">
        <v>6</v>
      </c>
      <c r="F1202" s="262" t="s">
        <v>2376</v>
      </c>
      <c r="G1202" s="262" t="s">
        <v>3450</v>
      </c>
      <c r="H1202" s="395"/>
    </row>
    <row r="1203" spans="1:8" ht="14.55" hidden="1" customHeight="1" x14ac:dyDescent="0.3">
      <c r="A1203" s="262" t="s">
        <v>3451</v>
      </c>
      <c r="B1203" s="262" t="s">
        <v>2370</v>
      </c>
      <c r="C1203" s="262" t="s">
        <v>3288</v>
      </c>
      <c r="D1203" s="262" t="s">
        <v>3452</v>
      </c>
      <c r="E1203" s="263">
        <v>6</v>
      </c>
      <c r="F1203" s="262" t="s">
        <v>2379</v>
      </c>
      <c r="G1203" s="262" t="s">
        <v>2463</v>
      </c>
      <c r="H1203" s="395"/>
    </row>
    <row r="1204" spans="1:8" ht="14.55" hidden="1" customHeight="1" x14ac:dyDescent="0.3">
      <c r="A1204" s="262" t="s">
        <v>3451</v>
      </c>
      <c r="B1204" s="262" t="s">
        <v>2370</v>
      </c>
      <c r="C1204" s="262" t="s">
        <v>3288</v>
      </c>
      <c r="D1204" s="262" t="s">
        <v>3453</v>
      </c>
      <c r="E1204" s="263">
        <v>8</v>
      </c>
      <c r="F1204" s="262" t="s">
        <v>2419</v>
      </c>
      <c r="G1204" s="262" t="s">
        <v>2432</v>
      </c>
      <c r="H1204" s="395"/>
    </row>
    <row r="1205" spans="1:8" ht="14.55" hidden="1" customHeight="1" x14ac:dyDescent="0.3">
      <c r="A1205" s="262" t="s">
        <v>3451</v>
      </c>
      <c r="B1205" s="262" t="s">
        <v>2380</v>
      </c>
      <c r="C1205" s="262" t="s">
        <v>3312</v>
      </c>
      <c r="D1205" s="262" t="s">
        <v>3454</v>
      </c>
      <c r="E1205" s="263">
        <v>8</v>
      </c>
      <c r="F1205" s="262" t="s">
        <v>2379</v>
      </c>
      <c r="G1205" s="262" t="s">
        <v>2463</v>
      </c>
      <c r="H1205" s="395"/>
    </row>
    <row r="1206" spans="1:8" ht="14.55" hidden="1" customHeight="1" x14ac:dyDescent="0.3">
      <c r="A1206" s="262" t="s">
        <v>3451</v>
      </c>
      <c r="B1206" s="262" t="s">
        <v>2380</v>
      </c>
      <c r="C1206" s="262" t="s">
        <v>3288</v>
      </c>
      <c r="D1206" s="262" t="s">
        <v>3455</v>
      </c>
      <c r="E1206" s="263">
        <v>6</v>
      </c>
      <c r="F1206" s="262" t="s">
        <v>2379</v>
      </c>
      <c r="G1206" s="262" t="s">
        <v>2544</v>
      </c>
      <c r="H1206" s="395"/>
    </row>
    <row r="1207" spans="1:8" ht="14.55" hidden="1" customHeight="1" x14ac:dyDescent="0.3">
      <c r="A1207" s="262" t="s">
        <v>3456</v>
      </c>
      <c r="B1207" s="262" t="s">
        <v>2370</v>
      </c>
      <c r="C1207" s="262" t="s">
        <v>3288</v>
      </c>
      <c r="D1207" s="262" t="s">
        <v>3457</v>
      </c>
      <c r="E1207" s="263">
        <v>6</v>
      </c>
      <c r="F1207" s="262" t="s">
        <v>2379</v>
      </c>
      <c r="G1207" s="262" t="s">
        <v>2544</v>
      </c>
      <c r="H1207" s="395"/>
    </row>
    <row r="1208" spans="1:8" ht="14.55" hidden="1" customHeight="1" x14ac:dyDescent="0.3">
      <c r="A1208" s="262" t="s">
        <v>3456</v>
      </c>
      <c r="B1208" s="262" t="s">
        <v>2370</v>
      </c>
      <c r="C1208" s="262" t="s">
        <v>3288</v>
      </c>
      <c r="D1208" s="262" t="s">
        <v>3458</v>
      </c>
      <c r="E1208" s="263">
        <v>6</v>
      </c>
      <c r="F1208" s="262" t="s">
        <v>2419</v>
      </c>
      <c r="G1208" s="262" t="s">
        <v>2432</v>
      </c>
      <c r="H1208" s="395"/>
    </row>
    <row r="1209" spans="1:8" ht="14.55" hidden="1" customHeight="1" x14ac:dyDescent="0.3">
      <c r="A1209" s="262" t="s">
        <v>3456</v>
      </c>
      <c r="B1209" s="262" t="s">
        <v>2380</v>
      </c>
      <c r="C1209" s="262" t="s">
        <v>3288</v>
      </c>
      <c r="D1209" s="262" t="s">
        <v>2564</v>
      </c>
      <c r="E1209" s="263">
        <v>4</v>
      </c>
      <c r="F1209" s="262" t="s">
        <v>2379</v>
      </c>
      <c r="G1209" s="262" t="s">
        <v>2463</v>
      </c>
      <c r="H1209" s="395"/>
    </row>
    <row r="1210" spans="1:8" ht="14.55" hidden="1" customHeight="1" x14ac:dyDescent="0.3">
      <c r="A1210" s="262" t="s">
        <v>3456</v>
      </c>
      <c r="B1210" s="262" t="s">
        <v>2370</v>
      </c>
      <c r="C1210" s="262" t="s">
        <v>3288</v>
      </c>
      <c r="D1210" s="262" t="s">
        <v>3459</v>
      </c>
      <c r="E1210" s="263">
        <v>6</v>
      </c>
      <c r="F1210" s="262" t="s">
        <v>2379</v>
      </c>
      <c r="G1210" s="262" t="s">
        <v>2463</v>
      </c>
      <c r="H1210" s="395"/>
    </row>
    <row r="1211" spans="1:8" ht="14.55" hidden="1" customHeight="1" x14ac:dyDescent="0.3">
      <c r="A1211" s="262" t="s">
        <v>3456</v>
      </c>
      <c r="B1211" s="262" t="s">
        <v>2370</v>
      </c>
      <c r="C1211" s="262" t="s">
        <v>3288</v>
      </c>
      <c r="D1211" s="262" t="s">
        <v>3460</v>
      </c>
      <c r="E1211" s="263">
        <v>6</v>
      </c>
      <c r="F1211" s="262" t="s">
        <v>2379</v>
      </c>
      <c r="G1211" s="262" t="s">
        <v>2470</v>
      </c>
      <c r="H1211" s="395"/>
    </row>
    <row r="1212" spans="1:8" ht="14.55" hidden="1" customHeight="1" x14ac:dyDescent="0.3">
      <c r="A1212" s="262" t="s">
        <v>3456</v>
      </c>
      <c r="B1212" s="262" t="s">
        <v>2380</v>
      </c>
      <c r="C1212" s="262" t="s">
        <v>3288</v>
      </c>
      <c r="D1212" s="262" t="s">
        <v>3461</v>
      </c>
      <c r="E1212" s="263">
        <v>6</v>
      </c>
      <c r="F1212" s="262" t="s">
        <v>2373</v>
      </c>
      <c r="G1212" s="262" t="s">
        <v>2392</v>
      </c>
      <c r="H1212" s="395"/>
    </row>
    <row r="1213" spans="1:8" ht="14.55" hidden="1" customHeight="1" x14ac:dyDescent="0.3">
      <c r="A1213" s="262" t="s">
        <v>3456</v>
      </c>
      <c r="B1213" s="262" t="s">
        <v>2370</v>
      </c>
      <c r="C1213" s="262" t="s">
        <v>3288</v>
      </c>
      <c r="D1213" s="262" t="s">
        <v>3462</v>
      </c>
      <c r="E1213" s="263">
        <v>4</v>
      </c>
      <c r="F1213" s="262" t="s">
        <v>2419</v>
      </c>
      <c r="G1213" s="262" t="s">
        <v>2480</v>
      </c>
      <c r="H1213" s="395"/>
    </row>
    <row r="1214" spans="1:8" ht="14.55" hidden="1" customHeight="1" x14ac:dyDescent="0.3">
      <c r="A1214" s="262" t="s">
        <v>3456</v>
      </c>
      <c r="B1214" s="262" t="s">
        <v>2380</v>
      </c>
      <c r="C1214" s="262" t="s">
        <v>3288</v>
      </c>
      <c r="D1214" s="262" t="s">
        <v>3463</v>
      </c>
      <c r="E1214" s="263">
        <v>8</v>
      </c>
      <c r="F1214" s="262" t="s">
        <v>2373</v>
      </c>
      <c r="G1214" s="262" t="s">
        <v>2596</v>
      </c>
      <c r="H1214" s="395"/>
    </row>
    <row r="1215" spans="1:8" ht="14.55" hidden="1" customHeight="1" x14ac:dyDescent="0.3">
      <c r="A1215" s="262" t="s">
        <v>3456</v>
      </c>
      <c r="B1215" s="262" t="s">
        <v>2370</v>
      </c>
      <c r="C1215" s="262" t="s">
        <v>3288</v>
      </c>
      <c r="D1215" s="262" t="s">
        <v>3464</v>
      </c>
      <c r="E1215" s="263">
        <v>8</v>
      </c>
      <c r="F1215" s="262" t="s">
        <v>2389</v>
      </c>
      <c r="G1215" s="262" t="s">
        <v>2428</v>
      </c>
      <c r="H1215" s="395"/>
    </row>
    <row r="1216" spans="1:8" ht="14.55" hidden="1" customHeight="1" x14ac:dyDescent="0.3">
      <c r="A1216" s="262" t="s">
        <v>3456</v>
      </c>
      <c r="B1216" s="262" t="s">
        <v>2370</v>
      </c>
      <c r="C1216" s="262" t="s">
        <v>3288</v>
      </c>
      <c r="D1216" s="262" t="s">
        <v>3465</v>
      </c>
      <c r="E1216" s="263">
        <v>4</v>
      </c>
      <c r="F1216" s="262" t="s">
        <v>2419</v>
      </c>
      <c r="G1216" s="262" t="s">
        <v>2420</v>
      </c>
      <c r="H1216" s="395"/>
    </row>
    <row r="1217" spans="1:8" ht="14.55" hidden="1" customHeight="1" x14ac:dyDescent="0.3">
      <c r="A1217" s="262" t="s">
        <v>3456</v>
      </c>
      <c r="B1217" s="262" t="s">
        <v>2370</v>
      </c>
      <c r="C1217" s="262" t="s">
        <v>3288</v>
      </c>
      <c r="D1217" s="262" t="s">
        <v>3466</v>
      </c>
      <c r="E1217" s="263">
        <v>6</v>
      </c>
      <c r="F1217" s="262" t="s">
        <v>2379</v>
      </c>
      <c r="G1217" s="262" t="s">
        <v>2544</v>
      </c>
      <c r="H1217" s="395"/>
    </row>
    <row r="1218" spans="1:8" ht="14.55" hidden="1" customHeight="1" x14ac:dyDescent="0.3">
      <c r="A1218" s="262" t="s">
        <v>3456</v>
      </c>
      <c r="B1218" s="262" t="s">
        <v>2380</v>
      </c>
      <c r="C1218" s="262" t="s">
        <v>3312</v>
      </c>
      <c r="D1218" s="262" t="s">
        <v>2952</v>
      </c>
      <c r="E1218" s="263">
        <v>4</v>
      </c>
      <c r="F1218" s="262" t="s">
        <v>2379</v>
      </c>
      <c r="G1218" s="262" t="s">
        <v>3467</v>
      </c>
      <c r="H1218" s="395"/>
    </row>
    <row r="1219" spans="1:8" ht="14.55" hidden="1" customHeight="1" x14ac:dyDescent="0.3">
      <c r="A1219" s="262" t="s">
        <v>3456</v>
      </c>
      <c r="B1219" s="262" t="s">
        <v>2380</v>
      </c>
      <c r="C1219" s="262" t="s">
        <v>3312</v>
      </c>
      <c r="D1219" s="262" t="s">
        <v>3468</v>
      </c>
      <c r="E1219" s="263">
        <v>10</v>
      </c>
      <c r="F1219" s="262" t="s">
        <v>2379</v>
      </c>
      <c r="G1219" s="262" t="s">
        <v>2463</v>
      </c>
      <c r="H1219" s="395"/>
    </row>
    <row r="1220" spans="1:8" ht="14.55" hidden="1" customHeight="1" x14ac:dyDescent="0.3">
      <c r="A1220" s="262" t="s">
        <v>3456</v>
      </c>
      <c r="B1220" s="262" t="s">
        <v>2370</v>
      </c>
      <c r="C1220" s="262" t="s">
        <v>3312</v>
      </c>
      <c r="D1220" s="262" t="s">
        <v>3061</v>
      </c>
      <c r="E1220" s="263">
        <v>4</v>
      </c>
      <c r="F1220" s="262" t="s">
        <v>2379</v>
      </c>
      <c r="G1220" s="262" t="s">
        <v>2396</v>
      </c>
      <c r="H1220" s="395"/>
    </row>
    <row r="1221" spans="1:8" ht="14.55" hidden="1" customHeight="1" x14ac:dyDescent="0.3">
      <c r="A1221" s="262" t="s">
        <v>3456</v>
      </c>
      <c r="B1221" s="262" t="s">
        <v>2370</v>
      </c>
      <c r="C1221" s="262" t="s">
        <v>3312</v>
      </c>
      <c r="D1221" s="262" t="s">
        <v>3469</v>
      </c>
      <c r="E1221" s="263">
        <v>4</v>
      </c>
      <c r="F1221" s="262" t="s">
        <v>2376</v>
      </c>
      <c r="G1221" s="262" t="s">
        <v>2394</v>
      </c>
      <c r="H1221" s="395"/>
    </row>
    <row r="1222" spans="1:8" ht="14.55" hidden="1" customHeight="1" x14ac:dyDescent="0.3">
      <c r="A1222" s="262" t="s">
        <v>3456</v>
      </c>
      <c r="B1222" s="262" t="s">
        <v>2370</v>
      </c>
      <c r="C1222" s="262" t="s">
        <v>3288</v>
      </c>
      <c r="D1222" s="262" t="s">
        <v>3470</v>
      </c>
      <c r="E1222" s="263">
        <v>8</v>
      </c>
      <c r="F1222" s="262" t="s">
        <v>2389</v>
      </c>
      <c r="G1222" s="262" t="s">
        <v>2631</v>
      </c>
      <c r="H1222" s="395"/>
    </row>
    <row r="1223" spans="1:8" ht="14.55" hidden="1" customHeight="1" x14ac:dyDescent="0.3">
      <c r="A1223" s="262" t="s">
        <v>3456</v>
      </c>
      <c r="B1223" s="262" t="s">
        <v>2370</v>
      </c>
      <c r="C1223" s="262" t="s">
        <v>3288</v>
      </c>
      <c r="D1223" s="262" t="s">
        <v>3471</v>
      </c>
      <c r="E1223" s="263">
        <v>8</v>
      </c>
      <c r="F1223" s="262" t="s">
        <v>2373</v>
      </c>
      <c r="G1223" s="262" t="s">
        <v>2392</v>
      </c>
      <c r="H1223" s="395"/>
    </row>
    <row r="1224" spans="1:8" ht="14.55" hidden="1" customHeight="1" x14ac:dyDescent="0.3">
      <c r="A1224" s="262" t="s">
        <v>3456</v>
      </c>
      <c r="B1224" s="262" t="s">
        <v>2370</v>
      </c>
      <c r="C1224" s="262" t="s">
        <v>3288</v>
      </c>
      <c r="D1224" s="262" t="s">
        <v>3196</v>
      </c>
      <c r="E1224" s="263">
        <v>4</v>
      </c>
      <c r="F1224" s="262" t="s">
        <v>2379</v>
      </c>
      <c r="G1224" s="262" t="s">
        <v>2396</v>
      </c>
      <c r="H1224" s="395"/>
    </row>
    <row r="1225" spans="1:8" x14ac:dyDescent="0.3">
      <c r="A1225" s="264" t="s">
        <v>3456</v>
      </c>
      <c r="B1225" s="264" t="s">
        <v>2380</v>
      </c>
      <c r="C1225" s="264" t="s">
        <v>3312</v>
      </c>
      <c r="D1225" s="264" t="s">
        <v>3472</v>
      </c>
      <c r="E1225" s="265">
        <v>4</v>
      </c>
      <c r="F1225" s="264" t="s">
        <v>2379</v>
      </c>
      <c r="G1225" s="264" t="s">
        <v>2402</v>
      </c>
      <c r="H1225" s="396"/>
    </row>
    <row r="1226" spans="1:8" ht="14.55" hidden="1" customHeight="1" x14ac:dyDescent="0.3">
      <c r="A1226" s="262" t="s">
        <v>3456</v>
      </c>
      <c r="B1226" s="262" t="s">
        <v>2370</v>
      </c>
      <c r="C1226" s="262" t="s">
        <v>3288</v>
      </c>
      <c r="D1226" s="262" t="s">
        <v>2487</v>
      </c>
      <c r="E1226" s="263">
        <v>4</v>
      </c>
      <c r="F1226" s="262" t="s">
        <v>2419</v>
      </c>
      <c r="G1226" s="262" t="s">
        <v>2488</v>
      </c>
      <c r="H1226" s="395"/>
    </row>
    <row r="1227" spans="1:8" ht="14.55" hidden="1" customHeight="1" x14ac:dyDescent="0.3">
      <c r="A1227" s="262" t="s">
        <v>3456</v>
      </c>
      <c r="B1227" s="262" t="s">
        <v>2370</v>
      </c>
      <c r="C1227" s="262" t="s">
        <v>3288</v>
      </c>
      <c r="D1227" s="262" t="s">
        <v>3473</v>
      </c>
      <c r="E1227" s="263">
        <v>8</v>
      </c>
      <c r="F1227" s="262" t="s">
        <v>2379</v>
      </c>
      <c r="G1227" s="262" t="s">
        <v>2463</v>
      </c>
      <c r="H1227" s="395"/>
    </row>
    <row r="1228" spans="1:8" ht="14.55" hidden="1" customHeight="1" x14ac:dyDescent="0.3">
      <c r="A1228" s="262" t="s">
        <v>3456</v>
      </c>
      <c r="B1228" s="262" t="s">
        <v>2370</v>
      </c>
      <c r="C1228" s="262" t="s">
        <v>3288</v>
      </c>
      <c r="D1228" s="262" t="s">
        <v>3474</v>
      </c>
      <c r="E1228" s="263">
        <v>4</v>
      </c>
      <c r="F1228" s="262" t="s">
        <v>2379</v>
      </c>
      <c r="G1228" s="262" t="s">
        <v>2568</v>
      </c>
      <c r="H1228" s="395"/>
    </row>
    <row r="1229" spans="1:8" ht="14.55" hidden="1" customHeight="1" x14ac:dyDescent="0.3">
      <c r="A1229" s="262" t="s">
        <v>3456</v>
      </c>
      <c r="B1229" s="262" t="s">
        <v>2370</v>
      </c>
      <c r="C1229" s="262" t="s">
        <v>3288</v>
      </c>
      <c r="D1229" s="262" t="s">
        <v>3475</v>
      </c>
      <c r="E1229" s="263">
        <v>6</v>
      </c>
      <c r="F1229" s="262" t="s">
        <v>2373</v>
      </c>
      <c r="G1229" s="262" t="s">
        <v>2453</v>
      </c>
      <c r="H1229" s="395"/>
    </row>
    <row r="1230" spans="1:8" ht="14.55" hidden="1" customHeight="1" x14ac:dyDescent="0.3">
      <c r="A1230" s="262" t="s">
        <v>3456</v>
      </c>
      <c r="B1230" s="262" t="s">
        <v>2370</v>
      </c>
      <c r="C1230" s="262" t="s">
        <v>3288</v>
      </c>
      <c r="D1230" s="262" t="s">
        <v>3476</v>
      </c>
      <c r="E1230" s="263">
        <v>6</v>
      </c>
      <c r="F1230" s="262" t="s">
        <v>2379</v>
      </c>
      <c r="G1230" s="262" t="s">
        <v>2396</v>
      </c>
      <c r="H1230" s="395"/>
    </row>
    <row r="1231" spans="1:8" ht="14.55" hidden="1" customHeight="1" x14ac:dyDescent="0.3">
      <c r="A1231" s="262" t="s">
        <v>3456</v>
      </c>
      <c r="B1231" s="262" t="s">
        <v>2370</v>
      </c>
      <c r="C1231" s="262" t="s">
        <v>3288</v>
      </c>
      <c r="D1231" s="262" t="s">
        <v>3477</v>
      </c>
      <c r="E1231" s="263">
        <v>8</v>
      </c>
      <c r="F1231" s="262" t="s">
        <v>2373</v>
      </c>
      <c r="G1231" s="262" t="s">
        <v>2374</v>
      </c>
      <c r="H1231" s="395"/>
    </row>
    <row r="1232" spans="1:8" ht="14.55" hidden="1" customHeight="1" x14ac:dyDescent="0.3">
      <c r="A1232" s="262" t="s">
        <v>3456</v>
      </c>
      <c r="B1232" s="262" t="s">
        <v>2370</v>
      </c>
      <c r="C1232" s="262" t="s">
        <v>3288</v>
      </c>
      <c r="D1232" s="262" t="s">
        <v>3478</v>
      </c>
      <c r="E1232" s="263">
        <v>6</v>
      </c>
      <c r="F1232" s="262" t="s">
        <v>2376</v>
      </c>
      <c r="G1232" s="262" t="s">
        <v>3434</v>
      </c>
      <c r="H1232" s="395"/>
    </row>
    <row r="1233" spans="1:8" ht="14.55" hidden="1" customHeight="1" x14ac:dyDescent="0.3">
      <c r="A1233" s="262" t="s">
        <v>3456</v>
      </c>
      <c r="B1233" s="262" t="s">
        <v>2370</v>
      </c>
      <c r="C1233" s="262" t="s">
        <v>3288</v>
      </c>
      <c r="D1233" s="262" t="s">
        <v>3479</v>
      </c>
      <c r="E1233" s="263">
        <v>6</v>
      </c>
      <c r="F1233" s="262" t="s">
        <v>2379</v>
      </c>
      <c r="G1233" s="262" t="s">
        <v>2544</v>
      </c>
      <c r="H1233" s="395"/>
    </row>
    <row r="1234" spans="1:8" ht="14.55" hidden="1" customHeight="1" x14ac:dyDescent="0.3">
      <c r="A1234" s="262" t="s">
        <v>3456</v>
      </c>
      <c r="B1234" s="262" t="s">
        <v>2380</v>
      </c>
      <c r="C1234" s="262" t="s">
        <v>3288</v>
      </c>
      <c r="D1234" s="262" t="s">
        <v>3480</v>
      </c>
      <c r="E1234" s="263">
        <v>4</v>
      </c>
      <c r="F1234" s="262" t="s">
        <v>2379</v>
      </c>
      <c r="G1234" s="262" t="s">
        <v>2463</v>
      </c>
      <c r="H1234" s="395"/>
    </row>
    <row r="1235" spans="1:8" ht="14.55" hidden="1" customHeight="1" x14ac:dyDescent="0.3">
      <c r="A1235" s="262" t="s">
        <v>3456</v>
      </c>
      <c r="B1235" s="262" t="s">
        <v>2380</v>
      </c>
      <c r="C1235" s="262" t="s">
        <v>3312</v>
      </c>
      <c r="D1235" s="262" t="s">
        <v>3481</v>
      </c>
      <c r="E1235" s="263">
        <v>6</v>
      </c>
      <c r="F1235" s="262" t="s">
        <v>2379</v>
      </c>
      <c r="G1235" s="262" t="s">
        <v>2396</v>
      </c>
      <c r="H1235" s="395"/>
    </row>
    <row r="1236" spans="1:8" ht="14.55" hidden="1" customHeight="1" x14ac:dyDescent="0.3">
      <c r="A1236" s="262" t="s">
        <v>3456</v>
      </c>
      <c r="B1236" s="262" t="s">
        <v>2370</v>
      </c>
      <c r="C1236" s="262" t="s">
        <v>3288</v>
      </c>
      <c r="D1236" s="262" t="s">
        <v>3482</v>
      </c>
      <c r="E1236" s="263">
        <v>4</v>
      </c>
      <c r="F1236" s="262" t="s">
        <v>2379</v>
      </c>
      <c r="G1236" s="262" t="s">
        <v>33</v>
      </c>
      <c r="H1236" s="395"/>
    </row>
    <row r="1237" spans="1:8" ht="14.55" hidden="1" customHeight="1" x14ac:dyDescent="0.3">
      <c r="A1237" s="262" t="s">
        <v>3456</v>
      </c>
      <c r="B1237" s="262" t="s">
        <v>2380</v>
      </c>
      <c r="C1237" s="262" t="s">
        <v>3312</v>
      </c>
      <c r="D1237" s="262" t="s">
        <v>3159</v>
      </c>
      <c r="E1237" s="263">
        <v>4</v>
      </c>
      <c r="F1237" s="262" t="s">
        <v>2379</v>
      </c>
      <c r="G1237" s="262" t="s">
        <v>2396</v>
      </c>
      <c r="H1237" s="395"/>
    </row>
    <row r="1238" spans="1:8" ht="14.55" hidden="1" customHeight="1" x14ac:dyDescent="0.3">
      <c r="A1238" s="262" t="s">
        <v>3456</v>
      </c>
      <c r="B1238" s="262" t="s">
        <v>2380</v>
      </c>
      <c r="C1238" s="262" t="s">
        <v>3312</v>
      </c>
      <c r="D1238" s="262" t="s">
        <v>3483</v>
      </c>
      <c r="E1238" s="263">
        <v>4</v>
      </c>
      <c r="F1238" s="262" t="s">
        <v>2379</v>
      </c>
      <c r="G1238" s="262" t="s">
        <v>2396</v>
      </c>
      <c r="H1238" s="395"/>
    </row>
    <row r="1239" spans="1:8" x14ac:dyDescent="0.3">
      <c r="A1239" s="264" t="s">
        <v>3456</v>
      </c>
      <c r="B1239" s="264" t="s">
        <v>2380</v>
      </c>
      <c r="C1239" s="264" t="s">
        <v>3312</v>
      </c>
      <c r="D1239" s="264" t="s">
        <v>3484</v>
      </c>
      <c r="E1239" s="265">
        <v>8</v>
      </c>
      <c r="F1239" s="264" t="s">
        <v>2379</v>
      </c>
      <c r="G1239" s="264" t="s">
        <v>2402</v>
      </c>
      <c r="H1239" s="396"/>
    </row>
    <row r="1240" spans="1:8" ht="14.55" hidden="1" customHeight="1" x14ac:dyDescent="0.3">
      <c r="A1240" s="262" t="s">
        <v>3456</v>
      </c>
      <c r="B1240" s="262" t="s">
        <v>2370</v>
      </c>
      <c r="C1240" s="262" t="s">
        <v>3288</v>
      </c>
      <c r="D1240" s="262" t="s">
        <v>3485</v>
      </c>
      <c r="E1240" s="263">
        <v>4</v>
      </c>
      <c r="F1240" s="262" t="s">
        <v>2389</v>
      </c>
      <c r="G1240" s="262" t="s">
        <v>2631</v>
      </c>
      <c r="H1240" s="395"/>
    </row>
    <row r="1241" spans="1:8" ht="14.55" hidden="1" customHeight="1" x14ac:dyDescent="0.3">
      <c r="A1241" s="262" t="s">
        <v>3456</v>
      </c>
      <c r="B1241" s="262" t="s">
        <v>2370</v>
      </c>
      <c r="C1241" s="262" t="s">
        <v>3288</v>
      </c>
      <c r="D1241" s="262" t="s">
        <v>3486</v>
      </c>
      <c r="E1241" s="263">
        <v>6</v>
      </c>
      <c r="F1241" s="262" t="s">
        <v>2389</v>
      </c>
      <c r="G1241" s="262" t="s">
        <v>3487</v>
      </c>
      <c r="H1241" s="395"/>
    </row>
    <row r="1242" spans="1:8" ht="14.55" hidden="1" customHeight="1" x14ac:dyDescent="0.3">
      <c r="A1242" s="262" t="s">
        <v>3456</v>
      </c>
      <c r="B1242" s="262" t="s">
        <v>2370</v>
      </c>
      <c r="C1242" s="262" t="s">
        <v>3288</v>
      </c>
      <c r="D1242" s="262" t="s">
        <v>3488</v>
      </c>
      <c r="E1242" s="263">
        <v>6</v>
      </c>
      <c r="F1242" s="262" t="s">
        <v>2389</v>
      </c>
      <c r="G1242" s="262" t="s">
        <v>2428</v>
      </c>
      <c r="H1242" s="395"/>
    </row>
    <row r="1243" spans="1:8" ht="14.55" hidden="1" customHeight="1" x14ac:dyDescent="0.3">
      <c r="A1243" s="262" t="s">
        <v>3456</v>
      </c>
      <c r="B1243" s="262" t="s">
        <v>2370</v>
      </c>
      <c r="C1243" s="262" t="s">
        <v>3288</v>
      </c>
      <c r="D1243" s="262" t="s">
        <v>3489</v>
      </c>
      <c r="E1243" s="263">
        <v>6</v>
      </c>
      <c r="F1243" s="262" t="s">
        <v>2379</v>
      </c>
      <c r="G1243" s="262" t="s">
        <v>2463</v>
      </c>
      <c r="H1243" s="395"/>
    </row>
    <row r="1244" spans="1:8" ht="14.55" hidden="1" customHeight="1" x14ac:dyDescent="0.3">
      <c r="A1244" s="262" t="s">
        <v>3456</v>
      </c>
      <c r="B1244" s="262" t="s">
        <v>2370</v>
      </c>
      <c r="C1244" s="262" t="s">
        <v>3288</v>
      </c>
      <c r="D1244" s="262" t="s">
        <v>3490</v>
      </c>
      <c r="E1244" s="263">
        <v>6</v>
      </c>
      <c r="F1244" s="262" t="s">
        <v>2389</v>
      </c>
      <c r="G1244" s="262" t="s">
        <v>2631</v>
      </c>
      <c r="H1244" s="395"/>
    </row>
    <row r="1245" spans="1:8" ht="14.55" hidden="1" customHeight="1" x14ac:dyDescent="0.3">
      <c r="A1245" s="262" t="s">
        <v>3491</v>
      </c>
      <c r="B1245" s="262" t="s">
        <v>2370</v>
      </c>
      <c r="C1245" s="262" t="s">
        <v>3288</v>
      </c>
      <c r="D1245" s="262" t="s">
        <v>3492</v>
      </c>
      <c r="E1245" s="263">
        <v>6</v>
      </c>
      <c r="F1245" s="262" t="s">
        <v>2373</v>
      </c>
      <c r="G1245" s="262" t="s">
        <v>2392</v>
      </c>
      <c r="H1245" s="395"/>
    </row>
    <row r="1246" spans="1:8" ht="14.55" hidden="1" customHeight="1" x14ac:dyDescent="0.3">
      <c r="A1246" s="262" t="s">
        <v>3491</v>
      </c>
      <c r="B1246" s="262" t="s">
        <v>2370</v>
      </c>
      <c r="C1246" s="262" t="s">
        <v>3288</v>
      </c>
      <c r="D1246" s="262" t="s">
        <v>3493</v>
      </c>
      <c r="E1246" s="263">
        <v>6</v>
      </c>
      <c r="F1246" s="262" t="s">
        <v>2376</v>
      </c>
      <c r="G1246" s="262" t="s">
        <v>2386</v>
      </c>
      <c r="H1246" s="395"/>
    </row>
    <row r="1247" spans="1:8" ht="14.55" hidden="1" customHeight="1" x14ac:dyDescent="0.3">
      <c r="A1247" s="262" t="s">
        <v>3491</v>
      </c>
      <c r="B1247" s="262" t="s">
        <v>2380</v>
      </c>
      <c r="C1247" s="262" t="s">
        <v>3312</v>
      </c>
      <c r="D1247" s="262" t="s">
        <v>3494</v>
      </c>
      <c r="E1247" s="263">
        <v>10</v>
      </c>
      <c r="F1247" s="262" t="s">
        <v>2379</v>
      </c>
      <c r="G1247" s="262" t="s">
        <v>2463</v>
      </c>
      <c r="H1247" s="395"/>
    </row>
    <row r="1248" spans="1:8" ht="14.55" hidden="1" customHeight="1" x14ac:dyDescent="0.3">
      <c r="A1248" s="262" t="s">
        <v>3491</v>
      </c>
      <c r="B1248" s="262" t="s">
        <v>2380</v>
      </c>
      <c r="C1248" s="262" t="s">
        <v>3312</v>
      </c>
      <c r="D1248" s="262" t="s">
        <v>3495</v>
      </c>
      <c r="E1248" s="263">
        <v>10</v>
      </c>
      <c r="F1248" s="262" t="s">
        <v>2379</v>
      </c>
      <c r="G1248" s="262" t="s">
        <v>2463</v>
      </c>
      <c r="H1248" s="395"/>
    </row>
    <row r="1249" spans="1:8" ht="14.55" hidden="1" customHeight="1" x14ac:dyDescent="0.3">
      <c r="A1249" s="262" t="s">
        <v>3491</v>
      </c>
      <c r="B1249" s="262" t="s">
        <v>2380</v>
      </c>
      <c r="C1249" s="262" t="s">
        <v>3312</v>
      </c>
      <c r="D1249" s="262" t="s">
        <v>3496</v>
      </c>
      <c r="E1249" s="263">
        <v>10</v>
      </c>
      <c r="F1249" s="262" t="s">
        <v>2379</v>
      </c>
      <c r="G1249" s="262" t="s">
        <v>2463</v>
      </c>
      <c r="H1249" s="395"/>
    </row>
    <row r="1250" spans="1:8" ht="14.55" hidden="1" customHeight="1" x14ac:dyDescent="0.3">
      <c r="A1250" s="262" t="s">
        <v>3491</v>
      </c>
      <c r="B1250" s="262" t="s">
        <v>2380</v>
      </c>
      <c r="C1250" s="262" t="s">
        <v>3288</v>
      </c>
      <c r="D1250" s="262" t="s">
        <v>3497</v>
      </c>
      <c r="E1250" s="263">
        <v>4</v>
      </c>
      <c r="F1250" s="262" t="s">
        <v>2376</v>
      </c>
      <c r="G1250" s="262" t="s">
        <v>2394</v>
      </c>
      <c r="H1250" s="395"/>
    </row>
    <row r="1251" spans="1:8" ht="14.55" hidden="1" customHeight="1" x14ac:dyDescent="0.3">
      <c r="A1251" s="262" t="s">
        <v>3491</v>
      </c>
      <c r="B1251" s="262" t="s">
        <v>2370</v>
      </c>
      <c r="C1251" s="262" t="s">
        <v>3288</v>
      </c>
      <c r="D1251" s="262" t="s">
        <v>3498</v>
      </c>
      <c r="E1251" s="263">
        <v>6</v>
      </c>
      <c r="F1251" s="262" t="s">
        <v>2379</v>
      </c>
      <c r="G1251" s="262" t="s">
        <v>2463</v>
      </c>
      <c r="H1251" s="395"/>
    </row>
    <row r="1252" spans="1:8" ht="14.55" hidden="1" customHeight="1" x14ac:dyDescent="0.3">
      <c r="A1252" s="262" t="s">
        <v>3491</v>
      </c>
      <c r="B1252" s="262" t="s">
        <v>2370</v>
      </c>
      <c r="C1252" s="262" t="s">
        <v>3288</v>
      </c>
      <c r="D1252" s="262" t="s">
        <v>3499</v>
      </c>
      <c r="E1252" s="263">
        <v>8</v>
      </c>
      <c r="F1252" s="262" t="s">
        <v>2389</v>
      </c>
      <c r="G1252" s="262" t="s">
        <v>2631</v>
      </c>
      <c r="H1252" s="395"/>
    </row>
    <row r="1253" spans="1:8" ht="14.55" hidden="1" customHeight="1" x14ac:dyDescent="0.3">
      <c r="A1253" s="262" t="s">
        <v>3491</v>
      </c>
      <c r="B1253" s="262" t="s">
        <v>2370</v>
      </c>
      <c r="C1253" s="262" t="s">
        <v>3288</v>
      </c>
      <c r="D1253" s="262" t="s">
        <v>3500</v>
      </c>
      <c r="E1253" s="263">
        <v>8</v>
      </c>
      <c r="F1253" s="262" t="s">
        <v>2376</v>
      </c>
      <c r="G1253" s="262" t="s">
        <v>2406</v>
      </c>
      <c r="H1253" s="395"/>
    </row>
    <row r="1254" spans="1:8" ht="14.55" hidden="1" customHeight="1" x14ac:dyDescent="0.3">
      <c r="A1254" s="262" t="s">
        <v>3491</v>
      </c>
      <c r="B1254" s="262" t="s">
        <v>2370</v>
      </c>
      <c r="C1254" s="262" t="s">
        <v>3288</v>
      </c>
      <c r="D1254" s="262" t="s">
        <v>3501</v>
      </c>
      <c r="E1254" s="263">
        <v>6</v>
      </c>
      <c r="F1254" s="262" t="s">
        <v>2373</v>
      </c>
      <c r="G1254" s="262" t="s">
        <v>2449</v>
      </c>
      <c r="H1254" s="395"/>
    </row>
    <row r="1255" spans="1:8" ht="14.55" hidden="1" customHeight="1" x14ac:dyDescent="0.3">
      <c r="A1255" s="262" t="s">
        <v>3491</v>
      </c>
      <c r="B1255" s="262" t="s">
        <v>2370</v>
      </c>
      <c r="C1255" s="262" t="s">
        <v>3288</v>
      </c>
      <c r="D1255" s="262" t="s">
        <v>3502</v>
      </c>
      <c r="E1255" s="263">
        <v>6</v>
      </c>
      <c r="F1255" s="262" t="s">
        <v>2379</v>
      </c>
      <c r="G1255" s="262" t="s">
        <v>2568</v>
      </c>
      <c r="H1255" s="395"/>
    </row>
    <row r="1256" spans="1:8" ht="14.55" hidden="1" customHeight="1" x14ac:dyDescent="0.3">
      <c r="A1256" s="262" t="s">
        <v>3491</v>
      </c>
      <c r="B1256" s="262" t="s">
        <v>2370</v>
      </c>
      <c r="C1256" s="262" t="s">
        <v>3288</v>
      </c>
      <c r="D1256" s="262" t="s">
        <v>3503</v>
      </c>
      <c r="E1256" s="263">
        <v>8</v>
      </c>
      <c r="F1256" s="262" t="s">
        <v>2373</v>
      </c>
      <c r="G1256" s="262" t="s">
        <v>2392</v>
      </c>
      <c r="H1256" s="395"/>
    </row>
    <row r="1257" spans="1:8" ht="14.55" hidden="1" customHeight="1" x14ac:dyDescent="0.3">
      <c r="A1257" s="262" t="s">
        <v>3491</v>
      </c>
      <c r="B1257" s="262" t="s">
        <v>2370</v>
      </c>
      <c r="C1257" s="262" t="s">
        <v>3288</v>
      </c>
      <c r="D1257" s="262" t="s">
        <v>3504</v>
      </c>
      <c r="E1257" s="263">
        <v>8</v>
      </c>
      <c r="F1257" s="262" t="s">
        <v>2376</v>
      </c>
      <c r="G1257" s="262" t="s">
        <v>2406</v>
      </c>
      <c r="H1257" s="395"/>
    </row>
    <row r="1258" spans="1:8" ht="14.55" hidden="1" customHeight="1" x14ac:dyDescent="0.3">
      <c r="A1258" s="262" t="s">
        <v>3491</v>
      </c>
      <c r="B1258" s="262" t="s">
        <v>2370</v>
      </c>
      <c r="C1258" s="262" t="s">
        <v>3288</v>
      </c>
      <c r="D1258" s="262" t="s">
        <v>3505</v>
      </c>
      <c r="E1258" s="263">
        <v>6</v>
      </c>
      <c r="F1258" s="262" t="s">
        <v>2389</v>
      </c>
      <c r="G1258" s="262" t="s">
        <v>2631</v>
      </c>
      <c r="H1258" s="395"/>
    </row>
    <row r="1259" spans="1:8" ht="14.55" hidden="1" customHeight="1" x14ac:dyDescent="0.3">
      <c r="A1259" s="262" t="s">
        <v>3491</v>
      </c>
      <c r="B1259" s="262" t="s">
        <v>2370</v>
      </c>
      <c r="C1259" s="262" t="s">
        <v>3288</v>
      </c>
      <c r="D1259" s="262" t="s">
        <v>3506</v>
      </c>
      <c r="E1259" s="263">
        <v>4</v>
      </c>
      <c r="F1259" s="262" t="s">
        <v>2379</v>
      </c>
      <c r="G1259" s="262" t="s">
        <v>2396</v>
      </c>
      <c r="H1259" s="395"/>
    </row>
    <row r="1260" spans="1:8" ht="14.55" hidden="1" customHeight="1" x14ac:dyDescent="0.3">
      <c r="A1260" s="262" t="s">
        <v>3491</v>
      </c>
      <c r="B1260" s="262" t="s">
        <v>2370</v>
      </c>
      <c r="C1260" s="262" t="s">
        <v>3288</v>
      </c>
      <c r="D1260" s="262" t="s">
        <v>3507</v>
      </c>
      <c r="E1260" s="263">
        <v>6</v>
      </c>
      <c r="F1260" s="262" t="s">
        <v>2379</v>
      </c>
      <c r="G1260" s="262" t="s">
        <v>2544</v>
      </c>
      <c r="H1260" s="395"/>
    </row>
    <row r="1261" spans="1:8" ht="14.55" hidden="1" customHeight="1" x14ac:dyDescent="0.3">
      <c r="A1261" s="262" t="s">
        <v>3491</v>
      </c>
      <c r="B1261" s="262" t="s">
        <v>2370</v>
      </c>
      <c r="C1261" s="262" t="s">
        <v>3288</v>
      </c>
      <c r="D1261" s="262" t="s">
        <v>3508</v>
      </c>
      <c r="E1261" s="263">
        <v>6</v>
      </c>
      <c r="F1261" s="262" t="s">
        <v>2379</v>
      </c>
      <c r="G1261" s="262" t="s">
        <v>2463</v>
      </c>
      <c r="H1261" s="395"/>
    </row>
    <row r="1262" spans="1:8" ht="14.55" hidden="1" customHeight="1" x14ac:dyDescent="0.3">
      <c r="A1262" s="262" t="s">
        <v>3491</v>
      </c>
      <c r="B1262" s="262" t="s">
        <v>2370</v>
      </c>
      <c r="C1262" s="262" t="s">
        <v>3288</v>
      </c>
      <c r="D1262" s="262" t="s">
        <v>2806</v>
      </c>
      <c r="E1262" s="263">
        <v>4</v>
      </c>
      <c r="F1262" s="262" t="s">
        <v>2373</v>
      </c>
      <c r="G1262" s="262" t="s">
        <v>2374</v>
      </c>
      <c r="H1262" s="395"/>
    </row>
    <row r="1263" spans="1:8" ht="14.55" hidden="1" customHeight="1" x14ac:dyDescent="0.3">
      <c r="A1263" s="262" t="s">
        <v>3491</v>
      </c>
      <c r="B1263" s="262" t="s">
        <v>2370</v>
      </c>
      <c r="C1263" s="262" t="s">
        <v>3312</v>
      </c>
      <c r="D1263" s="262" t="s">
        <v>3509</v>
      </c>
      <c r="E1263" s="263">
        <v>6</v>
      </c>
      <c r="F1263" s="262" t="s">
        <v>2389</v>
      </c>
      <c r="G1263" s="262" t="s">
        <v>2408</v>
      </c>
      <c r="H1263" s="395"/>
    </row>
    <row r="1264" spans="1:8" ht="14.55" hidden="1" customHeight="1" x14ac:dyDescent="0.3">
      <c r="A1264" s="262" t="s">
        <v>3491</v>
      </c>
      <c r="B1264" s="262" t="s">
        <v>2370</v>
      </c>
      <c r="C1264" s="262" t="s">
        <v>3288</v>
      </c>
      <c r="D1264" s="262" t="s">
        <v>2841</v>
      </c>
      <c r="E1264" s="263">
        <v>4</v>
      </c>
      <c r="F1264" s="262" t="s">
        <v>2379</v>
      </c>
      <c r="G1264" s="262" t="s">
        <v>2396</v>
      </c>
      <c r="H1264" s="395"/>
    </row>
    <row r="1265" spans="1:8" ht="14.55" hidden="1" customHeight="1" x14ac:dyDescent="0.3">
      <c r="A1265" s="262" t="s">
        <v>3491</v>
      </c>
      <c r="B1265" s="262" t="s">
        <v>2370</v>
      </c>
      <c r="C1265" s="262" t="s">
        <v>3288</v>
      </c>
      <c r="D1265" s="262" t="s">
        <v>3510</v>
      </c>
      <c r="E1265" s="263">
        <v>6</v>
      </c>
      <c r="F1265" s="262" t="s">
        <v>2389</v>
      </c>
      <c r="G1265" s="262" t="s">
        <v>2631</v>
      </c>
      <c r="H1265" s="395"/>
    </row>
    <row r="1266" spans="1:8" ht="14.55" hidden="1" customHeight="1" x14ac:dyDescent="0.3">
      <c r="A1266" s="262" t="s">
        <v>3491</v>
      </c>
      <c r="B1266" s="262" t="s">
        <v>2380</v>
      </c>
      <c r="C1266" s="262" t="s">
        <v>3288</v>
      </c>
      <c r="D1266" s="262" t="s">
        <v>3511</v>
      </c>
      <c r="E1266" s="263">
        <v>4</v>
      </c>
      <c r="F1266" s="262" t="s">
        <v>2379</v>
      </c>
      <c r="G1266" s="262" t="s">
        <v>2396</v>
      </c>
      <c r="H1266" s="395"/>
    </row>
    <row r="1267" spans="1:8" ht="14.55" hidden="1" customHeight="1" x14ac:dyDescent="0.3">
      <c r="A1267" s="262" t="s">
        <v>3491</v>
      </c>
      <c r="B1267" s="262" t="s">
        <v>2370</v>
      </c>
      <c r="C1267" s="262" t="s">
        <v>3288</v>
      </c>
      <c r="D1267" s="262" t="s">
        <v>3512</v>
      </c>
      <c r="E1267" s="263">
        <v>8</v>
      </c>
      <c r="F1267" s="262" t="s">
        <v>2376</v>
      </c>
      <c r="G1267" s="262" t="s">
        <v>2406</v>
      </c>
      <c r="H1267" s="395"/>
    </row>
    <row r="1268" spans="1:8" ht="14.55" hidden="1" customHeight="1" x14ac:dyDescent="0.3">
      <c r="A1268" s="262" t="s">
        <v>3491</v>
      </c>
      <c r="B1268" s="262" t="s">
        <v>2380</v>
      </c>
      <c r="C1268" s="262" t="s">
        <v>3288</v>
      </c>
      <c r="D1268" s="262" t="s">
        <v>3513</v>
      </c>
      <c r="E1268" s="263">
        <v>4</v>
      </c>
      <c r="F1268" s="262" t="s">
        <v>2379</v>
      </c>
      <c r="G1268" s="262" t="s">
        <v>2470</v>
      </c>
      <c r="H1268" s="395"/>
    </row>
    <row r="1269" spans="1:8" ht="14.55" hidden="1" customHeight="1" x14ac:dyDescent="0.3">
      <c r="A1269" s="262" t="s">
        <v>3491</v>
      </c>
      <c r="B1269" s="262" t="s">
        <v>2370</v>
      </c>
      <c r="C1269" s="262" t="s">
        <v>3288</v>
      </c>
      <c r="D1269" s="262" t="s">
        <v>2393</v>
      </c>
      <c r="E1269" s="263">
        <v>4</v>
      </c>
      <c r="F1269" s="262" t="s">
        <v>2376</v>
      </c>
      <c r="G1269" s="262" t="s">
        <v>2394</v>
      </c>
      <c r="H1269" s="395"/>
    </row>
    <row r="1270" spans="1:8" ht="14.55" hidden="1" customHeight="1" x14ac:dyDescent="0.3">
      <c r="A1270" s="262" t="s">
        <v>3491</v>
      </c>
      <c r="B1270" s="262" t="s">
        <v>2370</v>
      </c>
      <c r="C1270" s="262" t="s">
        <v>3288</v>
      </c>
      <c r="D1270" s="262" t="s">
        <v>3514</v>
      </c>
      <c r="E1270" s="263">
        <v>6</v>
      </c>
      <c r="F1270" s="262" t="s">
        <v>2389</v>
      </c>
      <c r="G1270" s="262" t="s">
        <v>2408</v>
      </c>
      <c r="H1270" s="395"/>
    </row>
    <row r="1271" spans="1:8" ht="14.55" hidden="1" customHeight="1" x14ac:dyDescent="0.3">
      <c r="A1271" s="262" t="s">
        <v>3491</v>
      </c>
      <c r="B1271" s="262" t="s">
        <v>2380</v>
      </c>
      <c r="C1271" s="262" t="s">
        <v>3288</v>
      </c>
      <c r="D1271" s="262" t="s">
        <v>3515</v>
      </c>
      <c r="E1271" s="263">
        <v>8</v>
      </c>
      <c r="F1271" s="262" t="s">
        <v>2379</v>
      </c>
      <c r="G1271" s="262" t="s">
        <v>2396</v>
      </c>
      <c r="H1271" s="395"/>
    </row>
    <row r="1272" spans="1:8" ht="14.55" hidden="1" customHeight="1" x14ac:dyDescent="0.3">
      <c r="A1272" s="262" t="s">
        <v>3491</v>
      </c>
      <c r="B1272" s="262" t="s">
        <v>2370</v>
      </c>
      <c r="C1272" s="262" t="s">
        <v>3288</v>
      </c>
      <c r="D1272" s="262" t="s">
        <v>3516</v>
      </c>
      <c r="E1272" s="263">
        <v>8</v>
      </c>
      <c r="F1272" s="262" t="s">
        <v>2419</v>
      </c>
      <c r="G1272" s="262" t="s">
        <v>2420</v>
      </c>
      <c r="H1272" s="395"/>
    </row>
    <row r="1273" spans="1:8" ht="14.55" hidden="1" customHeight="1" x14ac:dyDescent="0.3">
      <c r="A1273" s="262" t="s">
        <v>3491</v>
      </c>
      <c r="B1273" s="262" t="s">
        <v>2370</v>
      </c>
      <c r="C1273" s="262" t="s">
        <v>3288</v>
      </c>
      <c r="D1273" s="262" t="s">
        <v>2650</v>
      </c>
      <c r="E1273" s="263">
        <v>4</v>
      </c>
      <c r="F1273" s="262" t="s">
        <v>2419</v>
      </c>
      <c r="G1273" s="262" t="s">
        <v>2420</v>
      </c>
      <c r="H1273" s="395"/>
    </row>
    <row r="1274" spans="1:8" ht="14.55" hidden="1" customHeight="1" x14ac:dyDescent="0.3">
      <c r="A1274" s="262" t="s">
        <v>3491</v>
      </c>
      <c r="B1274" s="262" t="s">
        <v>2370</v>
      </c>
      <c r="C1274" s="262" t="s">
        <v>3288</v>
      </c>
      <c r="D1274" s="262" t="s">
        <v>3517</v>
      </c>
      <c r="E1274" s="263">
        <v>4</v>
      </c>
      <c r="F1274" s="262" t="s">
        <v>2376</v>
      </c>
      <c r="G1274" s="262" t="s">
        <v>2406</v>
      </c>
      <c r="H1274" s="395"/>
    </row>
    <row r="1275" spans="1:8" ht="14.55" hidden="1" customHeight="1" x14ac:dyDescent="0.3">
      <c r="A1275" s="262" t="s">
        <v>3491</v>
      </c>
      <c r="B1275" s="262" t="s">
        <v>2370</v>
      </c>
      <c r="C1275" s="262" t="s">
        <v>3288</v>
      </c>
      <c r="D1275" s="262" t="s">
        <v>3518</v>
      </c>
      <c r="E1275" s="263">
        <v>6</v>
      </c>
      <c r="F1275" s="262" t="s">
        <v>2379</v>
      </c>
      <c r="G1275" s="262" t="s">
        <v>2396</v>
      </c>
      <c r="H1275" s="395"/>
    </row>
    <row r="1276" spans="1:8" ht="14.55" hidden="1" customHeight="1" x14ac:dyDescent="0.3">
      <c r="A1276" s="262" t="s">
        <v>3491</v>
      </c>
      <c r="B1276" s="262" t="s">
        <v>2380</v>
      </c>
      <c r="C1276" s="262" t="s">
        <v>3288</v>
      </c>
      <c r="D1276" s="262" t="s">
        <v>3519</v>
      </c>
      <c r="E1276" s="263">
        <v>4</v>
      </c>
      <c r="F1276" s="262" t="s">
        <v>2373</v>
      </c>
      <c r="G1276" s="262" t="s">
        <v>2596</v>
      </c>
      <c r="H1276" s="395"/>
    </row>
    <row r="1277" spans="1:8" ht="14.55" hidden="1" customHeight="1" x14ac:dyDescent="0.3">
      <c r="A1277" s="262" t="s">
        <v>3491</v>
      </c>
      <c r="B1277" s="262" t="s">
        <v>2370</v>
      </c>
      <c r="C1277" s="262" t="s">
        <v>3288</v>
      </c>
      <c r="D1277" s="262" t="s">
        <v>3520</v>
      </c>
      <c r="E1277" s="263">
        <v>6</v>
      </c>
      <c r="F1277" s="262" t="s">
        <v>2376</v>
      </c>
      <c r="G1277" s="262" t="s">
        <v>2394</v>
      </c>
      <c r="H1277" s="395"/>
    </row>
    <row r="1278" spans="1:8" ht="14.55" hidden="1" customHeight="1" x14ac:dyDescent="0.3">
      <c r="A1278" s="262" t="s">
        <v>3491</v>
      </c>
      <c r="B1278" s="262" t="s">
        <v>2370</v>
      </c>
      <c r="C1278" s="262" t="s">
        <v>3288</v>
      </c>
      <c r="D1278" s="262" t="s">
        <v>3053</v>
      </c>
      <c r="E1278" s="263">
        <v>4</v>
      </c>
      <c r="F1278" s="262" t="s">
        <v>2379</v>
      </c>
      <c r="G1278" s="262" t="s">
        <v>3054</v>
      </c>
      <c r="H1278" s="395"/>
    </row>
    <row r="1279" spans="1:8" ht="14.55" hidden="1" customHeight="1" x14ac:dyDescent="0.3">
      <c r="A1279" s="262" t="s">
        <v>3491</v>
      </c>
      <c r="B1279" s="262" t="s">
        <v>2380</v>
      </c>
      <c r="C1279" s="262" t="s">
        <v>3312</v>
      </c>
      <c r="D1279" s="262" t="s">
        <v>3521</v>
      </c>
      <c r="E1279" s="263">
        <v>6</v>
      </c>
      <c r="F1279" s="262" t="s">
        <v>2379</v>
      </c>
      <c r="G1279" s="262" t="s">
        <v>2396</v>
      </c>
      <c r="H1279" s="395"/>
    </row>
    <row r="1280" spans="1:8" x14ac:dyDescent="0.3">
      <c r="A1280" s="264" t="s">
        <v>3491</v>
      </c>
      <c r="B1280" s="264" t="s">
        <v>2380</v>
      </c>
      <c r="C1280" s="264" t="s">
        <v>3312</v>
      </c>
      <c r="D1280" s="264" t="s">
        <v>3522</v>
      </c>
      <c r="E1280" s="265">
        <v>6</v>
      </c>
      <c r="F1280" s="264" t="s">
        <v>2379</v>
      </c>
      <c r="G1280" s="264" t="s">
        <v>2402</v>
      </c>
      <c r="H1280" s="396"/>
    </row>
    <row r="1281" spans="1:8" ht="14.55" hidden="1" customHeight="1" x14ac:dyDescent="0.3">
      <c r="A1281" s="262" t="s">
        <v>3491</v>
      </c>
      <c r="B1281" s="262" t="s">
        <v>2370</v>
      </c>
      <c r="C1281" s="262" t="s">
        <v>3288</v>
      </c>
      <c r="D1281" s="262" t="s">
        <v>3523</v>
      </c>
      <c r="E1281" s="263">
        <v>6</v>
      </c>
      <c r="F1281" s="262" t="s">
        <v>2389</v>
      </c>
      <c r="G1281" s="262" t="s">
        <v>2631</v>
      </c>
      <c r="H1281" s="395"/>
    </row>
    <row r="1282" spans="1:8" ht="14.55" hidden="1" customHeight="1" x14ac:dyDescent="0.3">
      <c r="A1282" s="262" t="s">
        <v>3491</v>
      </c>
      <c r="B1282" s="262" t="s">
        <v>2370</v>
      </c>
      <c r="C1282" s="262" t="s">
        <v>3288</v>
      </c>
      <c r="D1282" s="262" t="s">
        <v>3524</v>
      </c>
      <c r="E1282" s="263">
        <v>8</v>
      </c>
      <c r="F1282" s="262" t="s">
        <v>2376</v>
      </c>
      <c r="G1282" s="262" t="s">
        <v>2406</v>
      </c>
      <c r="H1282" s="395"/>
    </row>
    <row r="1283" spans="1:8" ht="14.55" hidden="1" customHeight="1" x14ac:dyDescent="0.3">
      <c r="A1283" s="262" t="s">
        <v>3491</v>
      </c>
      <c r="B1283" s="262" t="s">
        <v>2370</v>
      </c>
      <c r="C1283" s="262" t="s">
        <v>3288</v>
      </c>
      <c r="D1283" s="262" t="s">
        <v>2521</v>
      </c>
      <c r="E1283" s="263">
        <v>4</v>
      </c>
      <c r="F1283" s="262" t="s">
        <v>2419</v>
      </c>
      <c r="G1283" s="262" t="s">
        <v>2420</v>
      </c>
      <c r="H1283" s="395"/>
    </row>
    <row r="1284" spans="1:8" ht="14.55" hidden="1" customHeight="1" x14ac:dyDescent="0.3">
      <c r="A1284" s="262" t="s">
        <v>3491</v>
      </c>
      <c r="B1284" s="262" t="s">
        <v>2370</v>
      </c>
      <c r="C1284" s="262" t="s">
        <v>3288</v>
      </c>
      <c r="D1284" s="262" t="s">
        <v>3525</v>
      </c>
      <c r="E1284" s="263">
        <v>4</v>
      </c>
      <c r="F1284" s="262" t="s">
        <v>2379</v>
      </c>
      <c r="G1284" s="262" t="s">
        <v>2396</v>
      </c>
      <c r="H1284" s="395"/>
    </row>
    <row r="1285" spans="1:8" ht="14.55" hidden="1" customHeight="1" x14ac:dyDescent="0.3">
      <c r="A1285" s="262" t="s">
        <v>3491</v>
      </c>
      <c r="B1285" s="262" t="s">
        <v>2370</v>
      </c>
      <c r="C1285" s="262" t="s">
        <v>3288</v>
      </c>
      <c r="D1285" s="262" t="s">
        <v>3111</v>
      </c>
      <c r="E1285" s="263">
        <v>4</v>
      </c>
      <c r="F1285" s="262" t="s">
        <v>2419</v>
      </c>
      <c r="G1285" s="262" t="s">
        <v>3526</v>
      </c>
      <c r="H1285" s="395"/>
    </row>
    <row r="1286" spans="1:8" ht="14.55" hidden="1" customHeight="1" x14ac:dyDescent="0.3">
      <c r="A1286" s="262" t="s">
        <v>3491</v>
      </c>
      <c r="B1286" s="262" t="s">
        <v>2370</v>
      </c>
      <c r="C1286" s="262" t="s">
        <v>3288</v>
      </c>
      <c r="D1286" s="262" t="s">
        <v>3527</v>
      </c>
      <c r="E1286" s="263">
        <v>6</v>
      </c>
      <c r="F1286" s="262" t="s">
        <v>2376</v>
      </c>
      <c r="G1286" s="262" t="s">
        <v>3528</v>
      </c>
      <c r="H1286" s="395"/>
    </row>
    <row r="1287" spans="1:8" ht="14.55" hidden="1" customHeight="1" x14ac:dyDescent="0.3">
      <c r="A1287" s="262" t="s">
        <v>3491</v>
      </c>
      <c r="B1287" s="262" t="s">
        <v>2370</v>
      </c>
      <c r="C1287" s="262" t="s">
        <v>3288</v>
      </c>
      <c r="D1287" s="262" t="s">
        <v>2575</v>
      </c>
      <c r="E1287" s="263">
        <v>4</v>
      </c>
      <c r="F1287" s="262" t="s">
        <v>2379</v>
      </c>
      <c r="G1287" s="262" t="s">
        <v>2396</v>
      </c>
      <c r="H1287" s="395"/>
    </row>
    <row r="1288" spans="1:8" ht="14.55" hidden="1" customHeight="1" x14ac:dyDescent="0.3">
      <c r="A1288" s="262" t="s">
        <v>3491</v>
      </c>
      <c r="B1288" s="262" t="s">
        <v>2370</v>
      </c>
      <c r="C1288" s="262" t="s">
        <v>3288</v>
      </c>
      <c r="D1288" s="262" t="s">
        <v>3529</v>
      </c>
      <c r="E1288" s="263">
        <v>6</v>
      </c>
      <c r="F1288" s="262" t="s">
        <v>2419</v>
      </c>
      <c r="G1288" s="262" t="s">
        <v>3273</v>
      </c>
      <c r="H1288" s="395"/>
    </row>
    <row r="1289" spans="1:8" ht="14.55" hidden="1" customHeight="1" x14ac:dyDescent="0.3">
      <c r="A1289" s="262" t="s">
        <v>3491</v>
      </c>
      <c r="B1289" s="262" t="s">
        <v>2380</v>
      </c>
      <c r="C1289" s="262" t="s">
        <v>3288</v>
      </c>
      <c r="D1289" s="262" t="s">
        <v>2590</v>
      </c>
      <c r="E1289" s="263">
        <v>4</v>
      </c>
      <c r="F1289" s="262" t="s">
        <v>2419</v>
      </c>
      <c r="G1289" s="262" t="s">
        <v>2420</v>
      </c>
      <c r="H1289" s="395"/>
    </row>
    <row r="1290" spans="1:8" ht="14.55" hidden="1" customHeight="1" x14ac:dyDescent="0.3">
      <c r="A1290" s="262" t="s">
        <v>3491</v>
      </c>
      <c r="B1290" s="262" t="s">
        <v>2380</v>
      </c>
      <c r="C1290" s="262" t="s">
        <v>3312</v>
      </c>
      <c r="D1290" s="262" t="s">
        <v>3530</v>
      </c>
      <c r="E1290" s="263">
        <v>8</v>
      </c>
      <c r="F1290" s="262" t="s">
        <v>2389</v>
      </c>
      <c r="G1290" s="262" t="s">
        <v>2631</v>
      </c>
      <c r="H1290" s="395"/>
    </row>
    <row r="1291" spans="1:8" ht="14.55" hidden="1" customHeight="1" x14ac:dyDescent="0.3">
      <c r="A1291" s="262" t="s">
        <v>3491</v>
      </c>
      <c r="B1291" s="262" t="s">
        <v>2380</v>
      </c>
      <c r="C1291" s="262" t="s">
        <v>3312</v>
      </c>
      <c r="D1291" s="262" t="s">
        <v>3531</v>
      </c>
      <c r="E1291" s="263">
        <v>4</v>
      </c>
      <c r="F1291" s="262" t="s">
        <v>2379</v>
      </c>
      <c r="G1291" s="262" t="s">
        <v>2396</v>
      </c>
      <c r="H1291" s="395"/>
    </row>
    <row r="1292" spans="1:8" ht="14.55" hidden="1" customHeight="1" x14ac:dyDescent="0.3">
      <c r="A1292" s="262" t="s">
        <v>3491</v>
      </c>
      <c r="B1292" s="262" t="s">
        <v>2380</v>
      </c>
      <c r="C1292" s="262" t="s">
        <v>3288</v>
      </c>
      <c r="D1292" s="262" t="s">
        <v>3532</v>
      </c>
      <c r="E1292" s="263">
        <v>4</v>
      </c>
      <c r="F1292" s="262" t="s">
        <v>2376</v>
      </c>
      <c r="G1292" s="262" t="s">
        <v>2394</v>
      </c>
      <c r="H1292" s="395"/>
    </row>
    <row r="1293" spans="1:8" ht="14.55" hidden="1" customHeight="1" x14ac:dyDescent="0.3">
      <c r="A1293" s="262" t="s">
        <v>3491</v>
      </c>
      <c r="B1293" s="262" t="s">
        <v>2380</v>
      </c>
      <c r="C1293" s="262" t="s">
        <v>3288</v>
      </c>
      <c r="D1293" s="262" t="s">
        <v>3533</v>
      </c>
      <c r="E1293" s="263">
        <v>6</v>
      </c>
      <c r="F1293" s="262" t="s">
        <v>2389</v>
      </c>
      <c r="G1293" s="262" t="s">
        <v>2390</v>
      </c>
      <c r="H1293" s="395"/>
    </row>
    <row r="1294" spans="1:8" ht="14.55" hidden="1" customHeight="1" x14ac:dyDescent="0.3">
      <c r="A1294" s="262" t="s">
        <v>3491</v>
      </c>
      <c r="B1294" s="262" t="s">
        <v>2370</v>
      </c>
      <c r="C1294" s="262" t="s">
        <v>3288</v>
      </c>
      <c r="D1294" s="262" t="s">
        <v>3145</v>
      </c>
      <c r="E1294" s="263">
        <v>4</v>
      </c>
      <c r="F1294" s="262" t="s">
        <v>2419</v>
      </c>
      <c r="G1294" s="262" t="s">
        <v>2488</v>
      </c>
      <c r="H1294" s="395"/>
    </row>
    <row r="1295" spans="1:8" ht="14.55" hidden="1" customHeight="1" x14ac:dyDescent="0.3">
      <c r="A1295" s="262" t="s">
        <v>3491</v>
      </c>
      <c r="B1295" s="262" t="s">
        <v>2380</v>
      </c>
      <c r="C1295" s="262" t="s">
        <v>3312</v>
      </c>
      <c r="D1295" s="262" t="s">
        <v>2459</v>
      </c>
      <c r="E1295" s="263">
        <v>4</v>
      </c>
      <c r="F1295" s="262" t="s">
        <v>2379</v>
      </c>
      <c r="G1295" s="262" t="s">
        <v>2396</v>
      </c>
      <c r="H1295" s="395"/>
    </row>
    <row r="1296" spans="1:8" ht="14.55" hidden="1" customHeight="1" x14ac:dyDescent="0.3">
      <c r="A1296" s="262" t="s">
        <v>3491</v>
      </c>
      <c r="B1296" s="262" t="s">
        <v>2380</v>
      </c>
      <c r="C1296" s="262" t="s">
        <v>3288</v>
      </c>
      <c r="D1296" s="262" t="s">
        <v>3534</v>
      </c>
      <c r="E1296" s="263">
        <v>6</v>
      </c>
      <c r="F1296" s="262" t="s">
        <v>2419</v>
      </c>
      <c r="G1296" s="262" t="s">
        <v>2488</v>
      </c>
      <c r="H1296" s="395"/>
    </row>
    <row r="1297" spans="1:8" ht="14.55" hidden="1" customHeight="1" x14ac:dyDescent="0.3">
      <c r="A1297" s="262" t="s">
        <v>3491</v>
      </c>
      <c r="B1297" s="262" t="s">
        <v>2380</v>
      </c>
      <c r="C1297" s="262" t="s">
        <v>3312</v>
      </c>
      <c r="D1297" s="262" t="s">
        <v>3271</v>
      </c>
      <c r="E1297" s="263">
        <v>4</v>
      </c>
      <c r="F1297" s="262" t="s">
        <v>2379</v>
      </c>
      <c r="G1297" s="262" t="s">
        <v>2396</v>
      </c>
      <c r="H1297" s="395"/>
    </row>
    <row r="1298" spans="1:8" ht="14.55" hidden="1" customHeight="1" x14ac:dyDescent="0.3">
      <c r="A1298" s="262" t="s">
        <v>3491</v>
      </c>
      <c r="B1298" s="262" t="s">
        <v>2380</v>
      </c>
      <c r="C1298" s="262" t="s">
        <v>3312</v>
      </c>
      <c r="D1298" s="262" t="s">
        <v>2838</v>
      </c>
      <c r="E1298" s="263">
        <v>4</v>
      </c>
      <c r="F1298" s="262" t="s">
        <v>2419</v>
      </c>
      <c r="G1298" s="262" t="s">
        <v>2857</v>
      </c>
      <c r="H1298" s="395"/>
    </row>
    <row r="1299" spans="1:8" ht="14.55" hidden="1" customHeight="1" x14ac:dyDescent="0.3">
      <c r="A1299" s="262" t="s">
        <v>3491</v>
      </c>
      <c r="B1299" s="262" t="s">
        <v>2380</v>
      </c>
      <c r="C1299" s="262" t="s">
        <v>3312</v>
      </c>
      <c r="D1299" s="262" t="s">
        <v>3535</v>
      </c>
      <c r="E1299" s="263">
        <v>4</v>
      </c>
      <c r="F1299" s="262" t="s">
        <v>2419</v>
      </c>
      <c r="G1299" s="262" t="s">
        <v>3536</v>
      </c>
      <c r="H1299" s="395"/>
    </row>
    <row r="1300" spans="1:8" ht="14.55" hidden="1" customHeight="1" x14ac:dyDescent="0.3">
      <c r="A1300" s="262" t="s">
        <v>3491</v>
      </c>
      <c r="B1300" s="262" t="s">
        <v>2380</v>
      </c>
      <c r="C1300" s="262" t="s">
        <v>3288</v>
      </c>
      <c r="D1300" s="262" t="s">
        <v>3537</v>
      </c>
      <c r="E1300" s="263">
        <v>6</v>
      </c>
      <c r="F1300" s="262" t="s">
        <v>2389</v>
      </c>
      <c r="G1300" s="262" t="s">
        <v>2631</v>
      </c>
      <c r="H1300" s="395"/>
    </row>
    <row r="1301" spans="1:8" ht="14.55" hidden="1" customHeight="1" x14ac:dyDescent="0.3">
      <c r="A1301" s="262" t="s">
        <v>3491</v>
      </c>
      <c r="B1301" s="262" t="s">
        <v>2370</v>
      </c>
      <c r="C1301" s="262" t="s">
        <v>3288</v>
      </c>
      <c r="D1301" s="262" t="s">
        <v>3538</v>
      </c>
      <c r="E1301" s="263">
        <v>8</v>
      </c>
      <c r="F1301" s="262" t="s">
        <v>2389</v>
      </c>
      <c r="G1301" s="262" t="s">
        <v>2631</v>
      </c>
      <c r="H1301" s="395"/>
    </row>
    <row r="1302" spans="1:8" x14ac:dyDescent="0.3">
      <c r="A1302" s="264" t="s">
        <v>3491</v>
      </c>
      <c r="B1302" s="264" t="s">
        <v>2380</v>
      </c>
      <c r="C1302" s="264" t="s">
        <v>3288</v>
      </c>
      <c r="D1302" s="264" t="s">
        <v>3539</v>
      </c>
      <c r="E1302" s="265">
        <v>8</v>
      </c>
      <c r="F1302" s="264" t="s">
        <v>2379</v>
      </c>
      <c r="G1302" s="264" t="s">
        <v>2402</v>
      </c>
      <c r="H1302" s="396"/>
    </row>
    <row r="1303" spans="1:8" ht="14.55" hidden="1" customHeight="1" x14ac:dyDescent="0.3">
      <c r="A1303" s="262" t="s">
        <v>3491</v>
      </c>
      <c r="B1303" s="262" t="s">
        <v>2370</v>
      </c>
      <c r="C1303" s="262" t="s">
        <v>3288</v>
      </c>
      <c r="D1303" s="262" t="s">
        <v>3540</v>
      </c>
      <c r="E1303" s="263">
        <v>6</v>
      </c>
      <c r="F1303" s="262" t="s">
        <v>2379</v>
      </c>
      <c r="G1303" s="262" t="s">
        <v>2463</v>
      </c>
      <c r="H1303" s="395"/>
    </row>
    <row r="1304" spans="1:8" ht="14.55" hidden="1" customHeight="1" x14ac:dyDescent="0.3">
      <c r="A1304" s="262" t="s">
        <v>3491</v>
      </c>
      <c r="B1304" s="262" t="s">
        <v>2370</v>
      </c>
      <c r="C1304" s="262" t="s">
        <v>3288</v>
      </c>
      <c r="D1304" s="262" t="s">
        <v>3541</v>
      </c>
      <c r="E1304" s="263">
        <v>6</v>
      </c>
      <c r="F1304" s="262" t="s">
        <v>2389</v>
      </c>
      <c r="G1304" s="262" t="s">
        <v>2627</v>
      </c>
      <c r="H1304" s="395"/>
    </row>
    <row r="1305" spans="1:8" ht="14.55" hidden="1" customHeight="1" x14ac:dyDescent="0.3">
      <c r="A1305" s="262" t="s">
        <v>3491</v>
      </c>
      <c r="B1305" s="262" t="s">
        <v>2370</v>
      </c>
      <c r="C1305" s="262" t="s">
        <v>3288</v>
      </c>
      <c r="D1305" s="262" t="s">
        <v>3542</v>
      </c>
      <c r="E1305" s="263">
        <v>4</v>
      </c>
      <c r="F1305" s="262" t="s">
        <v>2389</v>
      </c>
      <c r="G1305" s="262" t="s">
        <v>2408</v>
      </c>
      <c r="H1305" s="395"/>
    </row>
    <row r="1306" spans="1:8" ht="14.55" hidden="1" customHeight="1" x14ac:dyDescent="0.3">
      <c r="A1306" s="262" t="s">
        <v>3491</v>
      </c>
      <c r="B1306" s="262" t="s">
        <v>2380</v>
      </c>
      <c r="C1306" s="262" t="s">
        <v>3288</v>
      </c>
      <c r="D1306" s="262" t="s">
        <v>3155</v>
      </c>
      <c r="E1306" s="263">
        <v>4</v>
      </c>
      <c r="F1306" s="262" t="s">
        <v>2379</v>
      </c>
      <c r="G1306" s="262" t="s">
        <v>2396</v>
      </c>
      <c r="H1306" s="395"/>
    </row>
    <row r="1307" spans="1:8" ht="14.55" hidden="1" customHeight="1" x14ac:dyDescent="0.3">
      <c r="A1307" s="262" t="s">
        <v>3491</v>
      </c>
      <c r="B1307" s="262" t="s">
        <v>2370</v>
      </c>
      <c r="C1307" s="262" t="s">
        <v>3288</v>
      </c>
      <c r="D1307" s="262" t="s">
        <v>3543</v>
      </c>
      <c r="E1307" s="263">
        <v>6</v>
      </c>
      <c r="F1307" s="262" t="s">
        <v>2379</v>
      </c>
      <c r="G1307" s="262" t="s">
        <v>2584</v>
      </c>
      <c r="H1307" s="395"/>
    </row>
    <row r="1308" spans="1:8" ht="14.55" hidden="1" customHeight="1" x14ac:dyDescent="0.3">
      <c r="A1308" s="262" t="s">
        <v>3491</v>
      </c>
      <c r="B1308" s="262" t="s">
        <v>2370</v>
      </c>
      <c r="C1308" s="262" t="s">
        <v>3288</v>
      </c>
      <c r="D1308" s="262" t="s">
        <v>3544</v>
      </c>
      <c r="E1308" s="263">
        <v>8</v>
      </c>
      <c r="F1308" s="262" t="s">
        <v>2419</v>
      </c>
      <c r="G1308" s="262" t="s">
        <v>2420</v>
      </c>
      <c r="H1308" s="395"/>
    </row>
    <row r="1309" spans="1:8" ht="14.55" hidden="1" customHeight="1" x14ac:dyDescent="0.3">
      <c r="A1309" s="262" t="s">
        <v>3491</v>
      </c>
      <c r="B1309" s="262" t="s">
        <v>2370</v>
      </c>
      <c r="C1309" s="262" t="s">
        <v>3288</v>
      </c>
      <c r="D1309" s="262" t="s">
        <v>3545</v>
      </c>
      <c r="E1309" s="263">
        <v>6</v>
      </c>
      <c r="F1309" s="262" t="s">
        <v>2379</v>
      </c>
      <c r="G1309" s="262" t="s">
        <v>2584</v>
      </c>
      <c r="H1309" s="395"/>
    </row>
    <row r="1310" spans="1:8" ht="14.55" hidden="1" customHeight="1" x14ac:dyDescent="0.3">
      <c r="A1310" s="262" t="s">
        <v>3491</v>
      </c>
      <c r="B1310" s="262" t="s">
        <v>2370</v>
      </c>
      <c r="C1310" s="262" t="s">
        <v>3288</v>
      </c>
      <c r="D1310" s="262" t="s">
        <v>3546</v>
      </c>
      <c r="E1310" s="263">
        <v>6</v>
      </c>
      <c r="F1310" s="262" t="s">
        <v>2379</v>
      </c>
      <c r="G1310" s="262" t="s">
        <v>2584</v>
      </c>
      <c r="H1310" s="395"/>
    </row>
    <row r="1311" spans="1:8" ht="14.55" hidden="1" customHeight="1" x14ac:dyDescent="0.3">
      <c r="A1311" s="262" t="s">
        <v>3491</v>
      </c>
      <c r="B1311" s="262" t="s">
        <v>2370</v>
      </c>
      <c r="C1311" s="262" t="s">
        <v>3288</v>
      </c>
      <c r="D1311" s="262" t="s">
        <v>3247</v>
      </c>
      <c r="E1311" s="263">
        <v>4</v>
      </c>
      <c r="F1311" s="262" t="s">
        <v>2379</v>
      </c>
      <c r="G1311" s="262" t="s">
        <v>2396</v>
      </c>
      <c r="H1311" s="395"/>
    </row>
    <row r="1312" spans="1:8" ht="14.55" hidden="1" customHeight="1" x14ac:dyDescent="0.3">
      <c r="A1312" s="262" t="s">
        <v>3491</v>
      </c>
      <c r="B1312" s="262" t="s">
        <v>2370</v>
      </c>
      <c r="C1312" s="262" t="s">
        <v>3288</v>
      </c>
      <c r="D1312" s="262" t="s">
        <v>3547</v>
      </c>
      <c r="E1312" s="263">
        <v>4</v>
      </c>
      <c r="F1312" s="262" t="s">
        <v>2379</v>
      </c>
      <c r="G1312" s="262" t="s">
        <v>2568</v>
      </c>
      <c r="H1312" s="395"/>
    </row>
    <row r="1313" spans="1:8" ht="14.55" hidden="1" customHeight="1" x14ac:dyDescent="0.3">
      <c r="A1313" s="262" t="s">
        <v>3491</v>
      </c>
      <c r="B1313" s="262" t="s">
        <v>2370</v>
      </c>
      <c r="C1313" s="262" t="s">
        <v>3288</v>
      </c>
      <c r="D1313" s="262" t="s">
        <v>3548</v>
      </c>
      <c r="E1313" s="263">
        <v>8</v>
      </c>
      <c r="F1313" s="262" t="s">
        <v>2389</v>
      </c>
      <c r="G1313" s="262" t="s">
        <v>2800</v>
      </c>
      <c r="H1313" s="395"/>
    </row>
    <row r="1314" spans="1:8" ht="14.55" hidden="1" customHeight="1" x14ac:dyDescent="0.3">
      <c r="A1314" s="262" t="s">
        <v>3491</v>
      </c>
      <c r="B1314" s="262" t="s">
        <v>2380</v>
      </c>
      <c r="C1314" s="262" t="s">
        <v>3288</v>
      </c>
      <c r="D1314" s="262" t="s">
        <v>3549</v>
      </c>
      <c r="E1314" s="263">
        <v>6</v>
      </c>
      <c r="F1314" s="262" t="s">
        <v>2373</v>
      </c>
      <c r="G1314" s="262" t="s">
        <v>3550</v>
      </c>
      <c r="H1314" s="395"/>
    </row>
    <row r="1315" spans="1:8" ht="14.55" hidden="1" customHeight="1" x14ac:dyDescent="0.3">
      <c r="A1315" s="262" t="s">
        <v>3491</v>
      </c>
      <c r="B1315" s="262" t="s">
        <v>2370</v>
      </c>
      <c r="C1315" s="262" t="s">
        <v>3288</v>
      </c>
      <c r="D1315" s="262" t="s">
        <v>3551</v>
      </c>
      <c r="E1315" s="263">
        <v>6</v>
      </c>
      <c r="F1315" s="262" t="s">
        <v>2389</v>
      </c>
      <c r="G1315" s="262" t="s">
        <v>2428</v>
      </c>
      <c r="H1315" s="395"/>
    </row>
    <row r="1316" spans="1:8" ht="14.55" hidden="1" customHeight="1" x14ac:dyDescent="0.3">
      <c r="A1316" s="262" t="s">
        <v>3491</v>
      </c>
      <c r="B1316" s="262" t="s">
        <v>2370</v>
      </c>
      <c r="C1316" s="262" t="s">
        <v>3288</v>
      </c>
      <c r="D1316" s="262" t="s">
        <v>3552</v>
      </c>
      <c r="E1316" s="263">
        <v>6</v>
      </c>
      <c r="F1316" s="262" t="s">
        <v>2379</v>
      </c>
      <c r="G1316" s="262" t="s">
        <v>2544</v>
      </c>
      <c r="H1316" s="395"/>
    </row>
    <row r="1317" spans="1:8" ht="14.55" hidden="1" customHeight="1" x14ac:dyDescent="0.3">
      <c r="A1317" s="262" t="s">
        <v>3491</v>
      </c>
      <c r="B1317" s="262" t="s">
        <v>2380</v>
      </c>
      <c r="C1317" s="262" t="s">
        <v>3312</v>
      </c>
      <c r="D1317" s="262" t="s">
        <v>3553</v>
      </c>
      <c r="E1317" s="263">
        <v>4</v>
      </c>
      <c r="F1317" s="262" t="s">
        <v>2389</v>
      </c>
      <c r="G1317" s="262" t="s">
        <v>2627</v>
      </c>
      <c r="H1317" s="395"/>
    </row>
    <row r="1318" spans="1:8" ht="14.55" hidden="1" customHeight="1" x14ac:dyDescent="0.3">
      <c r="A1318" s="262" t="s">
        <v>3491</v>
      </c>
      <c r="B1318" s="262" t="s">
        <v>2370</v>
      </c>
      <c r="C1318" s="262" t="s">
        <v>3288</v>
      </c>
      <c r="D1318" s="262" t="s">
        <v>3554</v>
      </c>
      <c r="E1318" s="263">
        <v>8</v>
      </c>
      <c r="F1318" s="262" t="s">
        <v>2389</v>
      </c>
      <c r="G1318" s="262" t="s">
        <v>2631</v>
      </c>
      <c r="H1318" s="395"/>
    </row>
    <row r="1319" spans="1:8" ht="14.55" hidden="1" customHeight="1" x14ac:dyDescent="0.3">
      <c r="A1319" s="262" t="s">
        <v>3491</v>
      </c>
      <c r="B1319" s="262" t="s">
        <v>2380</v>
      </c>
      <c r="C1319" s="262" t="s">
        <v>3312</v>
      </c>
      <c r="D1319" s="262" t="s">
        <v>3555</v>
      </c>
      <c r="E1319" s="263">
        <v>6</v>
      </c>
      <c r="F1319" s="262" t="s">
        <v>2379</v>
      </c>
      <c r="G1319" s="262" t="s">
        <v>15</v>
      </c>
      <c r="H1319" s="395"/>
    </row>
    <row r="1320" spans="1:8" ht="14.55" hidden="1" customHeight="1" x14ac:dyDescent="0.3">
      <c r="A1320" s="262" t="s">
        <v>3491</v>
      </c>
      <c r="B1320" s="262" t="s">
        <v>2370</v>
      </c>
      <c r="C1320" s="262" t="s">
        <v>3288</v>
      </c>
      <c r="D1320" s="262" t="s">
        <v>2917</v>
      </c>
      <c r="E1320" s="263">
        <v>4</v>
      </c>
      <c r="F1320" s="262" t="s">
        <v>2419</v>
      </c>
      <c r="G1320" s="262" t="s">
        <v>2420</v>
      </c>
      <c r="H1320" s="395"/>
    </row>
    <row r="1321" spans="1:8" ht="14.55" hidden="1" customHeight="1" x14ac:dyDescent="0.3">
      <c r="A1321" s="262" t="s">
        <v>3491</v>
      </c>
      <c r="B1321" s="262" t="s">
        <v>2370</v>
      </c>
      <c r="C1321" s="262" t="s">
        <v>3288</v>
      </c>
      <c r="D1321" s="262" t="s">
        <v>3556</v>
      </c>
      <c r="E1321" s="263">
        <v>8</v>
      </c>
      <c r="F1321" s="262" t="s">
        <v>2373</v>
      </c>
      <c r="G1321" s="262" t="s">
        <v>2596</v>
      </c>
      <c r="H1321" s="395"/>
    </row>
    <row r="1322" spans="1:8" ht="14.55" hidden="1" customHeight="1" x14ac:dyDescent="0.3">
      <c r="A1322" s="262" t="s">
        <v>3491</v>
      </c>
      <c r="B1322" s="262" t="s">
        <v>2370</v>
      </c>
      <c r="C1322" s="262" t="s">
        <v>3288</v>
      </c>
      <c r="D1322" s="262" t="s">
        <v>3557</v>
      </c>
      <c r="E1322" s="263">
        <v>8</v>
      </c>
      <c r="F1322" s="262" t="s">
        <v>2419</v>
      </c>
      <c r="G1322" s="262" t="s">
        <v>2432</v>
      </c>
      <c r="H1322" s="395"/>
    </row>
    <row r="1323" spans="1:8" ht="14.55" hidden="1" customHeight="1" x14ac:dyDescent="0.3">
      <c r="A1323" s="262" t="s">
        <v>3491</v>
      </c>
      <c r="B1323" s="262" t="s">
        <v>2370</v>
      </c>
      <c r="C1323" s="262" t="s">
        <v>3288</v>
      </c>
      <c r="D1323" s="262" t="s">
        <v>3558</v>
      </c>
      <c r="E1323" s="263">
        <v>4</v>
      </c>
      <c r="F1323" s="262" t="s">
        <v>2379</v>
      </c>
      <c r="G1323" s="262" t="s">
        <v>2568</v>
      </c>
      <c r="H1323" s="395"/>
    </row>
    <row r="1324" spans="1:8" ht="14.55" hidden="1" customHeight="1" x14ac:dyDescent="0.3">
      <c r="A1324" s="262" t="s">
        <v>3491</v>
      </c>
      <c r="B1324" s="262" t="s">
        <v>2380</v>
      </c>
      <c r="C1324" s="262" t="s">
        <v>3312</v>
      </c>
      <c r="D1324" s="262" t="s">
        <v>2818</v>
      </c>
      <c r="E1324" s="263">
        <v>4</v>
      </c>
      <c r="F1324" s="262" t="s">
        <v>2419</v>
      </c>
      <c r="G1324" s="262" t="s">
        <v>2420</v>
      </c>
      <c r="H1324" s="395"/>
    </row>
    <row r="1325" spans="1:8" ht="14.55" hidden="1" customHeight="1" x14ac:dyDescent="0.3">
      <c r="A1325" s="262" t="s">
        <v>3491</v>
      </c>
      <c r="B1325" s="262" t="s">
        <v>2370</v>
      </c>
      <c r="C1325" s="262" t="s">
        <v>3288</v>
      </c>
      <c r="D1325" s="262" t="s">
        <v>3559</v>
      </c>
      <c r="E1325" s="263">
        <v>8</v>
      </c>
      <c r="F1325" s="262" t="s">
        <v>2389</v>
      </c>
      <c r="G1325" s="262" t="s">
        <v>2428</v>
      </c>
      <c r="H1325" s="395"/>
    </row>
    <row r="1326" spans="1:8" ht="14.55" hidden="1" customHeight="1" x14ac:dyDescent="0.3">
      <c r="A1326" s="262" t="s">
        <v>3491</v>
      </c>
      <c r="B1326" s="262" t="s">
        <v>2370</v>
      </c>
      <c r="C1326" s="262" t="s">
        <v>3288</v>
      </c>
      <c r="D1326" s="262" t="s">
        <v>3560</v>
      </c>
      <c r="E1326" s="263">
        <v>8</v>
      </c>
      <c r="F1326" s="262" t="s">
        <v>2419</v>
      </c>
      <c r="G1326" s="262" t="s">
        <v>2420</v>
      </c>
      <c r="H1326" s="395"/>
    </row>
    <row r="1327" spans="1:8" ht="14.55" hidden="1" customHeight="1" x14ac:dyDescent="0.3">
      <c r="A1327" s="262" t="s">
        <v>3491</v>
      </c>
      <c r="B1327" s="262" t="s">
        <v>2380</v>
      </c>
      <c r="C1327" s="262" t="s">
        <v>3312</v>
      </c>
      <c r="D1327" s="262" t="s">
        <v>3561</v>
      </c>
      <c r="E1327" s="263">
        <v>4</v>
      </c>
      <c r="F1327" s="262" t="s">
        <v>2419</v>
      </c>
      <c r="G1327" s="262" t="s">
        <v>2432</v>
      </c>
      <c r="H1327" s="395"/>
    </row>
    <row r="1328" spans="1:8" ht="14.55" hidden="1" customHeight="1" x14ac:dyDescent="0.3">
      <c r="A1328" s="262" t="s">
        <v>3491</v>
      </c>
      <c r="B1328" s="262" t="s">
        <v>2370</v>
      </c>
      <c r="C1328" s="262" t="s">
        <v>3288</v>
      </c>
      <c r="D1328" s="262" t="s">
        <v>3562</v>
      </c>
      <c r="E1328" s="263">
        <v>8</v>
      </c>
      <c r="F1328" s="262" t="s">
        <v>2376</v>
      </c>
      <c r="G1328" s="262" t="s">
        <v>2928</v>
      </c>
      <c r="H1328" s="395"/>
    </row>
    <row r="1329" spans="1:8" ht="14.55" hidden="1" customHeight="1" x14ac:dyDescent="0.3">
      <c r="A1329" s="262" t="s">
        <v>3491</v>
      </c>
      <c r="B1329" s="262" t="s">
        <v>2370</v>
      </c>
      <c r="C1329" s="262" t="s">
        <v>3288</v>
      </c>
      <c r="D1329" s="262" t="s">
        <v>2828</v>
      </c>
      <c r="E1329" s="263">
        <v>4</v>
      </c>
      <c r="F1329" s="262" t="s">
        <v>2376</v>
      </c>
      <c r="G1329" s="262" t="s">
        <v>2377</v>
      </c>
      <c r="H1329" s="395"/>
    </row>
    <row r="1330" spans="1:8" ht="14.55" hidden="1" customHeight="1" x14ac:dyDescent="0.3">
      <c r="A1330" s="262" t="s">
        <v>3491</v>
      </c>
      <c r="B1330" s="262" t="s">
        <v>2380</v>
      </c>
      <c r="C1330" s="262" t="s">
        <v>3288</v>
      </c>
      <c r="D1330" s="262" t="s">
        <v>3563</v>
      </c>
      <c r="E1330" s="263">
        <v>6</v>
      </c>
      <c r="F1330" s="262" t="s">
        <v>2419</v>
      </c>
      <c r="G1330" s="262" t="s">
        <v>2605</v>
      </c>
      <c r="H1330" s="395"/>
    </row>
    <row r="1331" spans="1:8" ht="14.55" hidden="1" customHeight="1" x14ac:dyDescent="0.3">
      <c r="A1331" s="262" t="s">
        <v>3491</v>
      </c>
      <c r="B1331" s="262" t="s">
        <v>2370</v>
      </c>
      <c r="C1331" s="262" t="s">
        <v>3312</v>
      </c>
      <c r="D1331" s="262" t="s">
        <v>3564</v>
      </c>
      <c r="E1331" s="263">
        <v>8</v>
      </c>
      <c r="F1331" s="262" t="s">
        <v>2373</v>
      </c>
      <c r="G1331" s="262" t="s">
        <v>2374</v>
      </c>
      <c r="H1331" s="395"/>
    </row>
    <row r="1332" spans="1:8" x14ac:dyDescent="0.3">
      <c r="A1332" s="264" t="s">
        <v>3491</v>
      </c>
      <c r="B1332" s="264" t="s">
        <v>2380</v>
      </c>
      <c r="C1332" s="264" t="s">
        <v>3312</v>
      </c>
      <c r="D1332" s="264" t="s">
        <v>3565</v>
      </c>
      <c r="E1332" s="265">
        <v>8</v>
      </c>
      <c r="F1332" s="264" t="s">
        <v>2379</v>
      </c>
      <c r="G1332" s="264" t="s">
        <v>2402</v>
      </c>
      <c r="H1332" s="396"/>
    </row>
    <row r="1333" spans="1:8" ht="14.55" hidden="1" customHeight="1" x14ac:dyDescent="0.3">
      <c r="A1333" s="262" t="s">
        <v>3491</v>
      </c>
      <c r="B1333" s="262" t="s">
        <v>2370</v>
      </c>
      <c r="C1333" s="262" t="s">
        <v>3288</v>
      </c>
      <c r="D1333" s="262" t="s">
        <v>3566</v>
      </c>
      <c r="E1333" s="263">
        <v>8</v>
      </c>
      <c r="F1333" s="262" t="s">
        <v>2373</v>
      </c>
      <c r="G1333" s="262" t="s">
        <v>2374</v>
      </c>
      <c r="H1333" s="395"/>
    </row>
    <row r="1334" spans="1:8" ht="14.55" hidden="1" customHeight="1" x14ac:dyDescent="0.3">
      <c r="A1334" s="262" t="s">
        <v>3491</v>
      </c>
      <c r="B1334" s="262" t="s">
        <v>2380</v>
      </c>
      <c r="C1334" s="262" t="s">
        <v>3288</v>
      </c>
      <c r="D1334" s="262" t="s">
        <v>3567</v>
      </c>
      <c r="E1334" s="263">
        <v>8</v>
      </c>
      <c r="F1334" s="262" t="s">
        <v>2379</v>
      </c>
      <c r="G1334" s="262" t="s">
        <v>2396</v>
      </c>
      <c r="H1334" s="395"/>
    </row>
    <row r="1335" spans="1:8" ht="14.55" hidden="1" customHeight="1" x14ac:dyDescent="0.3">
      <c r="A1335" s="262" t="s">
        <v>3491</v>
      </c>
      <c r="B1335" s="262" t="s">
        <v>2380</v>
      </c>
      <c r="C1335" s="262" t="s">
        <v>3312</v>
      </c>
      <c r="D1335" s="262" t="s">
        <v>3568</v>
      </c>
      <c r="E1335" s="263">
        <v>8</v>
      </c>
      <c r="F1335" s="262" t="s">
        <v>2389</v>
      </c>
      <c r="G1335" s="262" t="s">
        <v>2408</v>
      </c>
      <c r="H1335" s="395"/>
    </row>
    <row r="1336" spans="1:8" ht="14.55" hidden="1" customHeight="1" x14ac:dyDescent="0.3">
      <c r="A1336" s="262" t="s">
        <v>3491</v>
      </c>
      <c r="B1336" s="262" t="s">
        <v>2370</v>
      </c>
      <c r="C1336" s="262" t="s">
        <v>3288</v>
      </c>
      <c r="D1336" s="262" t="s">
        <v>3569</v>
      </c>
      <c r="E1336" s="263">
        <v>6</v>
      </c>
      <c r="F1336" s="262" t="s">
        <v>2419</v>
      </c>
      <c r="G1336" s="262" t="s">
        <v>2488</v>
      </c>
      <c r="H1336" s="395"/>
    </row>
    <row r="1337" spans="1:8" ht="14.55" hidden="1" customHeight="1" x14ac:dyDescent="0.3">
      <c r="A1337" s="262" t="s">
        <v>3491</v>
      </c>
      <c r="B1337" s="262" t="s">
        <v>2380</v>
      </c>
      <c r="C1337" s="262" t="s">
        <v>3312</v>
      </c>
      <c r="D1337" s="262" t="s">
        <v>3570</v>
      </c>
      <c r="E1337" s="263">
        <v>4</v>
      </c>
      <c r="F1337" s="262" t="s">
        <v>2419</v>
      </c>
      <c r="G1337" s="262" t="s">
        <v>3571</v>
      </c>
      <c r="H1337" s="395"/>
    </row>
    <row r="1338" spans="1:8" ht="14.55" hidden="1" customHeight="1" x14ac:dyDescent="0.3">
      <c r="A1338" s="262" t="s">
        <v>3491</v>
      </c>
      <c r="B1338" s="262" t="s">
        <v>2380</v>
      </c>
      <c r="C1338" s="262" t="s">
        <v>3288</v>
      </c>
      <c r="D1338" s="262" t="s">
        <v>3572</v>
      </c>
      <c r="E1338" s="263">
        <v>8</v>
      </c>
      <c r="F1338" s="262" t="s">
        <v>2373</v>
      </c>
      <c r="G1338" s="262" t="s">
        <v>2392</v>
      </c>
      <c r="H1338" s="395"/>
    </row>
    <row r="1339" spans="1:8" ht="14.55" hidden="1" customHeight="1" x14ac:dyDescent="0.3">
      <c r="A1339" s="262" t="s">
        <v>3491</v>
      </c>
      <c r="B1339" s="262" t="s">
        <v>2380</v>
      </c>
      <c r="C1339" s="262" t="s">
        <v>3312</v>
      </c>
      <c r="D1339" s="262" t="s">
        <v>3573</v>
      </c>
      <c r="E1339" s="263">
        <v>10</v>
      </c>
      <c r="F1339" s="262" t="s">
        <v>2379</v>
      </c>
      <c r="G1339" s="262" t="s">
        <v>2463</v>
      </c>
      <c r="H1339" s="395"/>
    </row>
    <row r="1340" spans="1:8" ht="14.55" hidden="1" customHeight="1" x14ac:dyDescent="0.3">
      <c r="A1340" s="262" t="s">
        <v>3491</v>
      </c>
      <c r="B1340" s="262" t="s">
        <v>2370</v>
      </c>
      <c r="C1340" s="262" t="s">
        <v>3288</v>
      </c>
      <c r="D1340" s="262" t="s">
        <v>3574</v>
      </c>
      <c r="E1340" s="263">
        <v>4</v>
      </c>
      <c r="F1340" s="262" t="s">
        <v>2389</v>
      </c>
      <c r="G1340" s="262" t="s">
        <v>2631</v>
      </c>
      <c r="H1340" s="395"/>
    </row>
    <row r="1341" spans="1:8" ht="14.55" hidden="1" customHeight="1" x14ac:dyDescent="0.3">
      <c r="A1341" s="262" t="s">
        <v>3491</v>
      </c>
      <c r="B1341" s="262" t="s">
        <v>2380</v>
      </c>
      <c r="C1341" s="262" t="s">
        <v>3288</v>
      </c>
      <c r="D1341" s="262" t="s">
        <v>3575</v>
      </c>
      <c r="E1341" s="263">
        <v>8</v>
      </c>
      <c r="F1341" s="262" t="s">
        <v>2389</v>
      </c>
      <c r="G1341" s="262" t="s">
        <v>2428</v>
      </c>
      <c r="H1341" s="395"/>
    </row>
    <row r="1342" spans="1:8" ht="14.55" hidden="1" customHeight="1" x14ac:dyDescent="0.3">
      <c r="A1342" s="262" t="s">
        <v>3491</v>
      </c>
      <c r="B1342" s="262" t="s">
        <v>2380</v>
      </c>
      <c r="C1342" s="262" t="s">
        <v>3288</v>
      </c>
      <c r="D1342" s="262" t="s">
        <v>3576</v>
      </c>
      <c r="E1342" s="263">
        <v>6</v>
      </c>
      <c r="F1342" s="262" t="s">
        <v>2379</v>
      </c>
      <c r="G1342" s="262" t="s">
        <v>29</v>
      </c>
      <c r="H1342" s="395"/>
    </row>
    <row r="1343" spans="1:8" x14ac:dyDescent="0.3">
      <c r="A1343" s="264" t="s">
        <v>3491</v>
      </c>
      <c r="B1343" s="264" t="s">
        <v>2380</v>
      </c>
      <c r="C1343" s="264" t="s">
        <v>3312</v>
      </c>
      <c r="D1343" s="264" t="s">
        <v>3577</v>
      </c>
      <c r="E1343" s="265">
        <v>8</v>
      </c>
      <c r="F1343" s="264" t="s">
        <v>2379</v>
      </c>
      <c r="G1343" s="264" t="s">
        <v>2402</v>
      </c>
      <c r="H1343" s="396"/>
    </row>
    <row r="1344" spans="1:8" ht="14.55" hidden="1" customHeight="1" x14ac:dyDescent="0.3">
      <c r="A1344" s="262" t="s">
        <v>3491</v>
      </c>
      <c r="B1344" s="262" t="s">
        <v>2380</v>
      </c>
      <c r="C1344" s="262" t="s">
        <v>3312</v>
      </c>
      <c r="D1344" s="262" t="s">
        <v>3578</v>
      </c>
      <c r="E1344" s="263">
        <v>8</v>
      </c>
      <c r="F1344" s="262" t="s">
        <v>2389</v>
      </c>
      <c r="G1344" s="262" t="s">
        <v>2428</v>
      </c>
      <c r="H1344" s="395"/>
    </row>
    <row r="1345" spans="1:8" ht="14.55" hidden="1" customHeight="1" x14ac:dyDescent="0.3">
      <c r="A1345" s="262" t="s">
        <v>3491</v>
      </c>
      <c r="B1345" s="262" t="s">
        <v>2380</v>
      </c>
      <c r="C1345" s="262" t="s">
        <v>3312</v>
      </c>
      <c r="D1345" s="262" t="s">
        <v>3579</v>
      </c>
      <c r="E1345" s="263">
        <v>4</v>
      </c>
      <c r="F1345" s="262" t="s">
        <v>2389</v>
      </c>
      <c r="G1345" s="262" t="s">
        <v>2408</v>
      </c>
      <c r="H1345" s="395"/>
    </row>
    <row r="1346" spans="1:8" ht="14.55" hidden="1" customHeight="1" x14ac:dyDescent="0.3">
      <c r="A1346" s="262" t="s">
        <v>3491</v>
      </c>
      <c r="B1346" s="262" t="s">
        <v>2380</v>
      </c>
      <c r="C1346" s="262" t="s">
        <v>3312</v>
      </c>
      <c r="D1346" s="262" t="s">
        <v>3580</v>
      </c>
      <c r="E1346" s="263">
        <v>10</v>
      </c>
      <c r="F1346" s="262" t="s">
        <v>2379</v>
      </c>
      <c r="G1346" s="262" t="s">
        <v>2463</v>
      </c>
      <c r="H1346" s="395"/>
    </row>
    <row r="1347" spans="1:8" ht="14.55" hidden="1" customHeight="1" x14ac:dyDescent="0.3">
      <c r="A1347" s="262" t="s">
        <v>3491</v>
      </c>
      <c r="B1347" s="262" t="s">
        <v>2380</v>
      </c>
      <c r="C1347" s="262" t="s">
        <v>3288</v>
      </c>
      <c r="D1347" s="262" t="s">
        <v>3581</v>
      </c>
      <c r="E1347" s="263">
        <v>6</v>
      </c>
      <c r="F1347" s="262" t="s">
        <v>2379</v>
      </c>
      <c r="G1347" s="262" t="s">
        <v>2383</v>
      </c>
      <c r="H1347" s="395"/>
    </row>
    <row r="1348" spans="1:8" ht="14.55" hidden="1" customHeight="1" x14ac:dyDescent="0.3">
      <c r="A1348" s="262" t="s">
        <v>3491</v>
      </c>
      <c r="B1348" s="262" t="s">
        <v>2380</v>
      </c>
      <c r="C1348" s="262" t="s">
        <v>3312</v>
      </c>
      <c r="D1348" s="262" t="s">
        <v>3582</v>
      </c>
      <c r="E1348" s="263">
        <v>10</v>
      </c>
      <c r="F1348" s="262" t="s">
        <v>2379</v>
      </c>
      <c r="G1348" s="262" t="s">
        <v>2463</v>
      </c>
      <c r="H1348" s="395"/>
    </row>
    <row r="1349" spans="1:8" ht="14.55" hidden="1" customHeight="1" x14ac:dyDescent="0.3">
      <c r="A1349" s="262" t="s">
        <v>3491</v>
      </c>
      <c r="B1349" s="262" t="s">
        <v>2370</v>
      </c>
      <c r="C1349" s="262" t="s">
        <v>3312</v>
      </c>
      <c r="D1349" s="262" t="s">
        <v>2788</v>
      </c>
      <c r="E1349" s="263">
        <v>4</v>
      </c>
      <c r="F1349" s="262" t="s">
        <v>2373</v>
      </c>
      <c r="G1349" s="262" t="s">
        <v>2374</v>
      </c>
      <c r="H1349" s="395"/>
    </row>
    <row r="1350" spans="1:8" ht="14.55" hidden="1" customHeight="1" x14ac:dyDescent="0.3">
      <c r="A1350" s="262" t="s">
        <v>3491</v>
      </c>
      <c r="B1350" s="262" t="s">
        <v>2370</v>
      </c>
      <c r="C1350" s="262" t="s">
        <v>3312</v>
      </c>
      <c r="D1350" s="262" t="s">
        <v>3583</v>
      </c>
      <c r="E1350" s="263">
        <v>8</v>
      </c>
      <c r="F1350" s="262" t="s">
        <v>2373</v>
      </c>
      <c r="G1350" s="262" t="s">
        <v>2374</v>
      </c>
      <c r="H1350" s="395"/>
    </row>
    <row r="1351" spans="1:8" ht="14.55" hidden="1" customHeight="1" x14ac:dyDescent="0.3">
      <c r="A1351" s="262" t="s">
        <v>3491</v>
      </c>
      <c r="B1351" s="262" t="s">
        <v>2380</v>
      </c>
      <c r="C1351" s="262" t="s">
        <v>3312</v>
      </c>
      <c r="D1351" s="262" t="s">
        <v>3584</v>
      </c>
      <c r="E1351" s="263">
        <v>4</v>
      </c>
      <c r="F1351" s="262" t="s">
        <v>2389</v>
      </c>
      <c r="G1351" s="262" t="s">
        <v>2428</v>
      </c>
      <c r="H1351" s="395"/>
    </row>
    <row r="1352" spans="1:8" ht="14.55" hidden="1" customHeight="1" x14ac:dyDescent="0.3">
      <c r="A1352" s="262" t="s">
        <v>3491</v>
      </c>
      <c r="B1352" s="262" t="s">
        <v>2370</v>
      </c>
      <c r="C1352" s="262" t="s">
        <v>3288</v>
      </c>
      <c r="D1352" s="262" t="s">
        <v>3585</v>
      </c>
      <c r="E1352" s="263">
        <v>8</v>
      </c>
      <c r="F1352" s="262" t="s">
        <v>2373</v>
      </c>
      <c r="G1352" s="262" t="s">
        <v>3022</v>
      </c>
      <c r="H1352" s="395"/>
    </row>
    <row r="1353" spans="1:8" x14ac:dyDescent="0.3">
      <c r="A1353" s="264" t="s">
        <v>3491</v>
      </c>
      <c r="B1353" s="264" t="s">
        <v>2370</v>
      </c>
      <c r="C1353" s="264" t="s">
        <v>3288</v>
      </c>
      <c r="D1353" s="264" t="s">
        <v>3586</v>
      </c>
      <c r="E1353" s="265">
        <v>6</v>
      </c>
      <c r="F1353" s="264" t="s">
        <v>2379</v>
      </c>
      <c r="G1353" s="264" t="s">
        <v>2402</v>
      </c>
      <c r="H1353" s="396"/>
    </row>
    <row r="1354" spans="1:8" ht="14.55" hidden="1" customHeight="1" x14ac:dyDescent="0.3">
      <c r="A1354" s="262" t="s">
        <v>3491</v>
      </c>
      <c r="B1354" s="262" t="s">
        <v>2370</v>
      </c>
      <c r="C1354" s="262" t="s">
        <v>3288</v>
      </c>
      <c r="D1354" s="262" t="s">
        <v>3587</v>
      </c>
      <c r="E1354" s="263">
        <v>6</v>
      </c>
      <c r="F1354" s="262" t="s">
        <v>2376</v>
      </c>
      <c r="G1354" s="262" t="s">
        <v>2394</v>
      </c>
      <c r="H1354" s="395"/>
    </row>
    <row r="1355" spans="1:8" ht="14.55" hidden="1" customHeight="1" x14ac:dyDescent="0.3">
      <c r="A1355" s="262" t="s">
        <v>3491</v>
      </c>
      <c r="B1355" s="262" t="s">
        <v>2370</v>
      </c>
      <c r="C1355" s="262" t="s">
        <v>3288</v>
      </c>
      <c r="D1355" s="262" t="s">
        <v>3588</v>
      </c>
      <c r="E1355" s="263">
        <v>6</v>
      </c>
      <c r="F1355" s="262" t="s">
        <v>2379</v>
      </c>
      <c r="G1355" s="262" t="s">
        <v>2544</v>
      </c>
      <c r="H1355" s="395"/>
    </row>
    <row r="1356" spans="1:8" ht="14.55" hidden="1" customHeight="1" x14ac:dyDescent="0.3">
      <c r="A1356" s="262" t="s">
        <v>3491</v>
      </c>
      <c r="B1356" s="262" t="s">
        <v>2370</v>
      </c>
      <c r="C1356" s="262" t="s">
        <v>3288</v>
      </c>
      <c r="D1356" s="262" t="s">
        <v>3589</v>
      </c>
      <c r="E1356" s="263">
        <v>6</v>
      </c>
      <c r="F1356" s="262" t="s">
        <v>2389</v>
      </c>
      <c r="G1356" s="262" t="s">
        <v>3590</v>
      </c>
      <c r="H1356" s="395"/>
    </row>
    <row r="1357" spans="1:8" ht="14.55" hidden="1" customHeight="1" x14ac:dyDescent="0.3">
      <c r="A1357" s="262" t="s">
        <v>3491</v>
      </c>
      <c r="B1357" s="262" t="s">
        <v>2380</v>
      </c>
      <c r="C1357" s="262" t="s">
        <v>3288</v>
      </c>
      <c r="D1357" s="262" t="s">
        <v>3591</v>
      </c>
      <c r="E1357" s="263">
        <v>8</v>
      </c>
      <c r="F1357" s="262" t="s">
        <v>2419</v>
      </c>
      <c r="G1357" s="262" t="s">
        <v>2420</v>
      </c>
      <c r="H1357" s="395"/>
    </row>
    <row r="1358" spans="1:8" ht="14.55" hidden="1" customHeight="1" x14ac:dyDescent="0.3">
      <c r="A1358" s="262" t="s">
        <v>3491</v>
      </c>
      <c r="B1358" s="262" t="s">
        <v>2370</v>
      </c>
      <c r="C1358" s="262" t="s">
        <v>3288</v>
      </c>
      <c r="D1358" s="262" t="s">
        <v>3592</v>
      </c>
      <c r="E1358" s="263">
        <v>6</v>
      </c>
      <c r="F1358" s="262" t="s">
        <v>2419</v>
      </c>
      <c r="G1358" s="262" t="s">
        <v>2488</v>
      </c>
      <c r="H1358" s="395"/>
    </row>
    <row r="1359" spans="1:8" x14ac:dyDescent="0.3">
      <c r="A1359" s="264" t="s">
        <v>3593</v>
      </c>
      <c r="B1359" s="264" t="s">
        <v>2380</v>
      </c>
      <c r="C1359" s="264" t="s">
        <v>3312</v>
      </c>
      <c r="D1359" s="264" t="s">
        <v>3594</v>
      </c>
      <c r="E1359" s="265">
        <v>6</v>
      </c>
      <c r="F1359" s="264" t="s">
        <v>2379</v>
      </c>
      <c r="G1359" s="264" t="s">
        <v>2402</v>
      </c>
      <c r="H1359" s="396"/>
    </row>
    <row r="1360" spans="1:8" ht="14.55" hidden="1" customHeight="1" x14ac:dyDescent="0.3">
      <c r="A1360" s="262" t="s">
        <v>3593</v>
      </c>
      <c r="B1360" s="262" t="s">
        <v>2370</v>
      </c>
      <c r="C1360" s="262" t="s">
        <v>3288</v>
      </c>
      <c r="D1360" s="262" t="s">
        <v>3595</v>
      </c>
      <c r="E1360" s="263">
        <v>8</v>
      </c>
      <c r="F1360" s="262" t="s">
        <v>2376</v>
      </c>
      <c r="G1360" s="262" t="s">
        <v>2406</v>
      </c>
      <c r="H1360" s="395"/>
    </row>
    <row r="1361" spans="1:8" ht="14.55" hidden="1" customHeight="1" x14ac:dyDescent="0.3">
      <c r="A1361" s="262" t="s">
        <v>3593</v>
      </c>
      <c r="B1361" s="262" t="s">
        <v>2370</v>
      </c>
      <c r="C1361" s="262" t="s">
        <v>3288</v>
      </c>
      <c r="D1361" s="262" t="s">
        <v>3596</v>
      </c>
      <c r="E1361" s="263">
        <v>4</v>
      </c>
      <c r="F1361" s="262" t="s">
        <v>2419</v>
      </c>
      <c r="G1361" s="262" t="s">
        <v>2480</v>
      </c>
      <c r="H1361" s="395"/>
    </row>
    <row r="1362" spans="1:8" ht="14.55" hidden="1" customHeight="1" x14ac:dyDescent="0.3">
      <c r="A1362" s="262" t="s">
        <v>3593</v>
      </c>
      <c r="B1362" s="262" t="s">
        <v>2380</v>
      </c>
      <c r="C1362" s="262" t="s">
        <v>3288</v>
      </c>
      <c r="D1362" s="262" t="s">
        <v>3597</v>
      </c>
      <c r="E1362" s="263">
        <v>6</v>
      </c>
      <c r="F1362" s="262" t="s">
        <v>2376</v>
      </c>
      <c r="G1362" s="262" t="s">
        <v>2394</v>
      </c>
      <c r="H1362" s="395"/>
    </row>
    <row r="1363" spans="1:8" ht="14.55" hidden="1" customHeight="1" x14ac:dyDescent="0.3">
      <c r="A1363" s="262" t="s">
        <v>3593</v>
      </c>
      <c r="B1363" s="262" t="s">
        <v>2370</v>
      </c>
      <c r="C1363" s="262" t="s">
        <v>3288</v>
      </c>
      <c r="D1363" s="262" t="s">
        <v>2558</v>
      </c>
      <c r="E1363" s="263">
        <v>4</v>
      </c>
      <c r="F1363" s="262" t="s">
        <v>2373</v>
      </c>
      <c r="G1363" s="262" t="s">
        <v>2374</v>
      </c>
      <c r="H1363" s="395"/>
    </row>
    <row r="1364" spans="1:8" ht="14.55" hidden="1" customHeight="1" x14ac:dyDescent="0.3">
      <c r="A1364" s="262" t="s">
        <v>3593</v>
      </c>
      <c r="B1364" s="262" t="s">
        <v>2370</v>
      </c>
      <c r="C1364" s="262" t="s">
        <v>3288</v>
      </c>
      <c r="D1364" s="262" t="s">
        <v>3598</v>
      </c>
      <c r="E1364" s="263">
        <v>6</v>
      </c>
      <c r="F1364" s="262" t="s">
        <v>2373</v>
      </c>
      <c r="G1364" s="262" t="s">
        <v>2453</v>
      </c>
      <c r="H1364" s="395"/>
    </row>
    <row r="1365" spans="1:8" ht="14.55" hidden="1" customHeight="1" x14ac:dyDescent="0.3">
      <c r="A1365" s="262" t="s">
        <v>3593</v>
      </c>
      <c r="B1365" s="262" t="s">
        <v>2370</v>
      </c>
      <c r="C1365" s="262" t="s">
        <v>3288</v>
      </c>
      <c r="D1365" s="262" t="s">
        <v>3599</v>
      </c>
      <c r="E1365" s="263">
        <v>6</v>
      </c>
      <c r="F1365" s="262" t="s">
        <v>2373</v>
      </c>
      <c r="G1365" s="262" t="s">
        <v>3600</v>
      </c>
      <c r="H1365" s="395"/>
    </row>
    <row r="1366" spans="1:8" ht="14.55" hidden="1" customHeight="1" x14ac:dyDescent="0.3">
      <c r="A1366" s="262" t="s">
        <v>3593</v>
      </c>
      <c r="B1366" s="262" t="s">
        <v>2370</v>
      </c>
      <c r="C1366" s="262" t="s">
        <v>3288</v>
      </c>
      <c r="D1366" s="262" t="s">
        <v>2635</v>
      </c>
      <c r="E1366" s="263">
        <v>4</v>
      </c>
      <c r="F1366" s="262" t="s">
        <v>2373</v>
      </c>
      <c r="G1366" s="262" t="s">
        <v>2374</v>
      </c>
      <c r="H1366" s="395"/>
    </row>
    <row r="1367" spans="1:8" x14ac:dyDescent="0.3">
      <c r="A1367" s="264" t="s">
        <v>3593</v>
      </c>
      <c r="B1367" s="264" t="s">
        <v>2380</v>
      </c>
      <c r="C1367" s="264" t="s">
        <v>3312</v>
      </c>
      <c r="D1367" s="264" t="s">
        <v>3601</v>
      </c>
      <c r="E1367" s="265">
        <v>6</v>
      </c>
      <c r="F1367" s="264" t="s">
        <v>2379</v>
      </c>
      <c r="G1367" s="264" t="s">
        <v>2402</v>
      </c>
      <c r="H1367" s="396"/>
    </row>
    <row r="1368" spans="1:8" ht="14.55" hidden="1" customHeight="1" x14ac:dyDescent="0.3">
      <c r="A1368" s="262" t="s">
        <v>3593</v>
      </c>
      <c r="B1368" s="262" t="s">
        <v>2370</v>
      </c>
      <c r="C1368" s="262" t="s">
        <v>3288</v>
      </c>
      <c r="D1368" s="262" t="s">
        <v>3602</v>
      </c>
      <c r="E1368" s="263">
        <v>4</v>
      </c>
      <c r="F1368" s="262" t="s">
        <v>2419</v>
      </c>
      <c r="G1368" s="262" t="s">
        <v>2480</v>
      </c>
      <c r="H1368" s="395"/>
    </row>
    <row r="1369" spans="1:8" x14ac:dyDescent="0.3">
      <c r="A1369" s="264" t="s">
        <v>3593</v>
      </c>
      <c r="B1369" s="264" t="s">
        <v>2380</v>
      </c>
      <c r="C1369" s="264" t="s">
        <v>3312</v>
      </c>
      <c r="D1369" s="264" t="s">
        <v>3603</v>
      </c>
      <c r="E1369" s="265">
        <v>8</v>
      </c>
      <c r="F1369" s="264" t="s">
        <v>2379</v>
      </c>
      <c r="G1369" s="264" t="s">
        <v>2402</v>
      </c>
      <c r="H1369" s="396"/>
    </row>
    <row r="1370" spans="1:8" ht="14.55" hidden="1" customHeight="1" x14ac:dyDescent="0.3">
      <c r="A1370" s="262" t="s">
        <v>3593</v>
      </c>
      <c r="B1370" s="262" t="s">
        <v>2370</v>
      </c>
      <c r="C1370" s="262" t="s">
        <v>3288</v>
      </c>
      <c r="D1370" s="262" t="s">
        <v>2884</v>
      </c>
      <c r="E1370" s="263">
        <v>4</v>
      </c>
      <c r="F1370" s="262" t="s">
        <v>2419</v>
      </c>
      <c r="G1370" s="262" t="s">
        <v>2420</v>
      </c>
      <c r="H1370" s="395"/>
    </row>
    <row r="1371" spans="1:8" x14ac:dyDescent="0.3">
      <c r="A1371" s="264" t="s">
        <v>3593</v>
      </c>
      <c r="B1371" s="264" t="s">
        <v>2380</v>
      </c>
      <c r="C1371" s="264" t="s">
        <v>3288</v>
      </c>
      <c r="D1371" s="264" t="s">
        <v>3604</v>
      </c>
      <c r="E1371" s="265">
        <v>6</v>
      </c>
      <c r="F1371" s="264" t="s">
        <v>2379</v>
      </c>
      <c r="G1371" s="264" t="s">
        <v>2402</v>
      </c>
      <c r="H1371" s="396"/>
    </row>
    <row r="1372" spans="1:8" ht="14.55" hidden="1" customHeight="1" x14ac:dyDescent="0.3">
      <c r="A1372" s="262" t="s">
        <v>3593</v>
      </c>
      <c r="B1372" s="262" t="s">
        <v>2380</v>
      </c>
      <c r="C1372" s="262" t="s">
        <v>3312</v>
      </c>
      <c r="D1372" s="262" t="s">
        <v>3605</v>
      </c>
      <c r="E1372" s="263">
        <v>8</v>
      </c>
      <c r="F1372" s="262" t="s">
        <v>2376</v>
      </c>
      <c r="G1372" s="262" t="s">
        <v>2406</v>
      </c>
      <c r="H1372" s="395"/>
    </row>
    <row r="1373" spans="1:8" ht="14.55" hidden="1" customHeight="1" x14ac:dyDescent="0.3">
      <c r="A1373" s="262" t="s">
        <v>3593</v>
      </c>
      <c r="B1373" s="262" t="s">
        <v>2380</v>
      </c>
      <c r="C1373" s="262" t="s">
        <v>3288</v>
      </c>
      <c r="D1373" s="262" t="s">
        <v>3606</v>
      </c>
      <c r="E1373" s="263">
        <v>8</v>
      </c>
      <c r="F1373" s="262" t="s">
        <v>2373</v>
      </c>
      <c r="G1373" s="262" t="s">
        <v>2600</v>
      </c>
      <c r="H1373" s="395"/>
    </row>
    <row r="1374" spans="1:8" x14ac:dyDescent="0.3">
      <c r="A1374" s="264" t="s">
        <v>3593</v>
      </c>
      <c r="B1374" s="264" t="s">
        <v>2380</v>
      </c>
      <c r="C1374" s="264" t="s">
        <v>3288</v>
      </c>
      <c r="D1374" s="264" t="s">
        <v>2542</v>
      </c>
      <c r="E1374" s="265">
        <v>4</v>
      </c>
      <c r="F1374" s="264" t="s">
        <v>2379</v>
      </c>
      <c r="G1374" s="264" t="s">
        <v>2402</v>
      </c>
      <c r="H1374" s="396"/>
    </row>
    <row r="1375" spans="1:8" ht="14.55" hidden="1" customHeight="1" x14ac:dyDescent="0.3">
      <c r="A1375" s="262" t="s">
        <v>3593</v>
      </c>
      <c r="B1375" s="262" t="s">
        <v>2380</v>
      </c>
      <c r="C1375" s="262" t="s">
        <v>3312</v>
      </c>
      <c r="D1375" s="262" t="s">
        <v>3607</v>
      </c>
      <c r="E1375" s="263">
        <v>9</v>
      </c>
      <c r="F1375" s="262" t="s">
        <v>2376</v>
      </c>
      <c r="G1375" s="262" t="s">
        <v>2406</v>
      </c>
      <c r="H1375" s="395"/>
    </row>
    <row r="1376" spans="1:8" x14ac:dyDescent="0.3">
      <c r="A1376" s="264" t="s">
        <v>3593</v>
      </c>
      <c r="B1376" s="264" t="s">
        <v>2380</v>
      </c>
      <c r="C1376" s="264" t="s">
        <v>3312</v>
      </c>
      <c r="D1376" s="264" t="s">
        <v>3608</v>
      </c>
      <c r="E1376" s="265">
        <v>4</v>
      </c>
      <c r="F1376" s="264" t="s">
        <v>2379</v>
      </c>
      <c r="G1376" s="264" t="s">
        <v>2402</v>
      </c>
      <c r="H1376" s="396"/>
    </row>
    <row r="1377" spans="1:8" ht="14.55" hidden="1" customHeight="1" x14ac:dyDescent="0.3">
      <c r="A1377" s="262" t="s">
        <v>3593</v>
      </c>
      <c r="B1377" s="262" t="s">
        <v>2370</v>
      </c>
      <c r="C1377" s="262" t="s">
        <v>3288</v>
      </c>
      <c r="D1377" s="262" t="s">
        <v>3609</v>
      </c>
      <c r="E1377" s="263">
        <v>4</v>
      </c>
      <c r="F1377" s="262" t="s">
        <v>2389</v>
      </c>
      <c r="G1377" s="262" t="s">
        <v>2631</v>
      </c>
      <c r="H1377" s="395"/>
    </row>
    <row r="1378" spans="1:8" ht="14.55" hidden="1" customHeight="1" x14ac:dyDescent="0.3">
      <c r="A1378" s="262" t="s">
        <v>3593</v>
      </c>
      <c r="B1378" s="262" t="s">
        <v>2380</v>
      </c>
      <c r="C1378" s="262" t="s">
        <v>3312</v>
      </c>
      <c r="D1378" s="262" t="s">
        <v>2586</v>
      </c>
      <c r="E1378" s="263">
        <v>4</v>
      </c>
      <c r="F1378" s="262" t="s">
        <v>2379</v>
      </c>
      <c r="G1378" s="262" t="s">
        <v>2463</v>
      </c>
      <c r="H1378" s="395"/>
    </row>
    <row r="1379" spans="1:8" ht="14.55" hidden="1" customHeight="1" x14ac:dyDescent="0.3">
      <c r="A1379" s="262" t="s">
        <v>3593</v>
      </c>
      <c r="B1379" s="262" t="s">
        <v>2370</v>
      </c>
      <c r="C1379" s="262" t="s">
        <v>3288</v>
      </c>
      <c r="D1379" s="262" t="s">
        <v>3610</v>
      </c>
      <c r="E1379" s="263">
        <v>6</v>
      </c>
      <c r="F1379" s="262" t="s">
        <v>2389</v>
      </c>
      <c r="G1379" s="262" t="s">
        <v>2408</v>
      </c>
      <c r="H1379" s="395"/>
    </row>
    <row r="1380" spans="1:8" ht="14.55" hidden="1" customHeight="1" x14ac:dyDescent="0.3">
      <c r="A1380" s="262" t="s">
        <v>3593</v>
      </c>
      <c r="B1380" s="262" t="s">
        <v>2380</v>
      </c>
      <c r="C1380" s="262" t="s">
        <v>3288</v>
      </c>
      <c r="D1380" s="262" t="s">
        <v>3611</v>
      </c>
      <c r="E1380" s="263">
        <v>8</v>
      </c>
      <c r="F1380" s="262" t="s">
        <v>2419</v>
      </c>
      <c r="G1380" s="262" t="s">
        <v>2605</v>
      </c>
      <c r="H1380" s="395"/>
    </row>
    <row r="1381" spans="1:8" ht="14.55" hidden="1" customHeight="1" x14ac:dyDescent="0.3">
      <c r="A1381" s="262" t="s">
        <v>3593</v>
      </c>
      <c r="B1381" s="262" t="s">
        <v>2380</v>
      </c>
      <c r="C1381" s="262" t="s">
        <v>3288</v>
      </c>
      <c r="D1381" s="262" t="s">
        <v>3612</v>
      </c>
      <c r="E1381" s="263">
        <v>8</v>
      </c>
      <c r="F1381" s="262" t="s">
        <v>2389</v>
      </c>
      <c r="G1381" s="262" t="s">
        <v>2408</v>
      </c>
      <c r="H1381" s="395"/>
    </row>
    <row r="1382" spans="1:8" ht="14.55" hidden="1" customHeight="1" x14ac:dyDescent="0.3">
      <c r="A1382" s="262" t="s">
        <v>3593</v>
      </c>
      <c r="B1382" s="262" t="s">
        <v>2370</v>
      </c>
      <c r="C1382" s="262" t="s">
        <v>3288</v>
      </c>
      <c r="D1382" s="262" t="s">
        <v>3613</v>
      </c>
      <c r="E1382" s="263">
        <v>6</v>
      </c>
      <c r="F1382" s="262" t="s">
        <v>2419</v>
      </c>
      <c r="G1382" s="262" t="s">
        <v>2420</v>
      </c>
      <c r="H1382" s="395"/>
    </row>
    <row r="1383" spans="1:8" ht="14.55" hidden="1" customHeight="1" x14ac:dyDescent="0.3">
      <c r="A1383" s="262" t="s">
        <v>3593</v>
      </c>
      <c r="B1383" s="262" t="s">
        <v>2370</v>
      </c>
      <c r="C1383" s="262" t="s">
        <v>3288</v>
      </c>
      <c r="D1383" s="262" t="s">
        <v>3614</v>
      </c>
      <c r="E1383" s="263">
        <v>6</v>
      </c>
      <c r="F1383" s="262" t="s">
        <v>2419</v>
      </c>
      <c r="G1383" s="262" t="s">
        <v>2488</v>
      </c>
      <c r="H1383" s="395"/>
    </row>
    <row r="1384" spans="1:8" ht="14.55" hidden="1" customHeight="1" x14ac:dyDescent="0.3">
      <c r="A1384" s="262" t="s">
        <v>3593</v>
      </c>
      <c r="B1384" s="262" t="s">
        <v>2370</v>
      </c>
      <c r="C1384" s="262" t="s">
        <v>3288</v>
      </c>
      <c r="D1384" s="262" t="s">
        <v>3615</v>
      </c>
      <c r="E1384" s="263">
        <v>6</v>
      </c>
      <c r="F1384" s="262" t="s">
        <v>2376</v>
      </c>
      <c r="G1384" s="262" t="s">
        <v>2406</v>
      </c>
      <c r="H1384" s="395"/>
    </row>
    <row r="1385" spans="1:8" ht="14.55" hidden="1" customHeight="1" x14ac:dyDescent="0.3">
      <c r="A1385" s="262" t="s">
        <v>3593</v>
      </c>
      <c r="B1385" s="262" t="s">
        <v>2370</v>
      </c>
      <c r="C1385" s="262" t="s">
        <v>3288</v>
      </c>
      <c r="D1385" s="262" t="s">
        <v>3616</v>
      </c>
      <c r="E1385" s="263">
        <v>6</v>
      </c>
      <c r="F1385" s="262" t="s">
        <v>2419</v>
      </c>
      <c r="G1385" s="262" t="s">
        <v>2488</v>
      </c>
      <c r="H1385" s="395"/>
    </row>
    <row r="1386" spans="1:8" ht="14.55" hidden="1" customHeight="1" x14ac:dyDescent="0.3">
      <c r="A1386" s="262" t="s">
        <v>3593</v>
      </c>
      <c r="B1386" s="262" t="s">
        <v>2380</v>
      </c>
      <c r="C1386" s="262" t="s">
        <v>3312</v>
      </c>
      <c r="D1386" s="262" t="s">
        <v>3617</v>
      </c>
      <c r="E1386" s="263">
        <v>10</v>
      </c>
      <c r="F1386" s="262" t="s">
        <v>2379</v>
      </c>
      <c r="G1386" s="262" t="s">
        <v>2463</v>
      </c>
      <c r="H1386" s="395"/>
    </row>
    <row r="1387" spans="1:8" ht="14.55" hidden="1" customHeight="1" x14ac:dyDescent="0.3">
      <c r="A1387" s="262" t="s">
        <v>3593</v>
      </c>
      <c r="B1387" s="262" t="s">
        <v>2380</v>
      </c>
      <c r="C1387" s="262" t="s">
        <v>3312</v>
      </c>
      <c r="D1387" s="262" t="s">
        <v>3618</v>
      </c>
      <c r="E1387" s="263">
        <v>6</v>
      </c>
      <c r="F1387" s="262" t="s">
        <v>2379</v>
      </c>
      <c r="G1387" s="262" t="s">
        <v>2470</v>
      </c>
      <c r="H1387" s="395"/>
    </row>
    <row r="1388" spans="1:8" ht="14.55" hidden="1" customHeight="1" x14ac:dyDescent="0.3">
      <c r="A1388" s="262" t="s">
        <v>3593</v>
      </c>
      <c r="B1388" s="262" t="s">
        <v>2380</v>
      </c>
      <c r="C1388" s="262" t="s">
        <v>3312</v>
      </c>
      <c r="D1388" s="262" t="s">
        <v>3619</v>
      </c>
      <c r="E1388" s="263">
        <v>6</v>
      </c>
      <c r="F1388" s="262" t="s">
        <v>2373</v>
      </c>
      <c r="G1388" s="262" t="s">
        <v>2392</v>
      </c>
      <c r="H1388" s="395"/>
    </row>
    <row r="1389" spans="1:8" ht="14.55" hidden="1" customHeight="1" x14ac:dyDescent="0.3">
      <c r="A1389" s="262" t="s">
        <v>3593</v>
      </c>
      <c r="B1389" s="262" t="s">
        <v>2370</v>
      </c>
      <c r="C1389" s="262" t="s">
        <v>3288</v>
      </c>
      <c r="D1389" s="262" t="s">
        <v>3620</v>
      </c>
      <c r="E1389" s="263">
        <v>8</v>
      </c>
      <c r="F1389" s="262" t="s">
        <v>2376</v>
      </c>
      <c r="G1389" s="262" t="s">
        <v>2377</v>
      </c>
      <c r="H1389" s="395"/>
    </row>
    <row r="1390" spans="1:8" ht="14.55" hidden="1" customHeight="1" x14ac:dyDescent="0.3">
      <c r="A1390" s="262" t="s">
        <v>3593</v>
      </c>
      <c r="B1390" s="262" t="s">
        <v>2380</v>
      </c>
      <c r="C1390" s="262" t="s">
        <v>3312</v>
      </c>
      <c r="D1390" s="262" t="s">
        <v>3621</v>
      </c>
      <c r="E1390" s="263">
        <v>6</v>
      </c>
      <c r="F1390" s="262" t="s">
        <v>2389</v>
      </c>
      <c r="G1390" s="262" t="s">
        <v>2408</v>
      </c>
      <c r="H1390" s="395"/>
    </row>
    <row r="1391" spans="1:8" ht="14.55" hidden="1" customHeight="1" x14ac:dyDescent="0.3">
      <c r="A1391" s="262" t="s">
        <v>3593</v>
      </c>
      <c r="B1391" s="262" t="s">
        <v>2370</v>
      </c>
      <c r="C1391" s="262" t="s">
        <v>3312</v>
      </c>
      <c r="D1391" s="262" t="s">
        <v>3622</v>
      </c>
      <c r="E1391" s="263">
        <v>4</v>
      </c>
      <c r="F1391" s="262" t="s">
        <v>2419</v>
      </c>
      <c r="G1391" s="262" t="s">
        <v>3571</v>
      </c>
      <c r="H1391" s="395"/>
    </row>
    <row r="1392" spans="1:8" ht="14.55" hidden="1" customHeight="1" x14ac:dyDescent="0.3">
      <c r="A1392" s="262" t="s">
        <v>3593</v>
      </c>
      <c r="B1392" s="262" t="s">
        <v>2370</v>
      </c>
      <c r="C1392" s="262" t="s">
        <v>3288</v>
      </c>
      <c r="D1392" s="262" t="s">
        <v>3249</v>
      </c>
      <c r="E1392" s="263">
        <v>4</v>
      </c>
      <c r="F1392" s="262" t="s">
        <v>2373</v>
      </c>
      <c r="G1392" s="262" t="s">
        <v>2453</v>
      </c>
      <c r="H1392" s="395"/>
    </row>
    <row r="1393" spans="1:8" ht="14.55" hidden="1" customHeight="1" x14ac:dyDescent="0.3">
      <c r="A1393" s="262" t="s">
        <v>3593</v>
      </c>
      <c r="B1393" s="262" t="s">
        <v>2370</v>
      </c>
      <c r="C1393" s="262" t="s">
        <v>3288</v>
      </c>
      <c r="D1393" s="262" t="s">
        <v>3623</v>
      </c>
      <c r="E1393" s="263">
        <v>8</v>
      </c>
      <c r="F1393" s="262" t="s">
        <v>2389</v>
      </c>
      <c r="G1393" s="262" t="s">
        <v>2631</v>
      </c>
      <c r="H1393" s="395"/>
    </row>
    <row r="1394" spans="1:8" ht="14.55" hidden="1" customHeight="1" x14ac:dyDescent="0.3">
      <c r="A1394" s="262" t="s">
        <v>3593</v>
      </c>
      <c r="B1394" s="262" t="s">
        <v>2380</v>
      </c>
      <c r="C1394" s="262" t="s">
        <v>3312</v>
      </c>
      <c r="D1394" s="262" t="s">
        <v>3624</v>
      </c>
      <c r="E1394" s="263">
        <v>8</v>
      </c>
      <c r="F1394" s="262" t="s">
        <v>2379</v>
      </c>
      <c r="G1394" s="262" t="s">
        <v>2396</v>
      </c>
      <c r="H1394" s="395"/>
    </row>
    <row r="1395" spans="1:8" ht="14.55" hidden="1" customHeight="1" x14ac:dyDescent="0.3">
      <c r="A1395" s="262" t="s">
        <v>3593</v>
      </c>
      <c r="B1395" s="262" t="s">
        <v>2370</v>
      </c>
      <c r="C1395" s="262" t="s">
        <v>3288</v>
      </c>
      <c r="D1395" s="262" t="s">
        <v>3625</v>
      </c>
      <c r="E1395" s="263">
        <v>8</v>
      </c>
      <c r="F1395" s="262" t="s">
        <v>2373</v>
      </c>
      <c r="G1395" s="262" t="s">
        <v>2392</v>
      </c>
      <c r="H1395" s="395"/>
    </row>
    <row r="1396" spans="1:8" ht="14.55" hidden="1" customHeight="1" x14ac:dyDescent="0.3">
      <c r="A1396" s="262" t="s">
        <v>3593</v>
      </c>
      <c r="B1396" s="262" t="s">
        <v>2380</v>
      </c>
      <c r="C1396" s="262" t="s">
        <v>3312</v>
      </c>
      <c r="D1396" s="262" t="s">
        <v>2914</v>
      </c>
      <c r="E1396" s="263">
        <v>4</v>
      </c>
      <c r="F1396" s="262" t="s">
        <v>2419</v>
      </c>
      <c r="G1396" s="262" t="s">
        <v>2432</v>
      </c>
      <c r="H1396" s="395"/>
    </row>
    <row r="1397" spans="1:8" x14ac:dyDescent="0.3">
      <c r="A1397" s="264" t="s">
        <v>3593</v>
      </c>
      <c r="B1397" s="264" t="s">
        <v>2380</v>
      </c>
      <c r="C1397" s="264" t="s">
        <v>3312</v>
      </c>
      <c r="D1397" s="264" t="s">
        <v>3626</v>
      </c>
      <c r="E1397" s="265">
        <v>6</v>
      </c>
      <c r="F1397" s="264" t="s">
        <v>2379</v>
      </c>
      <c r="G1397" s="264" t="s">
        <v>2402</v>
      </c>
      <c r="H1397" s="396"/>
    </row>
    <row r="1398" spans="1:8" ht="14.55" hidden="1" customHeight="1" x14ac:dyDescent="0.3">
      <c r="A1398" s="262" t="s">
        <v>3593</v>
      </c>
      <c r="B1398" s="262" t="s">
        <v>2380</v>
      </c>
      <c r="C1398" s="262" t="s">
        <v>3288</v>
      </c>
      <c r="D1398" s="262" t="s">
        <v>3627</v>
      </c>
      <c r="E1398" s="263">
        <v>6</v>
      </c>
      <c r="F1398" s="262" t="s">
        <v>2389</v>
      </c>
      <c r="G1398" s="262" t="s">
        <v>2428</v>
      </c>
      <c r="H1398" s="395"/>
    </row>
    <row r="1399" spans="1:8" ht="14.55" hidden="1" customHeight="1" x14ac:dyDescent="0.3">
      <c r="A1399" s="262" t="s">
        <v>3593</v>
      </c>
      <c r="B1399" s="262" t="s">
        <v>2380</v>
      </c>
      <c r="C1399" s="262" t="s">
        <v>3312</v>
      </c>
      <c r="D1399" s="262" t="s">
        <v>2572</v>
      </c>
      <c r="E1399" s="263">
        <v>4</v>
      </c>
      <c r="F1399" s="262" t="s">
        <v>2379</v>
      </c>
      <c r="G1399" s="262" t="s">
        <v>2470</v>
      </c>
      <c r="H1399" s="395"/>
    </row>
    <row r="1400" spans="1:8" ht="14.55" hidden="1" customHeight="1" x14ac:dyDescent="0.3">
      <c r="A1400" s="262" t="s">
        <v>3593</v>
      </c>
      <c r="B1400" s="262" t="s">
        <v>2370</v>
      </c>
      <c r="C1400" s="262" t="s">
        <v>3288</v>
      </c>
      <c r="D1400" s="262" t="s">
        <v>3628</v>
      </c>
      <c r="E1400" s="263">
        <v>4</v>
      </c>
      <c r="F1400" s="262" t="s">
        <v>2419</v>
      </c>
      <c r="G1400" s="262" t="s">
        <v>2432</v>
      </c>
      <c r="H1400" s="395"/>
    </row>
    <row r="1401" spans="1:8" ht="14.55" hidden="1" customHeight="1" x14ac:dyDescent="0.3">
      <c r="A1401" s="262" t="s">
        <v>3593</v>
      </c>
      <c r="B1401" s="262" t="s">
        <v>2380</v>
      </c>
      <c r="C1401" s="262" t="s">
        <v>3312</v>
      </c>
      <c r="D1401" s="262" t="s">
        <v>3629</v>
      </c>
      <c r="E1401" s="263">
        <v>6</v>
      </c>
      <c r="F1401" s="262" t="s">
        <v>2379</v>
      </c>
      <c r="G1401" s="262" t="s">
        <v>2544</v>
      </c>
      <c r="H1401" s="395"/>
    </row>
    <row r="1402" spans="1:8" ht="14.55" hidden="1" customHeight="1" x14ac:dyDescent="0.3">
      <c r="A1402" s="262" t="s">
        <v>3593</v>
      </c>
      <c r="B1402" s="262" t="s">
        <v>2370</v>
      </c>
      <c r="C1402" s="262" t="s">
        <v>3288</v>
      </c>
      <c r="D1402" s="262" t="s">
        <v>3630</v>
      </c>
      <c r="E1402" s="263">
        <v>8</v>
      </c>
      <c r="F1402" s="262" t="s">
        <v>2419</v>
      </c>
      <c r="G1402" s="262" t="s">
        <v>3571</v>
      </c>
      <c r="H1402" s="395"/>
    </row>
    <row r="1403" spans="1:8" ht="14.55" hidden="1" customHeight="1" x14ac:dyDescent="0.3">
      <c r="A1403" s="262" t="s">
        <v>3593</v>
      </c>
      <c r="B1403" s="262" t="s">
        <v>2370</v>
      </c>
      <c r="C1403" s="262" t="s">
        <v>3288</v>
      </c>
      <c r="D1403" s="262" t="s">
        <v>3631</v>
      </c>
      <c r="E1403" s="263">
        <v>4</v>
      </c>
      <c r="F1403" s="262" t="s">
        <v>2389</v>
      </c>
      <c r="G1403" s="262" t="s">
        <v>2408</v>
      </c>
      <c r="H1403" s="395"/>
    </row>
    <row r="1404" spans="1:8" ht="14.55" hidden="1" customHeight="1" x14ac:dyDescent="0.3">
      <c r="A1404" s="262" t="s">
        <v>3593</v>
      </c>
      <c r="B1404" s="262" t="s">
        <v>2380</v>
      </c>
      <c r="C1404" s="262" t="s">
        <v>3288</v>
      </c>
      <c r="D1404" s="262" t="s">
        <v>3632</v>
      </c>
      <c r="E1404" s="263">
        <v>6</v>
      </c>
      <c r="F1404" s="262" t="s">
        <v>2379</v>
      </c>
      <c r="G1404" s="262" t="s">
        <v>2470</v>
      </c>
      <c r="H1404" s="395"/>
    </row>
    <row r="1405" spans="1:8" ht="14.55" hidden="1" customHeight="1" x14ac:dyDescent="0.3">
      <c r="A1405" s="262" t="s">
        <v>3593</v>
      </c>
      <c r="B1405" s="262" t="s">
        <v>2370</v>
      </c>
      <c r="C1405" s="262" t="s">
        <v>3288</v>
      </c>
      <c r="D1405" s="262" t="s">
        <v>3633</v>
      </c>
      <c r="E1405" s="263">
        <v>6</v>
      </c>
      <c r="F1405" s="262" t="s">
        <v>2419</v>
      </c>
      <c r="G1405" s="262" t="s">
        <v>2488</v>
      </c>
      <c r="H1405" s="395"/>
    </row>
    <row r="1406" spans="1:8" ht="14.55" hidden="1" customHeight="1" x14ac:dyDescent="0.3">
      <c r="A1406" s="262" t="s">
        <v>3593</v>
      </c>
      <c r="B1406" s="262" t="s">
        <v>2380</v>
      </c>
      <c r="C1406" s="262" t="s">
        <v>3312</v>
      </c>
      <c r="D1406" s="262" t="s">
        <v>3634</v>
      </c>
      <c r="E1406" s="263">
        <v>4</v>
      </c>
      <c r="F1406" s="262" t="s">
        <v>2419</v>
      </c>
      <c r="G1406" s="262" t="s">
        <v>2420</v>
      </c>
      <c r="H1406" s="395"/>
    </row>
    <row r="1407" spans="1:8" ht="14.55" hidden="1" customHeight="1" x14ac:dyDescent="0.3">
      <c r="A1407" s="262" t="s">
        <v>3593</v>
      </c>
      <c r="B1407" s="262" t="s">
        <v>2380</v>
      </c>
      <c r="C1407" s="262" t="s">
        <v>3288</v>
      </c>
      <c r="D1407" s="262" t="s">
        <v>3635</v>
      </c>
      <c r="E1407" s="263">
        <v>8</v>
      </c>
      <c r="F1407" s="262" t="s">
        <v>2379</v>
      </c>
      <c r="G1407" s="262" t="s">
        <v>2463</v>
      </c>
      <c r="H1407" s="395"/>
    </row>
    <row r="1408" spans="1:8" ht="14.55" hidden="1" customHeight="1" x14ac:dyDescent="0.3">
      <c r="A1408" s="262" t="s">
        <v>3593</v>
      </c>
      <c r="B1408" s="262" t="s">
        <v>2370</v>
      </c>
      <c r="C1408" s="262" t="s">
        <v>3288</v>
      </c>
      <c r="D1408" s="262" t="s">
        <v>3080</v>
      </c>
      <c r="E1408" s="263">
        <v>6</v>
      </c>
      <c r="F1408" s="262" t="s">
        <v>2379</v>
      </c>
      <c r="G1408" s="262" t="s">
        <v>2463</v>
      </c>
      <c r="H1408" s="395"/>
    </row>
    <row r="1409" spans="1:8" ht="14.55" hidden="1" customHeight="1" x14ac:dyDescent="0.3">
      <c r="A1409" s="262" t="s">
        <v>3593</v>
      </c>
      <c r="B1409" s="262" t="s">
        <v>2370</v>
      </c>
      <c r="C1409" s="262" t="s">
        <v>3288</v>
      </c>
      <c r="D1409" s="262" t="s">
        <v>3636</v>
      </c>
      <c r="E1409" s="263">
        <v>8</v>
      </c>
      <c r="F1409" s="262" t="s">
        <v>2379</v>
      </c>
      <c r="G1409" s="262" t="s">
        <v>2463</v>
      </c>
      <c r="H1409" s="395"/>
    </row>
    <row r="1410" spans="1:8" ht="14.55" hidden="1" customHeight="1" x14ac:dyDescent="0.3">
      <c r="A1410" s="262" t="s">
        <v>3593</v>
      </c>
      <c r="B1410" s="262" t="s">
        <v>2380</v>
      </c>
      <c r="C1410" s="262" t="s">
        <v>3312</v>
      </c>
      <c r="D1410" s="262" t="s">
        <v>2888</v>
      </c>
      <c r="E1410" s="263">
        <v>4</v>
      </c>
      <c r="F1410" s="262" t="s">
        <v>2373</v>
      </c>
      <c r="G1410" s="262" t="s">
        <v>2374</v>
      </c>
      <c r="H1410" s="395"/>
    </row>
    <row r="1411" spans="1:8" ht="14.55" hidden="1" customHeight="1" x14ac:dyDescent="0.3">
      <c r="A1411" s="262" t="s">
        <v>3593</v>
      </c>
      <c r="B1411" s="262" t="s">
        <v>2380</v>
      </c>
      <c r="C1411" s="262" t="s">
        <v>3312</v>
      </c>
      <c r="D1411" s="262" t="s">
        <v>3637</v>
      </c>
      <c r="E1411" s="263">
        <v>6</v>
      </c>
      <c r="F1411" s="262" t="s">
        <v>2419</v>
      </c>
      <c r="G1411" s="262" t="s">
        <v>2480</v>
      </c>
      <c r="H1411" s="395"/>
    </row>
    <row r="1412" spans="1:8" x14ac:dyDescent="0.3">
      <c r="A1412" s="264" t="s">
        <v>3593</v>
      </c>
      <c r="B1412" s="264" t="s">
        <v>2380</v>
      </c>
      <c r="C1412" s="264" t="s">
        <v>3312</v>
      </c>
      <c r="D1412" s="264" t="s">
        <v>3638</v>
      </c>
      <c r="E1412" s="265">
        <v>4</v>
      </c>
      <c r="F1412" s="264" t="s">
        <v>2379</v>
      </c>
      <c r="G1412" s="264" t="s">
        <v>2402</v>
      </c>
      <c r="H1412" s="396"/>
    </row>
    <row r="1413" spans="1:8" ht="14.55" hidden="1" customHeight="1" x14ac:dyDescent="0.3">
      <c r="A1413" s="262" t="s">
        <v>3593</v>
      </c>
      <c r="B1413" s="262" t="s">
        <v>2380</v>
      </c>
      <c r="C1413" s="262" t="s">
        <v>3312</v>
      </c>
      <c r="D1413" s="262" t="s">
        <v>3639</v>
      </c>
      <c r="E1413" s="263">
        <v>8</v>
      </c>
      <c r="F1413" s="262" t="s">
        <v>2373</v>
      </c>
      <c r="G1413" s="262" t="s">
        <v>2501</v>
      </c>
      <c r="H1413" s="395"/>
    </row>
    <row r="1414" spans="1:8" ht="14.55" hidden="1" customHeight="1" x14ac:dyDescent="0.3">
      <c r="A1414" s="262" t="s">
        <v>3593</v>
      </c>
      <c r="B1414" s="262" t="s">
        <v>2380</v>
      </c>
      <c r="C1414" s="262" t="s">
        <v>3312</v>
      </c>
      <c r="D1414" s="262" t="s">
        <v>3640</v>
      </c>
      <c r="E1414" s="263">
        <v>6</v>
      </c>
      <c r="F1414" s="262" t="s">
        <v>2379</v>
      </c>
      <c r="G1414" s="262" t="s">
        <v>2470</v>
      </c>
      <c r="H1414" s="395"/>
    </row>
    <row r="1415" spans="1:8" ht="14.55" hidden="1" customHeight="1" x14ac:dyDescent="0.3">
      <c r="A1415" s="262" t="s">
        <v>3593</v>
      </c>
      <c r="B1415" s="262" t="s">
        <v>2380</v>
      </c>
      <c r="C1415" s="262" t="s">
        <v>3312</v>
      </c>
      <c r="D1415" s="262" t="s">
        <v>3641</v>
      </c>
      <c r="E1415" s="263">
        <v>6</v>
      </c>
      <c r="F1415" s="262" t="s">
        <v>2379</v>
      </c>
      <c r="G1415" s="262" t="s">
        <v>2463</v>
      </c>
      <c r="H1415" s="395"/>
    </row>
    <row r="1416" spans="1:8" ht="14.55" hidden="1" customHeight="1" x14ac:dyDescent="0.3">
      <c r="A1416" s="262" t="s">
        <v>3593</v>
      </c>
      <c r="B1416" s="262" t="s">
        <v>2370</v>
      </c>
      <c r="C1416" s="262" t="s">
        <v>3288</v>
      </c>
      <c r="D1416" s="262" t="s">
        <v>2683</v>
      </c>
      <c r="E1416" s="263">
        <v>4</v>
      </c>
      <c r="F1416" s="262" t="s">
        <v>2419</v>
      </c>
      <c r="G1416" s="262" t="s">
        <v>3038</v>
      </c>
      <c r="H1416" s="395"/>
    </row>
    <row r="1417" spans="1:8" ht="14.55" hidden="1" customHeight="1" x14ac:dyDescent="0.3">
      <c r="A1417" s="262" t="s">
        <v>3593</v>
      </c>
      <c r="B1417" s="262" t="s">
        <v>2370</v>
      </c>
      <c r="C1417" s="262" t="s">
        <v>3312</v>
      </c>
      <c r="D1417" s="262" t="s">
        <v>3642</v>
      </c>
      <c r="E1417" s="263">
        <v>8</v>
      </c>
      <c r="F1417" s="262" t="s">
        <v>2373</v>
      </c>
      <c r="G1417" s="262" t="s">
        <v>2596</v>
      </c>
      <c r="H1417" s="395"/>
    </row>
    <row r="1418" spans="1:8" ht="14.55" hidden="1" customHeight="1" x14ac:dyDescent="0.3">
      <c r="A1418" s="262" t="s">
        <v>3593</v>
      </c>
      <c r="B1418" s="262" t="s">
        <v>2370</v>
      </c>
      <c r="C1418" s="262" t="s">
        <v>3288</v>
      </c>
      <c r="D1418" s="262" t="s">
        <v>3643</v>
      </c>
      <c r="E1418" s="263">
        <v>6</v>
      </c>
      <c r="F1418" s="262" t="s">
        <v>2389</v>
      </c>
      <c r="G1418" s="262" t="s">
        <v>2408</v>
      </c>
      <c r="H1418" s="395"/>
    </row>
    <row r="1419" spans="1:8" ht="14.55" hidden="1" customHeight="1" x14ac:dyDescent="0.3">
      <c r="A1419" s="262" t="s">
        <v>3593</v>
      </c>
      <c r="B1419" s="262" t="s">
        <v>2370</v>
      </c>
      <c r="C1419" s="262" t="s">
        <v>3288</v>
      </c>
      <c r="D1419" s="262" t="s">
        <v>3644</v>
      </c>
      <c r="E1419" s="263">
        <v>4</v>
      </c>
      <c r="F1419" s="262" t="s">
        <v>2379</v>
      </c>
      <c r="G1419" s="262" t="s">
        <v>2544</v>
      </c>
      <c r="H1419" s="395"/>
    </row>
    <row r="1420" spans="1:8" ht="14.55" hidden="1" customHeight="1" x14ac:dyDescent="0.3">
      <c r="A1420" s="262" t="s">
        <v>3593</v>
      </c>
      <c r="B1420" s="262" t="s">
        <v>2370</v>
      </c>
      <c r="C1420" s="262" t="s">
        <v>3288</v>
      </c>
      <c r="D1420" s="262" t="s">
        <v>3645</v>
      </c>
      <c r="E1420" s="263">
        <v>6</v>
      </c>
      <c r="F1420" s="262" t="s">
        <v>2376</v>
      </c>
      <c r="G1420" s="262" t="s">
        <v>2416</v>
      </c>
      <c r="H1420" s="395"/>
    </row>
    <row r="1421" spans="1:8" ht="14.55" hidden="1" customHeight="1" x14ac:dyDescent="0.3">
      <c r="A1421" s="262" t="s">
        <v>3593</v>
      </c>
      <c r="B1421" s="262" t="s">
        <v>2380</v>
      </c>
      <c r="C1421" s="262" t="s">
        <v>3312</v>
      </c>
      <c r="D1421" s="262" t="s">
        <v>3646</v>
      </c>
      <c r="E1421" s="263">
        <v>8</v>
      </c>
      <c r="F1421" s="262" t="s">
        <v>2379</v>
      </c>
      <c r="G1421" s="262" t="s">
        <v>3647</v>
      </c>
      <c r="H1421" s="395"/>
    </row>
    <row r="1422" spans="1:8" ht="14.55" hidden="1" customHeight="1" x14ac:dyDescent="0.3">
      <c r="A1422" s="262" t="s">
        <v>3593</v>
      </c>
      <c r="B1422" s="262" t="s">
        <v>2380</v>
      </c>
      <c r="C1422" s="262" t="s">
        <v>3312</v>
      </c>
      <c r="D1422" s="262" t="s">
        <v>3648</v>
      </c>
      <c r="E1422" s="263">
        <v>4</v>
      </c>
      <c r="F1422" s="262" t="s">
        <v>2376</v>
      </c>
      <c r="G1422" s="262" t="s">
        <v>2394</v>
      </c>
      <c r="H1422" s="395"/>
    </row>
    <row r="1423" spans="1:8" ht="14.55" hidden="1" customHeight="1" x14ac:dyDescent="0.3">
      <c r="A1423" s="262" t="s">
        <v>3593</v>
      </c>
      <c r="B1423" s="262" t="s">
        <v>2370</v>
      </c>
      <c r="C1423" s="262" t="s">
        <v>3288</v>
      </c>
      <c r="D1423" s="262" t="s">
        <v>3649</v>
      </c>
      <c r="E1423" s="263">
        <v>6</v>
      </c>
      <c r="F1423" s="262" t="s">
        <v>2379</v>
      </c>
      <c r="G1423" s="262" t="s">
        <v>2396</v>
      </c>
      <c r="H1423" s="395"/>
    </row>
    <row r="1424" spans="1:8" ht="14.55" hidden="1" customHeight="1" x14ac:dyDescent="0.3">
      <c r="A1424" s="262" t="s">
        <v>3593</v>
      </c>
      <c r="B1424" s="262" t="s">
        <v>2370</v>
      </c>
      <c r="C1424" s="262" t="s">
        <v>3288</v>
      </c>
      <c r="D1424" s="262" t="s">
        <v>3650</v>
      </c>
      <c r="E1424" s="263">
        <v>6</v>
      </c>
      <c r="F1424" s="262" t="s">
        <v>2389</v>
      </c>
      <c r="G1424" s="262" t="s">
        <v>2800</v>
      </c>
      <c r="H1424" s="395"/>
    </row>
    <row r="1425" spans="1:8" ht="14.55" hidden="1" customHeight="1" x14ac:dyDescent="0.3">
      <c r="A1425" s="262" t="s">
        <v>3593</v>
      </c>
      <c r="B1425" s="262" t="s">
        <v>2380</v>
      </c>
      <c r="C1425" s="262" t="s">
        <v>3288</v>
      </c>
      <c r="D1425" s="262" t="s">
        <v>3651</v>
      </c>
      <c r="E1425" s="263">
        <v>4</v>
      </c>
      <c r="F1425" s="262" t="s">
        <v>2376</v>
      </c>
      <c r="G1425" s="262" t="s">
        <v>2394</v>
      </c>
      <c r="H1425" s="395"/>
    </row>
    <row r="1426" spans="1:8" ht="14.55" hidden="1" customHeight="1" x14ac:dyDescent="0.3">
      <c r="A1426" s="262" t="s">
        <v>3593</v>
      </c>
      <c r="B1426" s="262" t="s">
        <v>2380</v>
      </c>
      <c r="C1426" s="262" t="s">
        <v>3312</v>
      </c>
      <c r="D1426" s="262" t="s">
        <v>3652</v>
      </c>
      <c r="E1426" s="263">
        <v>8</v>
      </c>
      <c r="F1426" s="262" t="s">
        <v>2419</v>
      </c>
      <c r="G1426" s="262" t="s">
        <v>2420</v>
      </c>
      <c r="H1426" s="395"/>
    </row>
    <row r="1427" spans="1:8" ht="14.55" hidden="1" customHeight="1" x14ac:dyDescent="0.3">
      <c r="A1427" s="262" t="s">
        <v>3593</v>
      </c>
      <c r="B1427" s="262" t="s">
        <v>2380</v>
      </c>
      <c r="C1427" s="262" t="s">
        <v>3288</v>
      </c>
      <c r="D1427" s="262" t="s">
        <v>3653</v>
      </c>
      <c r="E1427" s="263">
        <v>8</v>
      </c>
      <c r="F1427" s="262" t="s">
        <v>2419</v>
      </c>
      <c r="G1427" s="262" t="s">
        <v>2488</v>
      </c>
      <c r="H1427" s="395"/>
    </row>
    <row r="1428" spans="1:8" ht="14.55" hidden="1" customHeight="1" x14ac:dyDescent="0.3">
      <c r="A1428" s="262" t="s">
        <v>3593</v>
      </c>
      <c r="B1428" s="262" t="s">
        <v>2370</v>
      </c>
      <c r="C1428" s="262" t="s">
        <v>3288</v>
      </c>
      <c r="D1428" s="262" t="s">
        <v>3654</v>
      </c>
      <c r="E1428" s="263">
        <v>8</v>
      </c>
      <c r="F1428" s="262" t="s">
        <v>2389</v>
      </c>
      <c r="G1428" s="262" t="s">
        <v>2631</v>
      </c>
      <c r="H1428" s="395"/>
    </row>
    <row r="1429" spans="1:8" ht="14.55" hidden="1" customHeight="1" x14ac:dyDescent="0.3">
      <c r="A1429" s="262" t="s">
        <v>3593</v>
      </c>
      <c r="B1429" s="262" t="s">
        <v>2370</v>
      </c>
      <c r="C1429" s="262" t="s">
        <v>3312</v>
      </c>
      <c r="D1429" s="262" t="s">
        <v>2545</v>
      </c>
      <c r="E1429" s="263">
        <v>4</v>
      </c>
      <c r="F1429" s="262" t="s">
        <v>2373</v>
      </c>
      <c r="G1429" s="262" t="s">
        <v>2374</v>
      </c>
      <c r="H1429" s="395"/>
    </row>
    <row r="1430" spans="1:8" ht="14.55" hidden="1" customHeight="1" x14ac:dyDescent="0.3">
      <c r="A1430" s="262" t="s">
        <v>3593</v>
      </c>
      <c r="B1430" s="262" t="s">
        <v>2380</v>
      </c>
      <c r="C1430" s="262" t="s">
        <v>3312</v>
      </c>
      <c r="D1430" s="262" t="s">
        <v>3655</v>
      </c>
      <c r="E1430" s="263">
        <v>6</v>
      </c>
      <c r="F1430" s="262" t="s">
        <v>2389</v>
      </c>
      <c r="G1430" s="262" t="s">
        <v>3182</v>
      </c>
      <c r="H1430" s="395"/>
    </row>
    <row r="1431" spans="1:8" ht="14.55" hidden="1" customHeight="1" x14ac:dyDescent="0.3">
      <c r="A1431" s="262" t="s">
        <v>3593</v>
      </c>
      <c r="B1431" s="262" t="s">
        <v>2380</v>
      </c>
      <c r="C1431" s="262" t="s">
        <v>3312</v>
      </c>
      <c r="D1431" s="262" t="s">
        <v>3656</v>
      </c>
      <c r="E1431" s="263">
        <v>6</v>
      </c>
      <c r="F1431" s="262" t="s">
        <v>2379</v>
      </c>
      <c r="G1431" s="262" t="s">
        <v>2463</v>
      </c>
      <c r="H1431" s="395"/>
    </row>
    <row r="1432" spans="1:8" ht="14.55" hidden="1" customHeight="1" x14ac:dyDescent="0.3">
      <c r="A1432" s="262" t="s">
        <v>3593</v>
      </c>
      <c r="B1432" s="262" t="s">
        <v>2380</v>
      </c>
      <c r="C1432" s="262" t="s">
        <v>3312</v>
      </c>
      <c r="D1432" s="262" t="s">
        <v>3657</v>
      </c>
      <c r="E1432" s="263">
        <v>8</v>
      </c>
      <c r="F1432" s="262" t="s">
        <v>2379</v>
      </c>
      <c r="G1432" s="262" t="s">
        <v>2463</v>
      </c>
      <c r="H1432" s="395"/>
    </row>
    <row r="1433" spans="1:8" ht="14.55" hidden="1" customHeight="1" x14ac:dyDescent="0.3">
      <c r="A1433" s="262" t="s">
        <v>3593</v>
      </c>
      <c r="B1433" s="262" t="s">
        <v>2380</v>
      </c>
      <c r="C1433" s="262" t="s">
        <v>3312</v>
      </c>
      <c r="D1433" s="262" t="s">
        <v>3658</v>
      </c>
      <c r="E1433" s="263">
        <v>4</v>
      </c>
      <c r="F1433" s="262" t="s">
        <v>2376</v>
      </c>
      <c r="G1433" s="262" t="s">
        <v>2377</v>
      </c>
      <c r="H1433" s="395"/>
    </row>
    <row r="1434" spans="1:8" ht="14.55" hidden="1" customHeight="1" x14ac:dyDescent="0.3">
      <c r="A1434" s="262" t="s">
        <v>3593</v>
      </c>
      <c r="B1434" s="262" t="s">
        <v>2380</v>
      </c>
      <c r="C1434" s="262" t="s">
        <v>3312</v>
      </c>
      <c r="D1434" s="262" t="s">
        <v>3659</v>
      </c>
      <c r="E1434" s="263">
        <v>6</v>
      </c>
      <c r="F1434" s="262" t="s">
        <v>2379</v>
      </c>
      <c r="G1434" s="262" t="s">
        <v>2544</v>
      </c>
      <c r="H1434" s="395"/>
    </row>
    <row r="1435" spans="1:8" x14ac:dyDescent="0.3">
      <c r="A1435" s="264" t="s">
        <v>3593</v>
      </c>
      <c r="B1435" s="264" t="s">
        <v>2370</v>
      </c>
      <c r="C1435" s="264" t="s">
        <v>3288</v>
      </c>
      <c r="D1435" s="264" t="s">
        <v>3660</v>
      </c>
      <c r="E1435" s="265">
        <v>6</v>
      </c>
      <c r="F1435" s="264" t="s">
        <v>2379</v>
      </c>
      <c r="G1435" s="264" t="s">
        <v>2402</v>
      </c>
      <c r="H1435" s="396"/>
    </row>
    <row r="1436" spans="1:8" ht="14.55" hidden="1" customHeight="1" x14ac:dyDescent="0.3">
      <c r="A1436" s="262" t="s">
        <v>3593</v>
      </c>
      <c r="B1436" s="262" t="s">
        <v>2370</v>
      </c>
      <c r="C1436" s="262" t="s">
        <v>3288</v>
      </c>
      <c r="D1436" s="262" t="s">
        <v>3661</v>
      </c>
      <c r="E1436" s="263">
        <v>4</v>
      </c>
      <c r="F1436" s="262" t="s">
        <v>2389</v>
      </c>
      <c r="G1436" s="262" t="s">
        <v>2428</v>
      </c>
      <c r="H1436" s="395"/>
    </row>
    <row r="1437" spans="1:8" ht="14.55" hidden="1" customHeight="1" x14ac:dyDescent="0.3">
      <c r="A1437" s="262" t="s">
        <v>3593</v>
      </c>
      <c r="B1437" s="262" t="s">
        <v>2370</v>
      </c>
      <c r="C1437" s="262" t="s">
        <v>3288</v>
      </c>
      <c r="D1437" s="262" t="s">
        <v>3662</v>
      </c>
      <c r="E1437" s="263">
        <v>6</v>
      </c>
      <c r="F1437" s="262" t="s">
        <v>2379</v>
      </c>
      <c r="G1437" s="262" t="s">
        <v>2396</v>
      </c>
      <c r="H1437" s="395"/>
    </row>
    <row r="1438" spans="1:8" ht="14.55" hidden="1" customHeight="1" x14ac:dyDescent="0.3">
      <c r="A1438" s="262" t="s">
        <v>3593</v>
      </c>
      <c r="B1438" s="262" t="s">
        <v>2370</v>
      </c>
      <c r="C1438" s="262" t="s">
        <v>3288</v>
      </c>
      <c r="D1438" s="262" t="s">
        <v>3663</v>
      </c>
      <c r="E1438" s="263">
        <v>6</v>
      </c>
      <c r="F1438" s="262" t="s">
        <v>2389</v>
      </c>
      <c r="G1438" s="262" t="s">
        <v>2428</v>
      </c>
      <c r="H1438" s="395"/>
    </row>
    <row r="1439" spans="1:8" ht="14.55" hidden="1" customHeight="1" x14ac:dyDescent="0.3">
      <c r="A1439" s="262" t="s">
        <v>3593</v>
      </c>
      <c r="B1439" s="262" t="s">
        <v>2370</v>
      </c>
      <c r="C1439" s="262" t="s">
        <v>3288</v>
      </c>
      <c r="D1439" s="262" t="s">
        <v>2815</v>
      </c>
      <c r="E1439" s="263">
        <v>4</v>
      </c>
      <c r="F1439" s="262" t="s">
        <v>2373</v>
      </c>
      <c r="G1439" s="262" t="s">
        <v>2392</v>
      </c>
      <c r="H1439" s="395"/>
    </row>
    <row r="1440" spans="1:8" ht="14.55" hidden="1" customHeight="1" x14ac:dyDescent="0.3">
      <c r="A1440" s="262" t="s">
        <v>3593</v>
      </c>
      <c r="B1440" s="262" t="s">
        <v>2380</v>
      </c>
      <c r="C1440" s="262" t="s">
        <v>3288</v>
      </c>
      <c r="D1440" s="262" t="s">
        <v>3664</v>
      </c>
      <c r="E1440" s="263">
        <v>8</v>
      </c>
      <c r="F1440" s="262" t="s">
        <v>2389</v>
      </c>
      <c r="G1440" s="262" t="s">
        <v>2408</v>
      </c>
      <c r="H1440" s="395"/>
    </row>
    <row r="1441" spans="1:8" ht="14.55" hidden="1" customHeight="1" x14ac:dyDescent="0.3">
      <c r="A1441" s="262" t="s">
        <v>3593</v>
      </c>
      <c r="B1441" s="262" t="s">
        <v>2380</v>
      </c>
      <c r="C1441" s="262" t="s">
        <v>3312</v>
      </c>
      <c r="D1441" s="262" t="s">
        <v>3665</v>
      </c>
      <c r="E1441" s="263">
        <v>6</v>
      </c>
      <c r="F1441" s="262" t="s">
        <v>2379</v>
      </c>
      <c r="G1441" s="262" t="s">
        <v>2396</v>
      </c>
      <c r="H1441" s="395"/>
    </row>
    <row r="1442" spans="1:8" ht="14.55" hidden="1" customHeight="1" x14ac:dyDescent="0.3">
      <c r="A1442" s="262" t="s">
        <v>3593</v>
      </c>
      <c r="B1442" s="262" t="s">
        <v>2380</v>
      </c>
      <c r="C1442" s="262" t="s">
        <v>3312</v>
      </c>
      <c r="D1442" s="262" t="s">
        <v>3666</v>
      </c>
      <c r="E1442" s="263">
        <v>8</v>
      </c>
      <c r="F1442" s="262" t="s">
        <v>2379</v>
      </c>
      <c r="G1442" s="262" t="s">
        <v>2568</v>
      </c>
      <c r="H1442" s="395"/>
    </row>
    <row r="1443" spans="1:8" ht="14.55" hidden="1" customHeight="1" x14ac:dyDescent="0.3">
      <c r="A1443" s="262" t="s">
        <v>3593</v>
      </c>
      <c r="B1443" s="262" t="s">
        <v>2380</v>
      </c>
      <c r="C1443" s="262" t="s">
        <v>3312</v>
      </c>
      <c r="D1443" s="262" t="s">
        <v>3667</v>
      </c>
      <c r="E1443" s="263">
        <v>6</v>
      </c>
      <c r="F1443" s="262" t="s">
        <v>2389</v>
      </c>
      <c r="G1443" s="262" t="s">
        <v>2800</v>
      </c>
      <c r="H1443" s="395"/>
    </row>
    <row r="1444" spans="1:8" ht="14.55" hidden="1" customHeight="1" x14ac:dyDescent="0.3">
      <c r="A1444" s="262" t="s">
        <v>3593</v>
      </c>
      <c r="B1444" s="262" t="s">
        <v>2380</v>
      </c>
      <c r="C1444" s="262" t="s">
        <v>3312</v>
      </c>
      <c r="D1444" s="262" t="s">
        <v>3668</v>
      </c>
      <c r="E1444" s="263">
        <v>6</v>
      </c>
      <c r="F1444" s="262" t="s">
        <v>2379</v>
      </c>
      <c r="G1444" s="262" t="s">
        <v>2396</v>
      </c>
      <c r="H1444" s="395"/>
    </row>
    <row r="1445" spans="1:8" ht="14.55" hidden="1" customHeight="1" x14ac:dyDescent="0.3">
      <c r="A1445" s="262" t="s">
        <v>3669</v>
      </c>
      <c r="B1445" s="262" t="s">
        <v>2380</v>
      </c>
      <c r="C1445" s="262" t="s">
        <v>3288</v>
      </c>
      <c r="D1445" s="262" t="s">
        <v>3670</v>
      </c>
      <c r="E1445" s="263">
        <v>8</v>
      </c>
      <c r="F1445" s="262" t="s">
        <v>2379</v>
      </c>
      <c r="G1445" s="262" t="s">
        <v>2383</v>
      </c>
      <c r="H1445" s="395"/>
    </row>
    <row r="1446" spans="1:8" ht="14.55" hidden="1" customHeight="1" x14ac:dyDescent="0.3">
      <c r="A1446" s="262" t="s">
        <v>3669</v>
      </c>
      <c r="B1446" s="262" t="s">
        <v>2370</v>
      </c>
      <c r="C1446" s="262" t="s">
        <v>3288</v>
      </c>
      <c r="D1446" s="262" t="s">
        <v>3671</v>
      </c>
      <c r="E1446" s="263">
        <v>6</v>
      </c>
      <c r="F1446" s="262" t="s">
        <v>2419</v>
      </c>
      <c r="G1446" s="262" t="s">
        <v>2488</v>
      </c>
      <c r="H1446" s="395"/>
    </row>
    <row r="1447" spans="1:8" ht="14.55" hidden="1" customHeight="1" x14ac:dyDescent="0.3">
      <c r="A1447" s="262" t="s">
        <v>3669</v>
      </c>
      <c r="B1447" s="262" t="s">
        <v>2380</v>
      </c>
      <c r="C1447" s="262" t="s">
        <v>3312</v>
      </c>
      <c r="D1447" s="262" t="s">
        <v>3672</v>
      </c>
      <c r="E1447" s="263">
        <v>8</v>
      </c>
      <c r="F1447" s="262" t="s">
        <v>2419</v>
      </c>
      <c r="G1447" s="262" t="s">
        <v>3038</v>
      </c>
      <c r="H1447" s="395"/>
    </row>
    <row r="1448" spans="1:8" ht="14.55" hidden="1" customHeight="1" x14ac:dyDescent="0.3">
      <c r="A1448" s="262" t="s">
        <v>3669</v>
      </c>
      <c r="B1448" s="262" t="s">
        <v>2380</v>
      </c>
      <c r="C1448" s="262" t="s">
        <v>3312</v>
      </c>
      <c r="D1448" s="262" t="s">
        <v>3673</v>
      </c>
      <c r="E1448" s="263">
        <v>8</v>
      </c>
      <c r="F1448" s="262" t="s">
        <v>2379</v>
      </c>
      <c r="G1448" s="262" t="s">
        <v>2396</v>
      </c>
      <c r="H1448" s="395"/>
    </row>
    <row r="1449" spans="1:8" ht="14.55" hidden="1" customHeight="1" x14ac:dyDescent="0.3">
      <c r="A1449" s="262" t="s">
        <v>3669</v>
      </c>
      <c r="B1449" s="262" t="s">
        <v>2380</v>
      </c>
      <c r="C1449" s="262" t="s">
        <v>3288</v>
      </c>
      <c r="D1449" s="262" t="s">
        <v>3674</v>
      </c>
      <c r="E1449" s="263">
        <v>8</v>
      </c>
      <c r="F1449" s="262" t="s">
        <v>2389</v>
      </c>
      <c r="G1449" s="262" t="s">
        <v>2673</v>
      </c>
      <c r="H1449" s="395"/>
    </row>
    <row r="1450" spans="1:8" ht="14.55" hidden="1" customHeight="1" x14ac:dyDescent="0.3">
      <c r="A1450" s="262" t="s">
        <v>3669</v>
      </c>
      <c r="B1450" s="262" t="s">
        <v>2380</v>
      </c>
      <c r="C1450" s="262" t="s">
        <v>3312</v>
      </c>
      <c r="D1450" s="262" t="s">
        <v>3095</v>
      </c>
      <c r="E1450" s="263">
        <v>6</v>
      </c>
      <c r="F1450" s="262" t="s">
        <v>2376</v>
      </c>
      <c r="G1450" s="262" t="s">
        <v>2394</v>
      </c>
      <c r="H1450" s="395"/>
    </row>
    <row r="1451" spans="1:8" ht="14.55" hidden="1" customHeight="1" x14ac:dyDescent="0.3">
      <c r="A1451" s="262" t="s">
        <v>3669</v>
      </c>
      <c r="B1451" s="262" t="s">
        <v>2380</v>
      </c>
      <c r="C1451" s="262" t="s">
        <v>3312</v>
      </c>
      <c r="D1451" s="262" t="s">
        <v>3675</v>
      </c>
      <c r="E1451" s="263">
        <v>6</v>
      </c>
      <c r="F1451" s="262" t="s">
        <v>2419</v>
      </c>
      <c r="G1451" s="262" t="s">
        <v>2432</v>
      </c>
      <c r="H1451" s="395"/>
    </row>
    <row r="1452" spans="1:8" x14ac:dyDescent="0.3">
      <c r="A1452" s="264" t="s">
        <v>3669</v>
      </c>
      <c r="B1452" s="264" t="s">
        <v>2380</v>
      </c>
      <c r="C1452" s="264" t="s">
        <v>3288</v>
      </c>
      <c r="D1452" s="264" t="s">
        <v>3676</v>
      </c>
      <c r="E1452" s="265">
        <v>6</v>
      </c>
      <c r="F1452" s="264" t="s">
        <v>2379</v>
      </c>
      <c r="G1452" s="264" t="s">
        <v>2402</v>
      </c>
      <c r="H1452" s="396"/>
    </row>
    <row r="1453" spans="1:8" ht="14.55" hidden="1" customHeight="1" x14ac:dyDescent="0.3">
      <c r="A1453" s="262" t="s">
        <v>3669</v>
      </c>
      <c r="B1453" s="262" t="s">
        <v>2380</v>
      </c>
      <c r="C1453" s="262" t="s">
        <v>3312</v>
      </c>
      <c r="D1453" s="262" t="s">
        <v>3677</v>
      </c>
      <c r="E1453" s="263">
        <v>8</v>
      </c>
      <c r="F1453" s="262" t="s">
        <v>2389</v>
      </c>
      <c r="G1453" s="262" t="s">
        <v>2428</v>
      </c>
      <c r="H1453" s="395"/>
    </row>
    <row r="1454" spans="1:8" ht="14.55" hidden="1" customHeight="1" x14ac:dyDescent="0.3">
      <c r="A1454" s="262" t="s">
        <v>3669</v>
      </c>
      <c r="B1454" s="262" t="s">
        <v>2380</v>
      </c>
      <c r="C1454" s="262" t="s">
        <v>3312</v>
      </c>
      <c r="D1454" s="262" t="s">
        <v>3678</v>
      </c>
      <c r="E1454" s="263">
        <v>8</v>
      </c>
      <c r="F1454" s="262" t="s">
        <v>2419</v>
      </c>
      <c r="G1454" s="262" t="s">
        <v>3679</v>
      </c>
      <c r="H1454" s="395"/>
    </row>
    <row r="1455" spans="1:8" ht="14.55" hidden="1" customHeight="1" x14ac:dyDescent="0.3">
      <c r="A1455" s="262" t="s">
        <v>3669</v>
      </c>
      <c r="B1455" s="262" t="s">
        <v>2380</v>
      </c>
      <c r="C1455" s="262" t="s">
        <v>3312</v>
      </c>
      <c r="D1455" s="262" t="s">
        <v>3680</v>
      </c>
      <c r="E1455" s="263">
        <v>6</v>
      </c>
      <c r="F1455" s="262" t="s">
        <v>2389</v>
      </c>
      <c r="G1455" s="262" t="s">
        <v>2428</v>
      </c>
      <c r="H1455" s="395"/>
    </row>
    <row r="1456" spans="1:8" ht="14.55" hidden="1" customHeight="1" x14ac:dyDescent="0.3">
      <c r="A1456" s="262" t="s">
        <v>3669</v>
      </c>
      <c r="B1456" s="262" t="s">
        <v>2380</v>
      </c>
      <c r="C1456" s="262" t="s">
        <v>3312</v>
      </c>
      <c r="D1456" s="262" t="s">
        <v>2887</v>
      </c>
      <c r="E1456" s="263">
        <v>4</v>
      </c>
      <c r="F1456" s="262" t="s">
        <v>2376</v>
      </c>
      <c r="G1456" s="262" t="s">
        <v>2406</v>
      </c>
      <c r="H1456" s="395"/>
    </row>
    <row r="1457" spans="1:8" ht="14.55" hidden="1" customHeight="1" x14ac:dyDescent="0.3">
      <c r="A1457" s="262" t="s">
        <v>3669</v>
      </c>
      <c r="B1457" s="262" t="s">
        <v>2370</v>
      </c>
      <c r="C1457" s="262" t="s">
        <v>3288</v>
      </c>
      <c r="D1457" s="262" t="s">
        <v>3681</v>
      </c>
      <c r="E1457" s="263">
        <v>6</v>
      </c>
      <c r="F1457" s="262" t="s">
        <v>2419</v>
      </c>
      <c r="G1457" s="262" t="s">
        <v>2488</v>
      </c>
      <c r="H1457" s="395"/>
    </row>
    <row r="1458" spans="1:8" ht="14.55" hidden="1" customHeight="1" x14ac:dyDescent="0.3">
      <c r="A1458" s="262" t="s">
        <v>3669</v>
      </c>
      <c r="B1458" s="262" t="s">
        <v>2380</v>
      </c>
      <c r="C1458" s="262" t="s">
        <v>3312</v>
      </c>
      <c r="D1458" s="262" t="s">
        <v>3682</v>
      </c>
      <c r="E1458" s="263">
        <v>6</v>
      </c>
      <c r="F1458" s="262" t="s">
        <v>2379</v>
      </c>
      <c r="G1458" s="262" t="s">
        <v>2463</v>
      </c>
      <c r="H1458" s="395"/>
    </row>
    <row r="1459" spans="1:8" ht="14.55" hidden="1" customHeight="1" x14ac:dyDescent="0.3">
      <c r="A1459" s="262" t="s">
        <v>3669</v>
      </c>
      <c r="B1459" s="262" t="s">
        <v>2370</v>
      </c>
      <c r="C1459" s="262" t="s">
        <v>3288</v>
      </c>
      <c r="D1459" s="262" t="s">
        <v>3683</v>
      </c>
      <c r="E1459" s="263">
        <v>4</v>
      </c>
      <c r="F1459" s="262" t="s">
        <v>2389</v>
      </c>
      <c r="G1459" s="262" t="s">
        <v>2428</v>
      </c>
      <c r="H1459" s="395"/>
    </row>
    <row r="1460" spans="1:8" ht="14.55" hidden="1" customHeight="1" x14ac:dyDescent="0.3">
      <c r="A1460" s="262" t="s">
        <v>3669</v>
      </c>
      <c r="B1460" s="262" t="s">
        <v>2380</v>
      </c>
      <c r="C1460" s="262" t="s">
        <v>3312</v>
      </c>
      <c r="D1460" s="262" t="s">
        <v>3684</v>
      </c>
      <c r="E1460" s="263">
        <v>8</v>
      </c>
      <c r="F1460" s="262" t="s">
        <v>2389</v>
      </c>
      <c r="G1460" s="262" t="s">
        <v>2631</v>
      </c>
      <c r="H1460" s="395"/>
    </row>
    <row r="1461" spans="1:8" ht="14.55" hidden="1" customHeight="1" x14ac:dyDescent="0.3">
      <c r="A1461" s="262" t="s">
        <v>3669</v>
      </c>
      <c r="B1461" s="262" t="s">
        <v>2380</v>
      </c>
      <c r="C1461" s="262" t="s">
        <v>3312</v>
      </c>
      <c r="D1461" s="262" t="s">
        <v>3685</v>
      </c>
      <c r="E1461" s="263">
        <v>4</v>
      </c>
      <c r="F1461" s="262" t="s">
        <v>2389</v>
      </c>
      <c r="G1461" s="262" t="s">
        <v>2408</v>
      </c>
      <c r="H1461" s="395"/>
    </row>
    <row r="1462" spans="1:8" ht="14.55" hidden="1" customHeight="1" x14ac:dyDescent="0.3">
      <c r="A1462" s="262" t="s">
        <v>3669</v>
      </c>
      <c r="B1462" s="262" t="s">
        <v>2380</v>
      </c>
      <c r="C1462" s="262" t="s">
        <v>3312</v>
      </c>
      <c r="D1462" s="262" t="s">
        <v>3686</v>
      </c>
      <c r="E1462" s="263">
        <v>10</v>
      </c>
      <c r="F1462" s="262" t="s">
        <v>2373</v>
      </c>
      <c r="G1462" s="262" t="s">
        <v>2392</v>
      </c>
      <c r="H1462" s="395"/>
    </row>
    <row r="1463" spans="1:8" ht="14.55" hidden="1" customHeight="1" x14ac:dyDescent="0.3">
      <c r="A1463" s="262" t="s">
        <v>3687</v>
      </c>
      <c r="B1463" s="262" t="s">
        <v>2370</v>
      </c>
      <c r="C1463" s="262" t="s">
        <v>3288</v>
      </c>
      <c r="D1463" s="262" t="s">
        <v>3688</v>
      </c>
      <c r="E1463" s="263">
        <v>6</v>
      </c>
      <c r="F1463" s="262" t="s">
        <v>2376</v>
      </c>
      <c r="G1463" s="262" t="s">
        <v>3689</v>
      </c>
      <c r="H1463" s="395"/>
    </row>
    <row r="1464" spans="1:8" ht="14.55" hidden="1" customHeight="1" x14ac:dyDescent="0.3">
      <c r="A1464" s="262" t="s">
        <v>3687</v>
      </c>
      <c r="B1464" s="262" t="s">
        <v>2370</v>
      </c>
      <c r="C1464" s="262" t="s">
        <v>3288</v>
      </c>
      <c r="D1464" s="262" t="s">
        <v>3690</v>
      </c>
      <c r="E1464" s="263">
        <v>6</v>
      </c>
      <c r="F1464" s="262" t="s">
        <v>2419</v>
      </c>
      <c r="G1464" s="262" t="s">
        <v>2488</v>
      </c>
      <c r="H1464" s="395"/>
    </row>
    <row r="1465" spans="1:8" ht="14.55" hidden="1" customHeight="1" x14ac:dyDescent="0.3">
      <c r="A1465" s="262" t="s">
        <v>3687</v>
      </c>
      <c r="B1465" s="262" t="s">
        <v>2380</v>
      </c>
      <c r="C1465" s="262" t="s">
        <v>3312</v>
      </c>
      <c r="D1465" s="262" t="s">
        <v>3691</v>
      </c>
      <c r="E1465" s="263">
        <v>6</v>
      </c>
      <c r="F1465" s="262" t="s">
        <v>2389</v>
      </c>
      <c r="G1465" s="262" t="s">
        <v>2408</v>
      </c>
      <c r="H1465" s="395"/>
    </row>
    <row r="1466" spans="1:8" ht="14.55" hidden="1" customHeight="1" x14ac:dyDescent="0.3">
      <c r="A1466" s="262" t="s">
        <v>3687</v>
      </c>
      <c r="B1466" s="262" t="s">
        <v>2370</v>
      </c>
      <c r="C1466" s="262" t="s">
        <v>3288</v>
      </c>
      <c r="D1466" s="262" t="s">
        <v>3692</v>
      </c>
      <c r="E1466" s="263">
        <v>4</v>
      </c>
      <c r="F1466" s="262" t="s">
        <v>2373</v>
      </c>
      <c r="G1466" s="262" t="s">
        <v>2374</v>
      </c>
      <c r="H1466" s="395"/>
    </row>
    <row r="1467" spans="1:8" ht="14.55" hidden="1" customHeight="1" x14ac:dyDescent="0.3">
      <c r="A1467" s="262" t="s">
        <v>3687</v>
      </c>
      <c r="B1467" s="262" t="s">
        <v>2370</v>
      </c>
      <c r="C1467" s="262" t="s">
        <v>3288</v>
      </c>
      <c r="D1467" s="262" t="s">
        <v>3693</v>
      </c>
      <c r="E1467" s="263">
        <v>4</v>
      </c>
      <c r="F1467" s="262" t="s">
        <v>2389</v>
      </c>
      <c r="G1467" s="262" t="s">
        <v>2428</v>
      </c>
      <c r="H1467" s="395"/>
    </row>
    <row r="1468" spans="1:8" ht="14.55" hidden="1" customHeight="1" x14ac:dyDescent="0.3">
      <c r="A1468" s="262" t="s">
        <v>3687</v>
      </c>
      <c r="B1468" s="262" t="s">
        <v>2380</v>
      </c>
      <c r="C1468" s="262" t="s">
        <v>3288</v>
      </c>
      <c r="D1468" s="262" t="s">
        <v>3694</v>
      </c>
      <c r="E1468" s="263">
        <v>4</v>
      </c>
      <c r="F1468" s="262" t="s">
        <v>2419</v>
      </c>
      <c r="G1468" s="262" t="s">
        <v>2605</v>
      </c>
      <c r="H1468" s="395"/>
    </row>
    <row r="1469" spans="1:8" ht="14.55" hidden="1" customHeight="1" x14ac:dyDescent="0.3">
      <c r="A1469" s="262" t="s">
        <v>3687</v>
      </c>
      <c r="B1469" s="262" t="s">
        <v>2380</v>
      </c>
      <c r="C1469" s="262" t="s">
        <v>3312</v>
      </c>
      <c r="D1469" s="262" t="s">
        <v>3695</v>
      </c>
      <c r="E1469" s="263">
        <v>6</v>
      </c>
      <c r="F1469" s="262" t="s">
        <v>2419</v>
      </c>
      <c r="G1469" s="262" t="s">
        <v>2432</v>
      </c>
      <c r="H1469" s="395"/>
    </row>
    <row r="1470" spans="1:8" ht="14.55" hidden="1" customHeight="1" x14ac:dyDescent="0.3">
      <c r="A1470" s="262" t="s">
        <v>3687</v>
      </c>
      <c r="B1470" s="262" t="s">
        <v>2380</v>
      </c>
      <c r="C1470" s="262" t="s">
        <v>3312</v>
      </c>
      <c r="D1470" s="262" t="s">
        <v>3696</v>
      </c>
      <c r="E1470" s="263">
        <v>8</v>
      </c>
      <c r="F1470" s="262" t="s">
        <v>2379</v>
      </c>
      <c r="G1470" s="262" t="s">
        <v>2463</v>
      </c>
      <c r="H1470" s="395"/>
    </row>
    <row r="1471" spans="1:8" ht="14.55" hidden="1" customHeight="1" x14ac:dyDescent="0.3">
      <c r="A1471" s="262" t="s">
        <v>3687</v>
      </c>
      <c r="B1471" s="262" t="s">
        <v>2370</v>
      </c>
      <c r="C1471" s="262" t="s">
        <v>3288</v>
      </c>
      <c r="D1471" s="262" t="s">
        <v>3697</v>
      </c>
      <c r="E1471" s="263">
        <v>8</v>
      </c>
      <c r="F1471" s="262" t="s">
        <v>2373</v>
      </c>
      <c r="G1471" s="262" t="s">
        <v>3698</v>
      </c>
      <c r="H1471" s="395"/>
    </row>
    <row r="1472" spans="1:8" ht="14.55" hidden="1" customHeight="1" x14ac:dyDescent="0.3">
      <c r="A1472" s="262" t="s">
        <v>3687</v>
      </c>
      <c r="B1472" s="262" t="s">
        <v>2370</v>
      </c>
      <c r="C1472" s="262" t="s">
        <v>3288</v>
      </c>
      <c r="D1472" s="262" t="s">
        <v>3699</v>
      </c>
      <c r="E1472" s="263">
        <v>8</v>
      </c>
      <c r="F1472" s="262" t="s">
        <v>2389</v>
      </c>
      <c r="G1472" s="262" t="s">
        <v>2631</v>
      </c>
      <c r="H1472" s="395"/>
    </row>
    <row r="1473" spans="1:8" ht="14.55" hidden="1" customHeight="1" x14ac:dyDescent="0.3">
      <c r="A1473" s="262" t="s">
        <v>3687</v>
      </c>
      <c r="B1473" s="262" t="s">
        <v>2370</v>
      </c>
      <c r="C1473" s="262" t="s">
        <v>3288</v>
      </c>
      <c r="D1473" s="262" t="s">
        <v>3700</v>
      </c>
      <c r="E1473" s="263">
        <v>8</v>
      </c>
      <c r="F1473" s="262" t="s">
        <v>2389</v>
      </c>
      <c r="G1473" s="262" t="s">
        <v>2428</v>
      </c>
      <c r="H1473" s="395"/>
    </row>
    <row r="1474" spans="1:8" ht="14.55" hidden="1" customHeight="1" x14ac:dyDescent="0.3">
      <c r="A1474" s="262" t="s">
        <v>3687</v>
      </c>
      <c r="B1474" s="262" t="s">
        <v>2380</v>
      </c>
      <c r="C1474" s="262" t="s">
        <v>3312</v>
      </c>
      <c r="D1474" s="262" t="s">
        <v>2912</v>
      </c>
      <c r="E1474" s="263">
        <v>4</v>
      </c>
      <c r="F1474" s="262" t="s">
        <v>2376</v>
      </c>
      <c r="G1474" s="262" t="s">
        <v>2377</v>
      </c>
      <c r="H1474" s="395"/>
    </row>
    <row r="1475" spans="1:8" ht="14.55" hidden="1" customHeight="1" x14ac:dyDescent="0.3">
      <c r="A1475" s="262" t="s">
        <v>3687</v>
      </c>
      <c r="B1475" s="262" t="s">
        <v>2380</v>
      </c>
      <c r="C1475" s="262" t="s">
        <v>3312</v>
      </c>
      <c r="D1475" s="262" t="s">
        <v>3701</v>
      </c>
      <c r="E1475" s="263">
        <v>8</v>
      </c>
      <c r="F1475" s="262" t="s">
        <v>2379</v>
      </c>
      <c r="G1475" s="262" t="s">
        <v>2463</v>
      </c>
      <c r="H1475" s="395"/>
    </row>
    <row r="1476" spans="1:8" ht="14.55" hidden="1" customHeight="1" x14ac:dyDescent="0.3">
      <c r="A1476" s="262" t="s">
        <v>3687</v>
      </c>
      <c r="B1476" s="262" t="s">
        <v>2380</v>
      </c>
      <c r="C1476" s="262" t="s">
        <v>3312</v>
      </c>
      <c r="D1476" s="262" t="s">
        <v>3702</v>
      </c>
      <c r="E1476" s="263">
        <v>4</v>
      </c>
      <c r="F1476" s="262" t="s">
        <v>2376</v>
      </c>
      <c r="G1476" s="262" t="s">
        <v>2406</v>
      </c>
      <c r="H1476" s="395"/>
    </row>
    <row r="1477" spans="1:8" ht="14.55" hidden="1" customHeight="1" x14ac:dyDescent="0.3">
      <c r="A1477" s="262" t="s">
        <v>3687</v>
      </c>
      <c r="B1477" s="262" t="s">
        <v>2380</v>
      </c>
      <c r="C1477" s="262" t="s">
        <v>3312</v>
      </c>
      <c r="D1477" s="262" t="s">
        <v>3703</v>
      </c>
      <c r="E1477" s="263">
        <v>4</v>
      </c>
      <c r="F1477" s="262" t="s">
        <v>2389</v>
      </c>
      <c r="G1477" s="262" t="s">
        <v>2428</v>
      </c>
      <c r="H1477" s="395"/>
    </row>
    <row r="1478" spans="1:8" ht="14.55" hidden="1" customHeight="1" x14ac:dyDescent="0.3">
      <c r="A1478" s="262" t="s">
        <v>3687</v>
      </c>
      <c r="B1478" s="262" t="s">
        <v>2380</v>
      </c>
      <c r="C1478" s="262" t="s">
        <v>3312</v>
      </c>
      <c r="D1478" s="262" t="s">
        <v>3704</v>
      </c>
      <c r="E1478" s="263">
        <v>6</v>
      </c>
      <c r="F1478" s="262" t="s">
        <v>2379</v>
      </c>
      <c r="G1478" s="262" t="s">
        <v>2544</v>
      </c>
      <c r="H1478" s="395"/>
    </row>
    <row r="1479" spans="1:8" ht="14.55" hidden="1" customHeight="1" x14ac:dyDescent="0.3">
      <c r="A1479" s="262" t="s">
        <v>3687</v>
      </c>
      <c r="B1479" s="262" t="s">
        <v>2380</v>
      </c>
      <c r="C1479" s="262" t="s">
        <v>3288</v>
      </c>
      <c r="D1479" s="262" t="s">
        <v>3705</v>
      </c>
      <c r="E1479" s="263">
        <v>6</v>
      </c>
      <c r="F1479" s="262" t="s">
        <v>2376</v>
      </c>
      <c r="G1479" s="262" t="s">
        <v>2394</v>
      </c>
      <c r="H1479" s="395"/>
    </row>
    <row r="1480" spans="1:8" ht="14.55" hidden="1" customHeight="1" x14ac:dyDescent="0.3">
      <c r="A1480" s="262" t="s">
        <v>3687</v>
      </c>
      <c r="B1480" s="262" t="s">
        <v>2370</v>
      </c>
      <c r="C1480" s="262" t="s">
        <v>3288</v>
      </c>
      <c r="D1480" s="262" t="s">
        <v>3706</v>
      </c>
      <c r="E1480" s="263">
        <v>8</v>
      </c>
      <c r="F1480" s="262" t="s">
        <v>2419</v>
      </c>
      <c r="G1480" s="262" t="s">
        <v>2488</v>
      </c>
      <c r="H1480" s="395"/>
    </row>
    <row r="1481" spans="1:8" ht="14.55" hidden="1" customHeight="1" x14ac:dyDescent="0.3">
      <c r="A1481" s="262" t="s">
        <v>3687</v>
      </c>
      <c r="B1481" s="262" t="s">
        <v>2370</v>
      </c>
      <c r="C1481" s="262" t="s">
        <v>3288</v>
      </c>
      <c r="D1481" s="262" t="s">
        <v>3707</v>
      </c>
      <c r="E1481" s="263">
        <v>6</v>
      </c>
      <c r="F1481" s="262" t="s">
        <v>2419</v>
      </c>
      <c r="G1481" s="262" t="s">
        <v>2420</v>
      </c>
      <c r="H1481" s="395"/>
    </row>
    <row r="1482" spans="1:8" ht="14.55" hidden="1" customHeight="1" x14ac:dyDescent="0.3">
      <c r="A1482" s="262" t="s">
        <v>3687</v>
      </c>
      <c r="B1482" s="262" t="s">
        <v>2370</v>
      </c>
      <c r="C1482" s="262" t="s">
        <v>3288</v>
      </c>
      <c r="D1482" s="262" t="s">
        <v>3708</v>
      </c>
      <c r="E1482" s="263">
        <v>8</v>
      </c>
      <c r="F1482" s="262" t="s">
        <v>2419</v>
      </c>
      <c r="G1482" s="262" t="s">
        <v>2420</v>
      </c>
      <c r="H1482" s="395"/>
    </row>
    <row r="1483" spans="1:8" ht="14.55" hidden="1" customHeight="1" x14ac:dyDescent="0.3">
      <c r="A1483" s="262" t="s">
        <v>3687</v>
      </c>
      <c r="B1483" s="262" t="s">
        <v>2370</v>
      </c>
      <c r="C1483" s="262" t="s">
        <v>3312</v>
      </c>
      <c r="D1483" s="262" t="s">
        <v>3709</v>
      </c>
      <c r="E1483" s="263">
        <v>4</v>
      </c>
      <c r="F1483" s="262" t="s">
        <v>2389</v>
      </c>
      <c r="G1483" s="262" t="s">
        <v>2408</v>
      </c>
      <c r="H1483" s="395"/>
    </row>
    <row r="1484" spans="1:8" ht="14.55" hidden="1" customHeight="1" x14ac:dyDescent="0.3">
      <c r="A1484" s="262" t="s">
        <v>3687</v>
      </c>
      <c r="B1484" s="262" t="s">
        <v>2380</v>
      </c>
      <c r="C1484" s="262" t="s">
        <v>3312</v>
      </c>
      <c r="D1484" s="262" t="s">
        <v>3710</v>
      </c>
      <c r="E1484" s="263">
        <v>6</v>
      </c>
      <c r="F1484" s="262" t="s">
        <v>2389</v>
      </c>
      <c r="G1484" s="262" t="s">
        <v>2631</v>
      </c>
      <c r="H1484" s="395"/>
    </row>
    <row r="1485" spans="1:8" ht="14.55" hidden="1" customHeight="1" x14ac:dyDescent="0.3">
      <c r="A1485" s="262" t="s">
        <v>3687</v>
      </c>
      <c r="B1485" s="262" t="s">
        <v>2370</v>
      </c>
      <c r="C1485" s="262" t="s">
        <v>3288</v>
      </c>
      <c r="D1485" s="262" t="s">
        <v>2655</v>
      </c>
      <c r="E1485" s="263">
        <v>4</v>
      </c>
      <c r="F1485" s="262" t="s">
        <v>2376</v>
      </c>
      <c r="G1485" s="262" t="s">
        <v>2377</v>
      </c>
      <c r="H1485" s="395"/>
    </row>
    <row r="1486" spans="1:8" ht="14.55" hidden="1" customHeight="1" x14ac:dyDescent="0.3">
      <c r="A1486" s="262" t="s">
        <v>3687</v>
      </c>
      <c r="B1486" s="262" t="s">
        <v>2380</v>
      </c>
      <c r="C1486" s="262" t="s">
        <v>3312</v>
      </c>
      <c r="D1486" s="262" t="s">
        <v>3711</v>
      </c>
      <c r="E1486" s="263">
        <v>4</v>
      </c>
      <c r="F1486" s="262" t="s">
        <v>2379</v>
      </c>
      <c r="G1486" s="262" t="s">
        <v>2463</v>
      </c>
      <c r="H1486" s="395"/>
    </row>
    <row r="1487" spans="1:8" ht="14.55" hidden="1" customHeight="1" x14ac:dyDescent="0.3">
      <c r="A1487" s="262" t="s">
        <v>3687</v>
      </c>
      <c r="B1487" s="262" t="s">
        <v>2370</v>
      </c>
      <c r="C1487" s="262" t="s">
        <v>3288</v>
      </c>
      <c r="D1487" s="262" t="s">
        <v>3712</v>
      </c>
      <c r="E1487" s="263">
        <v>8</v>
      </c>
      <c r="F1487" s="262" t="s">
        <v>2373</v>
      </c>
      <c r="G1487" s="262" t="s">
        <v>2374</v>
      </c>
      <c r="H1487" s="395"/>
    </row>
    <row r="1488" spans="1:8" ht="14.55" hidden="1" customHeight="1" x14ac:dyDescent="0.3">
      <c r="A1488" s="262" t="s">
        <v>3687</v>
      </c>
      <c r="B1488" s="262" t="s">
        <v>2380</v>
      </c>
      <c r="C1488" s="262" t="s">
        <v>3312</v>
      </c>
      <c r="D1488" s="262" t="s">
        <v>2734</v>
      </c>
      <c r="E1488" s="263">
        <v>4</v>
      </c>
      <c r="F1488" s="262" t="s">
        <v>2379</v>
      </c>
      <c r="G1488" s="262" t="s">
        <v>2463</v>
      </c>
      <c r="H1488" s="395"/>
    </row>
    <row r="1489" spans="1:8" ht="14.55" hidden="1" customHeight="1" x14ac:dyDescent="0.3">
      <c r="A1489" s="262" t="s">
        <v>3687</v>
      </c>
      <c r="B1489" s="262" t="s">
        <v>2370</v>
      </c>
      <c r="C1489" s="262" t="s">
        <v>3288</v>
      </c>
      <c r="D1489" s="262" t="s">
        <v>3713</v>
      </c>
      <c r="E1489" s="263">
        <v>8</v>
      </c>
      <c r="F1489" s="262" t="s">
        <v>2419</v>
      </c>
      <c r="G1489" s="262" t="s">
        <v>2420</v>
      </c>
      <c r="H1489" s="395"/>
    </row>
    <row r="1490" spans="1:8" ht="14.55" hidden="1" customHeight="1" x14ac:dyDescent="0.3">
      <c r="A1490" s="262" t="s">
        <v>3687</v>
      </c>
      <c r="B1490" s="262" t="s">
        <v>2380</v>
      </c>
      <c r="C1490" s="262" t="s">
        <v>3312</v>
      </c>
      <c r="D1490" s="262" t="s">
        <v>3714</v>
      </c>
      <c r="E1490" s="263">
        <v>6</v>
      </c>
      <c r="F1490" s="262" t="s">
        <v>2376</v>
      </c>
      <c r="G1490" s="262" t="s">
        <v>3715</v>
      </c>
      <c r="H1490" s="395"/>
    </row>
    <row r="1491" spans="1:8" ht="14.55" hidden="1" customHeight="1" x14ac:dyDescent="0.3">
      <c r="A1491" s="262" t="s">
        <v>3687</v>
      </c>
      <c r="B1491" s="262" t="s">
        <v>2380</v>
      </c>
      <c r="C1491" s="262" t="s">
        <v>3312</v>
      </c>
      <c r="D1491" s="262" t="s">
        <v>3716</v>
      </c>
      <c r="E1491" s="263">
        <v>8</v>
      </c>
      <c r="F1491" s="262" t="s">
        <v>2389</v>
      </c>
      <c r="G1491" s="262" t="s">
        <v>2428</v>
      </c>
      <c r="H1491" s="395"/>
    </row>
    <row r="1492" spans="1:8" ht="14.55" hidden="1" customHeight="1" x14ac:dyDescent="0.3">
      <c r="A1492" s="262" t="s">
        <v>3687</v>
      </c>
      <c r="B1492" s="262" t="s">
        <v>2380</v>
      </c>
      <c r="C1492" s="262" t="s">
        <v>3288</v>
      </c>
      <c r="D1492" s="262" t="s">
        <v>3717</v>
      </c>
      <c r="E1492" s="263">
        <v>8</v>
      </c>
      <c r="F1492" s="262" t="s">
        <v>2419</v>
      </c>
      <c r="G1492" s="262" t="s">
        <v>2700</v>
      </c>
      <c r="H1492" s="395"/>
    </row>
    <row r="1493" spans="1:8" x14ac:dyDescent="0.3">
      <c r="A1493" s="264" t="s">
        <v>3687</v>
      </c>
      <c r="B1493" s="264" t="s">
        <v>2380</v>
      </c>
      <c r="C1493" s="264" t="s">
        <v>3312</v>
      </c>
      <c r="D1493" s="264" t="s">
        <v>3718</v>
      </c>
      <c r="E1493" s="265">
        <v>6</v>
      </c>
      <c r="F1493" s="264" t="s">
        <v>2379</v>
      </c>
      <c r="G1493" s="264" t="s">
        <v>2402</v>
      </c>
      <c r="H1493" s="396"/>
    </row>
    <row r="1494" spans="1:8" ht="14.55" hidden="1" customHeight="1" x14ac:dyDescent="0.3">
      <c r="A1494" s="262" t="s">
        <v>3687</v>
      </c>
      <c r="B1494" s="262" t="s">
        <v>2370</v>
      </c>
      <c r="C1494" s="262" t="s">
        <v>3288</v>
      </c>
      <c r="D1494" s="262" t="s">
        <v>3719</v>
      </c>
      <c r="E1494" s="263">
        <v>6</v>
      </c>
      <c r="F1494" s="262" t="s">
        <v>2419</v>
      </c>
      <c r="G1494" s="262" t="s">
        <v>2488</v>
      </c>
      <c r="H1494" s="395"/>
    </row>
    <row r="1495" spans="1:8" ht="14.55" hidden="1" customHeight="1" x14ac:dyDescent="0.3">
      <c r="A1495" s="262" t="s">
        <v>3687</v>
      </c>
      <c r="B1495" s="262" t="s">
        <v>2370</v>
      </c>
      <c r="C1495" s="262" t="s">
        <v>3288</v>
      </c>
      <c r="D1495" s="262" t="s">
        <v>3720</v>
      </c>
      <c r="E1495" s="263">
        <v>8</v>
      </c>
      <c r="F1495" s="262" t="s">
        <v>2373</v>
      </c>
      <c r="G1495" s="262" t="s">
        <v>3022</v>
      </c>
      <c r="H1495" s="395"/>
    </row>
    <row r="1496" spans="1:8" ht="14.55" hidden="1" customHeight="1" x14ac:dyDescent="0.3">
      <c r="A1496" s="262" t="s">
        <v>3687</v>
      </c>
      <c r="B1496" s="262" t="s">
        <v>2370</v>
      </c>
      <c r="C1496" s="262" t="s">
        <v>3288</v>
      </c>
      <c r="D1496" s="262" t="s">
        <v>3721</v>
      </c>
      <c r="E1496" s="263">
        <v>8</v>
      </c>
      <c r="F1496" s="262" t="s">
        <v>2376</v>
      </c>
      <c r="G1496" s="262" t="s">
        <v>2377</v>
      </c>
      <c r="H1496" s="395"/>
    </row>
    <row r="1497" spans="1:8" ht="14.55" hidden="1" customHeight="1" x14ac:dyDescent="0.3">
      <c r="A1497" s="262" t="s">
        <v>3687</v>
      </c>
      <c r="B1497" s="262" t="s">
        <v>2370</v>
      </c>
      <c r="C1497" s="262" t="s">
        <v>3288</v>
      </c>
      <c r="D1497" s="262" t="s">
        <v>3722</v>
      </c>
      <c r="E1497" s="263">
        <v>5</v>
      </c>
      <c r="F1497" s="262" t="s">
        <v>2376</v>
      </c>
      <c r="G1497" s="262" t="s">
        <v>2406</v>
      </c>
      <c r="H1497" s="395"/>
    </row>
    <row r="1498" spans="1:8" ht="14.55" hidden="1" customHeight="1" x14ac:dyDescent="0.3">
      <c r="A1498" s="262" t="s">
        <v>3687</v>
      </c>
      <c r="B1498" s="262" t="s">
        <v>2370</v>
      </c>
      <c r="C1498" s="262" t="s">
        <v>3288</v>
      </c>
      <c r="D1498" s="262" t="s">
        <v>3210</v>
      </c>
      <c r="E1498" s="263">
        <v>4</v>
      </c>
      <c r="F1498" s="262" t="s">
        <v>2389</v>
      </c>
      <c r="G1498" s="262" t="s">
        <v>2428</v>
      </c>
      <c r="H1498" s="395"/>
    </row>
    <row r="1499" spans="1:8" ht="14.55" hidden="1" customHeight="1" x14ac:dyDescent="0.3">
      <c r="A1499" s="262" t="s">
        <v>3687</v>
      </c>
      <c r="B1499" s="262" t="s">
        <v>2380</v>
      </c>
      <c r="C1499" s="262" t="s">
        <v>3312</v>
      </c>
      <c r="D1499" s="262" t="s">
        <v>3723</v>
      </c>
      <c r="E1499" s="263">
        <v>6</v>
      </c>
      <c r="F1499" s="262" t="s">
        <v>2419</v>
      </c>
      <c r="G1499" s="262" t="s">
        <v>2488</v>
      </c>
      <c r="H1499" s="395"/>
    </row>
    <row r="1500" spans="1:8" ht="14.55" hidden="1" customHeight="1" x14ac:dyDescent="0.3">
      <c r="A1500" s="262" t="s">
        <v>3687</v>
      </c>
      <c r="B1500" s="262" t="s">
        <v>2380</v>
      </c>
      <c r="C1500" s="262" t="s">
        <v>3312</v>
      </c>
      <c r="D1500" s="262" t="s">
        <v>3724</v>
      </c>
      <c r="E1500" s="263">
        <v>8</v>
      </c>
      <c r="F1500" s="262" t="s">
        <v>2419</v>
      </c>
      <c r="G1500" s="262" t="s">
        <v>2857</v>
      </c>
      <c r="H1500" s="395"/>
    </row>
    <row r="1501" spans="1:8" ht="14.55" hidden="1" customHeight="1" x14ac:dyDescent="0.3">
      <c r="A1501" s="262" t="s">
        <v>3687</v>
      </c>
      <c r="B1501" s="262" t="s">
        <v>2380</v>
      </c>
      <c r="C1501" s="262" t="s">
        <v>3312</v>
      </c>
      <c r="D1501" s="262" t="s">
        <v>3725</v>
      </c>
      <c r="E1501" s="263">
        <v>8</v>
      </c>
      <c r="F1501" s="262" t="s">
        <v>2389</v>
      </c>
      <c r="G1501" s="262" t="s">
        <v>2673</v>
      </c>
      <c r="H1501" s="395"/>
    </row>
    <row r="1502" spans="1:8" ht="14.55" hidden="1" customHeight="1" x14ac:dyDescent="0.3">
      <c r="A1502" s="262" t="s">
        <v>3687</v>
      </c>
      <c r="B1502" s="262" t="s">
        <v>2380</v>
      </c>
      <c r="C1502" s="262" t="s">
        <v>3288</v>
      </c>
      <c r="D1502" s="262" t="s">
        <v>3726</v>
      </c>
      <c r="E1502" s="263">
        <v>6</v>
      </c>
      <c r="F1502" s="262" t="s">
        <v>2373</v>
      </c>
      <c r="G1502" s="262" t="s">
        <v>2453</v>
      </c>
      <c r="H1502" s="395"/>
    </row>
    <row r="1503" spans="1:8" ht="14.55" hidden="1" customHeight="1" x14ac:dyDescent="0.3">
      <c r="A1503" s="262" t="s">
        <v>3687</v>
      </c>
      <c r="B1503" s="262" t="s">
        <v>2370</v>
      </c>
      <c r="C1503" s="262" t="s">
        <v>3312</v>
      </c>
      <c r="D1503" s="262" t="s">
        <v>2517</v>
      </c>
      <c r="E1503" s="263">
        <v>4</v>
      </c>
      <c r="F1503" s="262" t="s">
        <v>2379</v>
      </c>
      <c r="G1503" s="262" t="s">
        <v>2463</v>
      </c>
      <c r="H1503" s="395"/>
    </row>
    <row r="1504" spans="1:8" ht="14.55" hidden="1" customHeight="1" x14ac:dyDescent="0.3">
      <c r="A1504" s="262" t="s">
        <v>3687</v>
      </c>
      <c r="B1504" s="262" t="s">
        <v>2370</v>
      </c>
      <c r="C1504" s="262" t="s">
        <v>3288</v>
      </c>
      <c r="D1504" s="262" t="s">
        <v>3727</v>
      </c>
      <c r="E1504" s="263">
        <v>8</v>
      </c>
      <c r="F1504" s="262" t="s">
        <v>2389</v>
      </c>
      <c r="G1504" s="262" t="s">
        <v>2408</v>
      </c>
      <c r="H1504" s="395"/>
    </row>
    <row r="1505" spans="1:8" ht="14.55" hidden="1" customHeight="1" x14ac:dyDescent="0.3">
      <c r="A1505" s="262" t="s">
        <v>3687</v>
      </c>
      <c r="B1505" s="262" t="s">
        <v>2380</v>
      </c>
      <c r="C1505" s="262" t="s">
        <v>3312</v>
      </c>
      <c r="D1505" s="262" t="s">
        <v>3728</v>
      </c>
      <c r="E1505" s="263">
        <v>4</v>
      </c>
      <c r="F1505" s="262" t="s">
        <v>2379</v>
      </c>
      <c r="G1505" s="262" t="s">
        <v>2544</v>
      </c>
      <c r="H1505" s="395"/>
    </row>
    <row r="1506" spans="1:8" x14ac:dyDescent="0.3">
      <c r="A1506" s="264" t="s">
        <v>3687</v>
      </c>
      <c r="B1506" s="264" t="s">
        <v>2380</v>
      </c>
      <c r="C1506" s="264" t="s">
        <v>3312</v>
      </c>
      <c r="D1506" s="264" t="s">
        <v>3729</v>
      </c>
      <c r="E1506" s="265">
        <v>4</v>
      </c>
      <c r="F1506" s="264" t="s">
        <v>2379</v>
      </c>
      <c r="G1506" s="264" t="s">
        <v>2402</v>
      </c>
      <c r="H1506" s="396"/>
    </row>
    <row r="1507" spans="1:8" ht="14.55" hidden="1" customHeight="1" x14ac:dyDescent="0.3">
      <c r="A1507" s="262" t="s">
        <v>3687</v>
      </c>
      <c r="B1507" s="262" t="s">
        <v>2370</v>
      </c>
      <c r="C1507" s="262" t="s">
        <v>3288</v>
      </c>
      <c r="D1507" s="262" t="s">
        <v>3730</v>
      </c>
      <c r="E1507" s="263">
        <v>4</v>
      </c>
      <c r="F1507" s="262" t="s">
        <v>2389</v>
      </c>
      <c r="G1507" s="262" t="s">
        <v>2631</v>
      </c>
      <c r="H1507" s="395"/>
    </row>
    <row r="1508" spans="1:8" ht="14.55" hidden="1" customHeight="1" x14ac:dyDescent="0.3">
      <c r="A1508" s="262" t="s">
        <v>3687</v>
      </c>
      <c r="B1508" s="262" t="s">
        <v>2380</v>
      </c>
      <c r="C1508" s="262" t="s">
        <v>3312</v>
      </c>
      <c r="D1508" s="262" t="s">
        <v>3731</v>
      </c>
      <c r="E1508" s="263">
        <v>4</v>
      </c>
      <c r="F1508" s="262" t="s">
        <v>2373</v>
      </c>
      <c r="G1508" s="262" t="s">
        <v>2374</v>
      </c>
      <c r="H1508" s="395"/>
    </row>
    <row r="1509" spans="1:8" ht="14.55" hidden="1" customHeight="1" x14ac:dyDescent="0.3">
      <c r="A1509" s="262" t="s">
        <v>3687</v>
      </c>
      <c r="B1509" s="262" t="s">
        <v>2370</v>
      </c>
      <c r="C1509" s="262" t="s">
        <v>3288</v>
      </c>
      <c r="D1509" s="262" t="s">
        <v>3732</v>
      </c>
      <c r="E1509" s="263">
        <v>6</v>
      </c>
      <c r="F1509" s="262" t="s">
        <v>2419</v>
      </c>
      <c r="G1509" s="262" t="s">
        <v>2420</v>
      </c>
      <c r="H1509" s="395"/>
    </row>
    <row r="1510" spans="1:8" ht="14.55" hidden="1" customHeight="1" x14ac:dyDescent="0.3">
      <c r="A1510" s="262" t="s">
        <v>3687</v>
      </c>
      <c r="B1510" s="262" t="s">
        <v>2380</v>
      </c>
      <c r="C1510" s="262" t="s">
        <v>3312</v>
      </c>
      <c r="D1510" s="262" t="s">
        <v>2835</v>
      </c>
      <c r="E1510" s="263">
        <v>4</v>
      </c>
      <c r="F1510" s="262" t="s">
        <v>2379</v>
      </c>
      <c r="G1510" s="262" t="s">
        <v>2463</v>
      </c>
      <c r="H1510" s="395"/>
    </row>
    <row r="1511" spans="1:8" ht="14.55" hidden="1" customHeight="1" x14ac:dyDescent="0.3">
      <c r="A1511" s="262" t="s">
        <v>3687</v>
      </c>
      <c r="B1511" s="262" t="s">
        <v>2370</v>
      </c>
      <c r="C1511" s="262" t="s">
        <v>3288</v>
      </c>
      <c r="D1511" s="262" t="s">
        <v>3733</v>
      </c>
      <c r="E1511" s="263">
        <v>6</v>
      </c>
      <c r="F1511" s="262" t="s">
        <v>2419</v>
      </c>
      <c r="G1511" s="262" t="s">
        <v>2488</v>
      </c>
      <c r="H1511" s="395"/>
    </row>
    <row r="1512" spans="1:8" ht="14.55" hidden="1" customHeight="1" x14ac:dyDescent="0.3">
      <c r="A1512" s="262" t="s">
        <v>3687</v>
      </c>
      <c r="B1512" s="262" t="s">
        <v>2370</v>
      </c>
      <c r="C1512" s="262" t="s">
        <v>3312</v>
      </c>
      <c r="D1512" s="262" t="s">
        <v>3734</v>
      </c>
      <c r="E1512" s="263">
        <v>6</v>
      </c>
      <c r="F1512" s="262" t="s">
        <v>2389</v>
      </c>
      <c r="G1512" s="262" t="s">
        <v>2428</v>
      </c>
      <c r="H1512" s="395"/>
    </row>
    <row r="1513" spans="1:8" ht="14.55" hidden="1" customHeight="1" x14ac:dyDescent="0.3">
      <c r="A1513" s="262" t="s">
        <v>3687</v>
      </c>
      <c r="B1513" s="262" t="s">
        <v>2380</v>
      </c>
      <c r="C1513" s="262" t="s">
        <v>3312</v>
      </c>
      <c r="D1513" s="262" t="s">
        <v>3735</v>
      </c>
      <c r="E1513" s="263">
        <v>5</v>
      </c>
      <c r="F1513" s="262" t="s">
        <v>2389</v>
      </c>
      <c r="G1513" s="262" t="s">
        <v>2739</v>
      </c>
      <c r="H1513" s="395"/>
    </row>
    <row r="1514" spans="1:8" ht="14.55" hidden="1" customHeight="1" x14ac:dyDescent="0.3">
      <c r="A1514" s="262" t="s">
        <v>3687</v>
      </c>
      <c r="B1514" s="262" t="s">
        <v>2380</v>
      </c>
      <c r="C1514" s="262" t="s">
        <v>3312</v>
      </c>
      <c r="D1514" s="262" t="s">
        <v>3736</v>
      </c>
      <c r="E1514" s="263">
        <v>8</v>
      </c>
      <c r="F1514" s="262" t="s">
        <v>2379</v>
      </c>
      <c r="G1514" s="262" t="s">
        <v>2463</v>
      </c>
      <c r="H1514" s="395"/>
    </row>
    <row r="1515" spans="1:8" ht="14.55" hidden="1" customHeight="1" x14ac:dyDescent="0.3">
      <c r="A1515" s="262" t="s">
        <v>3687</v>
      </c>
      <c r="B1515" s="262" t="s">
        <v>2380</v>
      </c>
      <c r="C1515" s="262" t="s">
        <v>3312</v>
      </c>
      <c r="D1515" s="262" t="s">
        <v>2662</v>
      </c>
      <c r="E1515" s="263">
        <v>4</v>
      </c>
      <c r="F1515" s="262" t="s">
        <v>2373</v>
      </c>
      <c r="G1515" s="262" t="s">
        <v>2374</v>
      </c>
      <c r="H1515" s="395"/>
    </row>
    <row r="1516" spans="1:8" ht="14.55" hidden="1" customHeight="1" x14ac:dyDescent="0.3">
      <c r="A1516" s="262" t="s">
        <v>3687</v>
      </c>
      <c r="B1516" s="262" t="s">
        <v>2370</v>
      </c>
      <c r="C1516" s="262" t="s">
        <v>3288</v>
      </c>
      <c r="D1516" s="262" t="s">
        <v>3737</v>
      </c>
      <c r="E1516" s="263">
        <v>6</v>
      </c>
      <c r="F1516" s="262" t="s">
        <v>2376</v>
      </c>
      <c r="G1516" s="262" t="s">
        <v>2406</v>
      </c>
      <c r="H1516" s="395"/>
    </row>
    <row r="1517" spans="1:8" ht="14.55" hidden="1" customHeight="1" x14ac:dyDescent="0.3">
      <c r="A1517" s="262" t="s">
        <v>3687</v>
      </c>
      <c r="B1517" s="262" t="s">
        <v>2370</v>
      </c>
      <c r="C1517" s="262" t="s">
        <v>3288</v>
      </c>
      <c r="D1517" s="262" t="s">
        <v>3738</v>
      </c>
      <c r="E1517" s="263">
        <v>6</v>
      </c>
      <c r="F1517" s="262" t="s">
        <v>2389</v>
      </c>
      <c r="G1517" s="262" t="s">
        <v>2408</v>
      </c>
      <c r="H1517" s="395"/>
    </row>
    <row r="1518" spans="1:8" ht="14.55" hidden="1" customHeight="1" x14ac:dyDescent="0.3">
      <c r="A1518" s="262" t="s">
        <v>3687</v>
      </c>
      <c r="B1518" s="262" t="s">
        <v>2380</v>
      </c>
      <c r="C1518" s="262" t="s">
        <v>3288</v>
      </c>
      <c r="D1518" s="262" t="s">
        <v>3143</v>
      </c>
      <c r="E1518" s="263">
        <v>4</v>
      </c>
      <c r="F1518" s="262" t="s">
        <v>2389</v>
      </c>
      <c r="G1518" s="262" t="s">
        <v>2428</v>
      </c>
      <c r="H1518" s="395"/>
    </row>
    <row r="1519" spans="1:8" ht="14.55" hidden="1" customHeight="1" x14ac:dyDescent="0.3">
      <c r="A1519" s="262" t="s">
        <v>3687</v>
      </c>
      <c r="B1519" s="262" t="s">
        <v>2380</v>
      </c>
      <c r="C1519" s="262" t="s">
        <v>3312</v>
      </c>
      <c r="D1519" s="262" t="s">
        <v>3739</v>
      </c>
      <c r="E1519" s="263">
        <v>8</v>
      </c>
      <c r="F1519" s="262" t="s">
        <v>2376</v>
      </c>
      <c r="G1519" s="262" t="s">
        <v>2406</v>
      </c>
      <c r="H1519" s="395"/>
    </row>
    <row r="1520" spans="1:8" ht="14.55" hidden="1" customHeight="1" x14ac:dyDescent="0.3">
      <c r="A1520" s="262" t="s">
        <v>3687</v>
      </c>
      <c r="B1520" s="262" t="s">
        <v>2380</v>
      </c>
      <c r="C1520" s="262" t="s">
        <v>3288</v>
      </c>
      <c r="D1520" s="262" t="s">
        <v>3740</v>
      </c>
      <c r="E1520" s="263">
        <v>4</v>
      </c>
      <c r="F1520" s="262" t="s">
        <v>2419</v>
      </c>
      <c r="G1520" s="262" t="s">
        <v>2480</v>
      </c>
      <c r="H1520" s="395"/>
    </row>
    <row r="1521" spans="1:8" ht="14.55" hidden="1" customHeight="1" x14ac:dyDescent="0.3">
      <c r="A1521" s="262" t="s">
        <v>3687</v>
      </c>
      <c r="B1521" s="262" t="s">
        <v>2380</v>
      </c>
      <c r="C1521" s="262" t="s">
        <v>3288</v>
      </c>
      <c r="D1521" s="262" t="s">
        <v>3282</v>
      </c>
      <c r="E1521" s="263">
        <v>6</v>
      </c>
      <c r="F1521" s="262" t="s">
        <v>2389</v>
      </c>
      <c r="G1521" s="262" t="s">
        <v>2428</v>
      </c>
      <c r="H1521" s="395"/>
    </row>
    <row r="1522" spans="1:8" ht="14.55" hidden="1" customHeight="1" x14ac:dyDescent="0.3">
      <c r="A1522" s="262" t="s">
        <v>3687</v>
      </c>
      <c r="B1522" s="262" t="s">
        <v>2380</v>
      </c>
      <c r="C1522" s="262" t="s">
        <v>3312</v>
      </c>
      <c r="D1522" s="262" t="s">
        <v>3741</v>
      </c>
      <c r="E1522" s="263">
        <v>6</v>
      </c>
      <c r="F1522" s="262" t="s">
        <v>2389</v>
      </c>
      <c r="G1522" s="262" t="s">
        <v>2408</v>
      </c>
      <c r="H1522" s="395"/>
    </row>
    <row r="1523" spans="1:8" ht="14.55" hidden="1" customHeight="1" x14ac:dyDescent="0.3">
      <c r="A1523" s="262" t="s">
        <v>3687</v>
      </c>
      <c r="B1523" s="262" t="s">
        <v>2370</v>
      </c>
      <c r="C1523" s="262" t="s">
        <v>3288</v>
      </c>
      <c r="D1523" s="262" t="s">
        <v>3742</v>
      </c>
      <c r="E1523" s="263">
        <v>6</v>
      </c>
      <c r="F1523" s="262" t="s">
        <v>2379</v>
      </c>
      <c r="G1523" s="262" t="s">
        <v>2383</v>
      </c>
      <c r="H1523" s="395"/>
    </row>
    <row r="1524" spans="1:8" x14ac:dyDescent="0.3">
      <c r="A1524" s="264" t="s">
        <v>3687</v>
      </c>
      <c r="B1524" s="264" t="s">
        <v>2380</v>
      </c>
      <c r="C1524" s="264" t="s">
        <v>3312</v>
      </c>
      <c r="D1524" s="264" t="s">
        <v>3743</v>
      </c>
      <c r="E1524" s="265">
        <v>6</v>
      </c>
      <c r="F1524" s="264" t="s">
        <v>2379</v>
      </c>
      <c r="G1524" s="264" t="s">
        <v>2402</v>
      </c>
      <c r="H1524" s="396"/>
    </row>
    <row r="1525" spans="1:8" ht="14.55" hidden="1" customHeight="1" x14ac:dyDescent="0.3">
      <c r="A1525" s="262" t="s">
        <v>3687</v>
      </c>
      <c r="B1525" s="262" t="s">
        <v>2380</v>
      </c>
      <c r="C1525" s="262" t="s">
        <v>3288</v>
      </c>
      <c r="D1525" s="262" t="s">
        <v>2679</v>
      </c>
      <c r="E1525" s="263">
        <v>4</v>
      </c>
      <c r="F1525" s="262" t="s">
        <v>2419</v>
      </c>
      <c r="G1525" s="262" t="s">
        <v>2420</v>
      </c>
      <c r="H1525" s="395"/>
    </row>
    <row r="1526" spans="1:8" ht="14.55" hidden="1" customHeight="1" x14ac:dyDescent="0.3">
      <c r="A1526" s="262" t="s">
        <v>3687</v>
      </c>
      <c r="B1526" s="262" t="s">
        <v>2380</v>
      </c>
      <c r="C1526" s="262" t="s">
        <v>3288</v>
      </c>
      <c r="D1526" s="262" t="s">
        <v>3744</v>
      </c>
      <c r="E1526" s="263">
        <v>8</v>
      </c>
      <c r="F1526" s="262" t="s">
        <v>2389</v>
      </c>
      <c r="G1526" s="262" t="s">
        <v>2631</v>
      </c>
      <c r="H1526" s="395"/>
    </row>
    <row r="1527" spans="1:8" ht="14.55" hidden="1" customHeight="1" x14ac:dyDescent="0.3">
      <c r="A1527" s="262" t="s">
        <v>3687</v>
      </c>
      <c r="B1527" s="262" t="s">
        <v>2380</v>
      </c>
      <c r="C1527" s="262" t="s">
        <v>3312</v>
      </c>
      <c r="D1527" s="262" t="s">
        <v>3745</v>
      </c>
      <c r="E1527" s="263">
        <v>8</v>
      </c>
      <c r="F1527" s="262" t="s">
        <v>2389</v>
      </c>
      <c r="G1527" s="262" t="s">
        <v>2428</v>
      </c>
      <c r="H1527" s="395"/>
    </row>
    <row r="1528" spans="1:8" ht="14.55" hidden="1" customHeight="1" x14ac:dyDescent="0.3">
      <c r="A1528" s="262" t="s">
        <v>3687</v>
      </c>
      <c r="B1528" s="262" t="s">
        <v>2380</v>
      </c>
      <c r="C1528" s="262" t="s">
        <v>3312</v>
      </c>
      <c r="D1528" s="262" t="s">
        <v>3746</v>
      </c>
      <c r="E1528" s="263">
        <v>8</v>
      </c>
      <c r="F1528" s="262" t="s">
        <v>2389</v>
      </c>
      <c r="G1528" s="262" t="s">
        <v>2408</v>
      </c>
      <c r="H1528" s="395"/>
    </row>
    <row r="1529" spans="1:8" ht="14.55" hidden="1" customHeight="1" x14ac:dyDescent="0.3">
      <c r="A1529" s="262" t="s">
        <v>3687</v>
      </c>
      <c r="B1529" s="262" t="s">
        <v>2380</v>
      </c>
      <c r="C1529" s="262" t="s">
        <v>3312</v>
      </c>
      <c r="D1529" s="262" t="s">
        <v>3747</v>
      </c>
      <c r="E1529" s="263">
        <v>9</v>
      </c>
      <c r="F1529" s="262" t="s">
        <v>2376</v>
      </c>
      <c r="G1529" s="262" t="s">
        <v>3689</v>
      </c>
      <c r="H1529" s="395"/>
    </row>
    <row r="1530" spans="1:8" ht="14.55" hidden="1" customHeight="1" x14ac:dyDescent="0.3">
      <c r="A1530" s="262" t="s">
        <v>3687</v>
      </c>
      <c r="B1530" s="262" t="s">
        <v>2370</v>
      </c>
      <c r="C1530" s="262" t="s">
        <v>3288</v>
      </c>
      <c r="D1530" s="262" t="s">
        <v>3748</v>
      </c>
      <c r="E1530" s="263">
        <v>4</v>
      </c>
      <c r="F1530" s="262" t="s">
        <v>2389</v>
      </c>
      <c r="G1530" s="262" t="s">
        <v>2408</v>
      </c>
      <c r="H1530" s="395"/>
    </row>
    <row r="1531" spans="1:8" ht="14.55" hidden="1" customHeight="1" x14ac:dyDescent="0.3">
      <c r="A1531" s="262" t="s">
        <v>3687</v>
      </c>
      <c r="B1531" s="262" t="s">
        <v>2380</v>
      </c>
      <c r="C1531" s="262" t="s">
        <v>3288</v>
      </c>
      <c r="D1531" s="262" t="s">
        <v>3749</v>
      </c>
      <c r="E1531" s="263">
        <v>4</v>
      </c>
      <c r="F1531" s="262" t="s">
        <v>2389</v>
      </c>
      <c r="G1531" s="262" t="s">
        <v>2631</v>
      </c>
      <c r="H1531" s="395"/>
    </row>
    <row r="1532" spans="1:8" ht="14.55" hidden="1" customHeight="1" x14ac:dyDescent="0.3">
      <c r="A1532" s="262" t="s">
        <v>3687</v>
      </c>
      <c r="B1532" s="262" t="s">
        <v>2380</v>
      </c>
      <c r="C1532" s="262" t="s">
        <v>3288</v>
      </c>
      <c r="D1532" s="262" t="s">
        <v>3750</v>
      </c>
      <c r="E1532" s="263">
        <v>8</v>
      </c>
      <c r="F1532" s="262" t="s">
        <v>2373</v>
      </c>
      <c r="G1532" s="262" t="s">
        <v>2392</v>
      </c>
      <c r="H1532" s="395"/>
    </row>
    <row r="1533" spans="1:8" ht="14.55" hidden="1" customHeight="1" x14ac:dyDescent="0.3">
      <c r="A1533" s="262" t="s">
        <v>3751</v>
      </c>
      <c r="B1533" s="262" t="s">
        <v>2380</v>
      </c>
      <c r="C1533" s="262" t="s">
        <v>3312</v>
      </c>
      <c r="D1533" s="262" t="s">
        <v>3752</v>
      </c>
      <c r="E1533" s="263">
        <v>8</v>
      </c>
      <c r="F1533" s="262" t="s">
        <v>2419</v>
      </c>
      <c r="G1533" s="262" t="s">
        <v>2432</v>
      </c>
      <c r="H1533" s="395"/>
    </row>
    <row r="1534" spans="1:8" x14ac:dyDescent="0.3">
      <c r="A1534" s="264" t="s">
        <v>3751</v>
      </c>
      <c r="B1534" s="264" t="s">
        <v>2380</v>
      </c>
      <c r="C1534" s="264" t="s">
        <v>3312</v>
      </c>
      <c r="D1534" s="264" t="s">
        <v>3753</v>
      </c>
      <c r="E1534" s="265">
        <v>7</v>
      </c>
      <c r="F1534" s="264" t="s">
        <v>2379</v>
      </c>
      <c r="G1534" s="264" t="s">
        <v>2402</v>
      </c>
      <c r="H1534" s="396"/>
    </row>
    <row r="1535" spans="1:8" ht="14.55" hidden="1" customHeight="1" x14ac:dyDescent="0.3">
      <c r="A1535" s="262" t="s">
        <v>3751</v>
      </c>
      <c r="B1535" s="262" t="s">
        <v>2370</v>
      </c>
      <c r="C1535" s="262" t="s">
        <v>3312</v>
      </c>
      <c r="D1535" s="262" t="s">
        <v>2839</v>
      </c>
      <c r="E1535" s="263">
        <v>4</v>
      </c>
      <c r="F1535" s="262" t="s">
        <v>2373</v>
      </c>
      <c r="G1535" s="262" t="s">
        <v>2374</v>
      </c>
      <c r="H1535" s="395"/>
    </row>
    <row r="1536" spans="1:8" ht="14.55" hidden="1" customHeight="1" x14ac:dyDescent="0.3">
      <c r="A1536" s="262" t="s">
        <v>3751</v>
      </c>
      <c r="B1536" s="262" t="s">
        <v>2370</v>
      </c>
      <c r="C1536" s="262" t="s">
        <v>3312</v>
      </c>
      <c r="D1536" s="262" t="s">
        <v>3754</v>
      </c>
      <c r="E1536" s="263">
        <v>4</v>
      </c>
      <c r="F1536" s="262" t="s">
        <v>2376</v>
      </c>
      <c r="G1536" s="262" t="s">
        <v>2406</v>
      </c>
      <c r="H1536" s="395"/>
    </row>
    <row r="1537" spans="1:8" ht="14.55" hidden="1" customHeight="1" x14ac:dyDescent="0.3">
      <c r="A1537" s="262" t="s">
        <v>3751</v>
      </c>
      <c r="B1537" s="262" t="s">
        <v>2380</v>
      </c>
      <c r="C1537" s="262" t="s">
        <v>3288</v>
      </c>
      <c r="D1537" s="262" t="s">
        <v>3755</v>
      </c>
      <c r="E1537" s="263">
        <v>6</v>
      </c>
      <c r="F1537" s="262" t="s">
        <v>2376</v>
      </c>
      <c r="G1537" s="262" t="s">
        <v>3689</v>
      </c>
      <c r="H1537" s="395"/>
    </row>
    <row r="1538" spans="1:8" ht="14.55" hidden="1" customHeight="1" x14ac:dyDescent="0.3">
      <c r="A1538" s="262" t="s">
        <v>3751</v>
      </c>
      <c r="B1538" s="262" t="s">
        <v>2370</v>
      </c>
      <c r="C1538" s="262" t="s">
        <v>3312</v>
      </c>
      <c r="D1538" s="262" t="s">
        <v>2640</v>
      </c>
      <c r="E1538" s="263">
        <v>3</v>
      </c>
      <c r="F1538" s="262" t="s">
        <v>2389</v>
      </c>
      <c r="G1538" s="262" t="s">
        <v>2408</v>
      </c>
      <c r="H1538" s="395"/>
    </row>
    <row r="1539" spans="1:8" ht="14.55" hidden="1" customHeight="1" x14ac:dyDescent="0.3">
      <c r="A1539" s="262" t="s">
        <v>3751</v>
      </c>
      <c r="B1539" s="262" t="s">
        <v>2380</v>
      </c>
      <c r="C1539" s="262" t="s">
        <v>3312</v>
      </c>
      <c r="D1539" s="262" t="s">
        <v>3756</v>
      </c>
      <c r="E1539" s="263">
        <v>6</v>
      </c>
      <c r="F1539" s="262" t="s">
        <v>2373</v>
      </c>
      <c r="G1539" s="262" t="s">
        <v>2392</v>
      </c>
      <c r="H1539" s="395"/>
    </row>
    <row r="1540" spans="1:8" ht="14.55" hidden="1" customHeight="1" x14ac:dyDescent="0.3">
      <c r="A1540" s="262" t="s">
        <v>3751</v>
      </c>
      <c r="B1540" s="262" t="s">
        <v>2380</v>
      </c>
      <c r="C1540" s="262" t="s">
        <v>3312</v>
      </c>
      <c r="D1540" s="262" t="s">
        <v>3757</v>
      </c>
      <c r="E1540" s="263">
        <v>8</v>
      </c>
      <c r="F1540" s="262" t="s">
        <v>2419</v>
      </c>
      <c r="G1540" s="262" t="s">
        <v>2488</v>
      </c>
      <c r="H1540" s="395"/>
    </row>
    <row r="1541" spans="1:8" ht="14.55" hidden="1" customHeight="1" x14ac:dyDescent="0.3">
      <c r="A1541" s="262" t="s">
        <v>3751</v>
      </c>
      <c r="B1541" s="262" t="s">
        <v>2370</v>
      </c>
      <c r="C1541" s="262" t="s">
        <v>3288</v>
      </c>
      <c r="D1541" s="262" t="s">
        <v>3758</v>
      </c>
      <c r="E1541" s="263">
        <v>8</v>
      </c>
      <c r="F1541" s="262" t="s">
        <v>2419</v>
      </c>
      <c r="G1541" s="262" t="s">
        <v>2488</v>
      </c>
      <c r="H1541" s="395"/>
    </row>
    <row r="1542" spans="1:8" ht="14.55" hidden="1" customHeight="1" x14ac:dyDescent="0.3">
      <c r="A1542" s="262" t="s">
        <v>3751</v>
      </c>
      <c r="B1542" s="262" t="s">
        <v>2380</v>
      </c>
      <c r="C1542" s="262" t="s">
        <v>3312</v>
      </c>
      <c r="D1542" s="262" t="s">
        <v>3759</v>
      </c>
      <c r="E1542" s="263">
        <v>4</v>
      </c>
      <c r="F1542" s="262" t="s">
        <v>2389</v>
      </c>
      <c r="G1542" s="262" t="s">
        <v>2408</v>
      </c>
      <c r="H1542" s="395"/>
    </row>
    <row r="1543" spans="1:8" ht="14.55" hidden="1" customHeight="1" x14ac:dyDescent="0.3">
      <c r="A1543" s="262" t="s">
        <v>3751</v>
      </c>
      <c r="B1543" s="262" t="s">
        <v>2370</v>
      </c>
      <c r="C1543" s="262" t="s">
        <v>3288</v>
      </c>
      <c r="D1543" s="262" t="s">
        <v>3760</v>
      </c>
      <c r="E1543" s="263">
        <v>5</v>
      </c>
      <c r="F1543" s="262" t="s">
        <v>2376</v>
      </c>
      <c r="G1543" s="262" t="s">
        <v>2394</v>
      </c>
      <c r="H1543" s="395"/>
    </row>
    <row r="1544" spans="1:8" ht="14.55" hidden="1" customHeight="1" x14ac:dyDescent="0.3">
      <c r="A1544" s="262" t="s">
        <v>3751</v>
      </c>
      <c r="B1544" s="262" t="s">
        <v>2380</v>
      </c>
      <c r="C1544" s="262" t="s">
        <v>3312</v>
      </c>
      <c r="D1544" s="262" t="s">
        <v>3761</v>
      </c>
      <c r="E1544" s="263">
        <v>4</v>
      </c>
      <c r="F1544" s="262" t="s">
        <v>2389</v>
      </c>
      <c r="G1544" s="262" t="s">
        <v>2408</v>
      </c>
      <c r="H1544" s="395"/>
    </row>
    <row r="1545" spans="1:8" ht="14.55" hidden="1" customHeight="1" x14ac:dyDescent="0.3">
      <c r="A1545" s="262" t="s">
        <v>3751</v>
      </c>
      <c r="B1545" s="262" t="s">
        <v>2380</v>
      </c>
      <c r="C1545" s="262" t="s">
        <v>3312</v>
      </c>
      <c r="D1545" s="262" t="s">
        <v>3762</v>
      </c>
      <c r="E1545" s="263">
        <v>4</v>
      </c>
      <c r="F1545" s="262" t="s">
        <v>2389</v>
      </c>
      <c r="G1545" s="262" t="s">
        <v>2428</v>
      </c>
      <c r="H1545" s="395"/>
    </row>
    <row r="1546" spans="1:8" ht="14.55" hidden="1" customHeight="1" x14ac:dyDescent="0.3">
      <c r="A1546" s="262" t="s">
        <v>3751</v>
      </c>
      <c r="B1546" s="262" t="s">
        <v>2380</v>
      </c>
      <c r="C1546" s="262" t="s">
        <v>3312</v>
      </c>
      <c r="D1546" s="262" t="s">
        <v>3763</v>
      </c>
      <c r="E1546" s="263">
        <v>6</v>
      </c>
      <c r="F1546" s="262" t="s">
        <v>2419</v>
      </c>
      <c r="G1546" s="262" t="s">
        <v>2605</v>
      </c>
      <c r="H1546" s="395"/>
    </row>
    <row r="1547" spans="1:8" ht="14.55" hidden="1" customHeight="1" x14ac:dyDescent="0.3">
      <c r="A1547" s="262" t="s">
        <v>3751</v>
      </c>
      <c r="B1547" s="262" t="s">
        <v>2370</v>
      </c>
      <c r="C1547" s="262" t="s">
        <v>3288</v>
      </c>
      <c r="D1547" s="262" t="s">
        <v>3764</v>
      </c>
      <c r="E1547" s="263">
        <v>6</v>
      </c>
      <c r="F1547" s="262" t="s">
        <v>2376</v>
      </c>
      <c r="G1547" s="262" t="s">
        <v>2377</v>
      </c>
      <c r="H1547" s="395"/>
    </row>
    <row r="1548" spans="1:8" ht="14.55" hidden="1" customHeight="1" x14ac:dyDescent="0.3">
      <c r="A1548" s="262" t="s">
        <v>3751</v>
      </c>
      <c r="B1548" s="262" t="s">
        <v>2380</v>
      </c>
      <c r="C1548" s="262" t="s">
        <v>3312</v>
      </c>
      <c r="D1548" s="262" t="s">
        <v>3765</v>
      </c>
      <c r="E1548" s="263">
        <v>6</v>
      </c>
      <c r="F1548" s="262" t="s">
        <v>2419</v>
      </c>
      <c r="G1548" s="262" t="s">
        <v>2605</v>
      </c>
      <c r="H1548" s="395"/>
    </row>
    <row r="1549" spans="1:8" ht="14.55" hidden="1" customHeight="1" x14ac:dyDescent="0.3">
      <c r="A1549" s="262" t="s">
        <v>3751</v>
      </c>
      <c r="B1549" s="262" t="s">
        <v>2380</v>
      </c>
      <c r="C1549" s="262" t="s">
        <v>3312</v>
      </c>
      <c r="D1549" s="262" t="s">
        <v>3766</v>
      </c>
      <c r="E1549" s="263">
        <v>6</v>
      </c>
      <c r="F1549" s="262" t="s">
        <v>2379</v>
      </c>
      <c r="G1549" s="262" t="s">
        <v>2396</v>
      </c>
      <c r="H1549" s="395"/>
    </row>
    <row r="1550" spans="1:8" ht="14.55" hidden="1" customHeight="1" x14ac:dyDescent="0.3">
      <c r="A1550" s="262" t="s">
        <v>3751</v>
      </c>
      <c r="B1550" s="262" t="s">
        <v>2380</v>
      </c>
      <c r="C1550" s="262" t="s">
        <v>3288</v>
      </c>
      <c r="D1550" s="262" t="s">
        <v>3767</v>
      </c>
      <c r="E1550" s="263">
        <v>8</v>
      </c>
      <c r="F1550" s="262" t="s">
        <v>2373</v>
      </c>
      <c r="G1550" s="262" t="s">
        <v>2374</v>
      </c>
      <c r="H1550" s="395"/>
    </row>
    <row r="1551" spans="1:8" ht="14.55" hidden="1" customHeight="1" x14ac:dyDescent="0.3">
      <c r="A1551" s="262" t="s">
        <v>3751</v>
      </c>
      <c r="B1551" s="262" t="s">
        <v>2380</v>
      </c>
      <c r="C1551" s="262" t="s">
        <v>3312</v>
      </c>
      <c r="D1551" s="262" t="s">
        <v>3768</v>
      </c>
      <c r="E1551" s="263">
        <v>8</v>
      </c>
      <c r="F1551" s="262" t="s">
        <v>2419</v>
      </c>
      <c r="G1551" s="262" t="s">
        <v>3769</v>
      </c>
      <c r="H1551" s="395"/>
    </row>
    <row r="1552" spans="1:8" ht="14.55" hidden="1" customHeight="1" x14ac:dyDescent="0.3">
      <c r="A1552" s="262" t="s">
        <v>3751</v>
      </c>
      <c r="B1552" s="262" t="s">
        <v>2370</v>
      </c>
      <c r="C1552" s="262" t="s">
        <v>3288</v>
      </c>
      <c r="D1552" s="262" t="s">
        <v>3770</v>
      </c>
      <c r="E1552" s="263">
        <v>4</v>
      </c>
      <c r="F1552" s="262" t="s">
        <v>2419</v>
      </c>
      <c r="G1552" s="262" t="s">
        <v>2480</v>
      </c>
      <c r="H1552" s="395"/>
    </row>
    <row r="1553" spans="1:8" ht="14.55" hidden="1" customHeight="1" x14ac:dyDescent="0.3">
      <c r="A1553" s="262" t="s">
        <v>3751</v>
      </c>
      <c r="B1553" s="262" t="s">
        <v>2380</v>
      </c>
      <c r="C1553" s="262" t="s">
        <v>3312</v>
      </c>
      <c r="D1553" s="262" t="s">
        <v>3055</v>
      </c>
      <c r="E1553" s="263">
        <v>4</v>
      </c>
      <c r="F1553" s="262" t="s">
        <v>2389</v>
      </c>
      <c r="G1553" s="262" t="s">
        <v>2408</v>
      </c>
      <c r="H1553" s="395"/>
    </row>
    <row r="1554" spans="1:8" ht="14.55" hidden="1" customHeight="1" x14ac:dyDescent="0.3">
      <c r="A1554" s="262" t="s">
        <v>3751</v>
      </c>
      <c r="B1554" s="262" t="s">
        <v>2380</v>
      </c>
      <c r="C1554" s="262" t="s">
        <v>3312</v>
      </c>
      <c r="D1554" s="262" t="s">
        <v>3267</v>
      </c>
      <c r="E1554" s="263">
        <v>6</v>
      </c>
      <c r="F1554" s="262" t="s">
        <v>2373</v>
      </c>
      <c r="G1554" s="262" t="s">
        <v>2392</v>
      </c>
      <c r="H1554" s="395"/>
    </row>
    <row r="1555" spans="1:8" ht="14.55" hidden="1" customHeight="1" x14ac:dyDescent="0.3">
      <c r="A1555" s="262" t="s">
        <v>3751</v>
      </c>
      <c r="B1555" s="262" t="s">
        <v>2380</v>
      </c>
      <c r="C1555" s="262" t="s">
        <v>3288</v>
      </c>
      <c r="D1555" s="262" t="s">
        <v>3771</v>
      </c>
      <c r="E1555" s="263">
        <v>6</v>
      </c>
      <c r="F1555" s="262" t="s">
        <v>2379</v>
      </c>
      <c r="G1555" s="262" t="s">
        <v>2383</v>
      </c>
      <c r="H1555" s="395"/>
    </row>
    <row r="1556" spans="1:8" ht="14.55" hidden="1" customHeight="1" x14ac:dyDescent="0.3">
      <c r="A1556" s="262" t="s">
        <v>3751</v>
      </c>
      <c r="B1556" s="262" t="s">
        <v>2380</v>
      </c>
      <c r="C1556" s="262" t="s">
        <v>3312</v>
      </c>
      <c r="D1556" s="262" t="s">
        <v>3772</v>
      </c>
      <c r="E1556" s="263">
        <v>8</v>
      </c>
      <c r="F1556" s="262" t="s">
        <v>2419</v>
      </c>
      <c r="G1556" s="262" t="s">
        <v>2700</v>
      </c>
      <c r="H1556" s="395"/>
    </row>
    <row r="1557" spans="1:8" ht="14.55" hidden="1" customHeight="1" x14ac:dyDescent="0.3">
      <c r="A1557" s="262" t="s">
        <v>3751</v>
      </c>
      <c r="B1557" s="262" t="s">
        <v>2380</v>
      </c>
      <c r="C1557" s="262" t="s">
        <v>3312</v>
      </c>
      <c r="D1557" s="262" t="s">
        <v>3773</v>
      </c>
      <c r="E1557" s="263">
        <v>6</v>
      </c>
      <c r="F1557" s="262" t="s">
        <v>2373</v>
      </c>
      <c r="G1557" s="262" t="s">
        <v>2449</v>
      </c>
      <c r="H1557" s="395"/>
    </row>
    <row r="1558" spans="1:8" ht="14.55" hidden="1" customHeight="1" x14ac:dyDescent="0.3">
      <c r="A1558" s="262" t="s">
        <v>3751</v>
      </c>
      <c r="B1558" s="262" t="s">
        <v>2380</v>
      </c>
      <c r="C1558" s="262" t="s">
        <v>3312</v>
      </c>
      <c r="D1558" s="262" t="s">
        <v>2811</v>
      </c>
      <c r="E1558" s="263">
        <v>4</v>
      </c>
      <c r="F1558" s="262" t="s">
        <v>2376</v>
      </c>
      <c r="G1558" s="262" t="s">
        <v>2377</v>
      </c>
      <c r="H1558" s="395"/>
    </row>
    <row r="1559" spans="1:8" ht="14.55" hidden="1" customHeight="1" x14ac:dyDescent="0.3">
      <c r="A1559" s="262" t="s">
        <v>3751</v>
      </c>
      <c r="B1559" s="262" t="s">
        <v>2380</v>
      </c>
      <c r="C1559" s="262" t="s">
        <v>3312</v>
      </c>
      <c r="D1559" s="262" t="s">
        <v>2607</v>
      </c>
      <c r="E1559" s="263">
        <v>4</v>
      </c>
      <c r="F1559" s="262" t="s">
        <v>2389</v>
      </c>
      <c r="G1559" s="262" t="s">
        <v>2408</v>
      </c>
      <c r="H1559" s="395"/>
    </row>
    <row r="1560" spans="1:8" ht="14.55" hidden="1" customHeight="1" x14ac:dyDescent="0.3">
      <c r="A1560" s="262" t="s">
        <v>3751</v>
      </c>
      <c r="B1560" s="262" t="s">
        <v>2380</v>
      </c>
      <c r="C1560" s="262" t="s">
        <v>3312</v>
      </c>
      <c r="D1560" s="262" t="s">
        <v>3774</v>
      </c>
      <c r="E1560" s="263">
        <v>4</v>
      </c>
      <c r="F1560" s="262" t="s">
        <v>2389</v>
      </c>
      <c r="G1560" s="262" t="s">
        <v>2408</v>
      </c>
      <c r="H1560" s="395"/>
    </row>
    <row r="1561" spans="1:8" ht="14.55" hidden="1" customHeight="1" x14ac:dyDescent="0.3">
      <c r="A1561" s="262" t="s">
        <v>3751</v>
      </c>
      <c r="B1561" s="262" t="s">
        <v>2380</v>
      </c>
      <c r="C1561" s="262" t="s">
        <v>3312</v>
      </c>
      <c r="D1561" s="262" t="s">
        <v>3775</v>
      </c>
      <c r="E1561" s="263">
        <v>8</v>
      </c>
      <c r="F1561" s="262" t="s">
        <v>2419</v>
      </c>
      <c r="G1561" s="262" t="s">
        <v>3571</v>
      </c>
      <c r="H1561" s="395"/>
    </row>
    <row r="1562" spans="1:8" ht="14.55" hidden="1" customHeight="1" x14ac:dyDescent="0.3">
      <c r="A1562" s="262" t="s">
        <v>3751</v>
      </c>
      <c r="B1562" s="262" t="s">
        <v>2370</v>
      </c>
      <c r="C1562" s="262" t="s">
        <v>3288</v>
      </c>
      <c r="D1562" s="262" t="s">
        <v>3776</v>
      </c>
      <c r="E1562" s="263">
        <v>6</v>
      </c>
      <c r="F1562" s="262" t="s">
        <v>2376</v>
      </c>
      <c r="G1562" s="262" t="s">
        <v>2406</v>
      </c>
      <c r="H1562" s="395"/>
    </row>
    <row r="1563" spans="1:8" ht="14.55" hidden="1" customHeight="1" x14ac:dyDescent="0.3">
      <c r="A1563" s="262" t="s">
        <v>3751</v>
      </c>
      <c r="B1563" s="262" t="s">
        <v>2370</v>
      </c>
      <c r="C1563" s="262" t="s">
        <v>3288</v>
      </c>
      <c r="D1563" s="262" t="s">
        <v>3777</v>
      </c>
      <c r="E1563" s="263">
        <v>8</v>
      </c>
      <c r="F1563" s="262" t="s">
        <v>2419</v>
      </c>
      <c r="G1563" s="262" t="s">
        <v>2420</v>
      </c>
      <c r="H1563" s="395"/>
    </row>
    <row r="1564" spans="1:8" ht="14.55" hidden="1" customHeight="1" x14ac:dyDescent="0.3">
      <c r="A1564" s="262" t="s">
        <v>3751</v>
      </c>
      <c r="B1564" s="262" t="s">
        <v>2380</v>
      </c>
      <c r="C1564" s="262" t="s">
        <v>3312</v>
      </c>
      <c r="D1564" s="262" t="s">
        <v>3778</v>
      </c>
      <c r="E1564" s="263">
        <v>8</v>
      </c>
      <c r="F1564" s="262" t="s">
        <v>2379</v>
      </c>
      <c r="G1564" s="262" t="s">
        <v>2463</v>
      </c>
      <c r="H1564" s="395"/>
    </row>
    <row r="1565" spans="1:8" ht="14.55" hidden="1" customHeight="1" x14ac:dyDescent="0.3">
      <c r="A1565" s="262" t="s">
        <v>3751</v>
      </c>
      <c r="B1565" s="262" t="s">
        <v>2380</v>
      </c>
      <c r="C1565" s="262" t="s">
        <v>3312</v>
      </c>
      <c r="D1565" s="262" t="s">
        <v>3779</v>
      </c>
      <c r="E1565" s="263">
        <v>6</v>
      </c>
      <c r="F1565" s="262" t="s">
        <v>2376</v>
      </c>
      <c r="G1565" s="262" t="s">
        <v>2416</v>
      </c>
      <c r="H1565" s="395"/>
    </row>
    <row r="1566" spans="1:8" ht="14.55" hidden="1" customHeight="1" x14ac:dyDescent="0.3">
      <c r="A1566" s="262" t="s">
        <v>3751</v>
      </c>
      <c r="B1566" s="262" t="s">
        <v>2380</v>
      </c>
      <c r="C1566" s="262" t="s">
        <v>3312</v>
      </c>
      <c r="D1566" s="262" t="s">
        <v>3780</v>
      </c>
      <c r="E1566" s="263">
        <v>6</v>
      </c>
      <c r="F1566" s="262" t="s">
        <v>2376</v>
      </c>
      <c r="G1566" s="262" t="s">
        <v>2406</v>
      </c>
      <c r="H1566" s="395"/>
    </row>
    <row r="1567" spans="1:8" ht="14.55" hidden="1" customHeight="1" x14ac:dyDescent="0.3">
      <c r="A1567" s="262" t="s">
        <v>3751</v>
      </c>
      <c r="B1567" s="262" t="s">
        <v>2380</v>
      </c>
      <c r="C1567" s="262" t="s">
        <v>3312</v>
      </c>
      <c r="D1567" s="262" t="s">
        <v>3781</v>
      </c>
      <c r="E1567" s="263">
        <v>8</v>
      </c>
      <c r="F1567" s="262" t="s">
        <v>2389</v>
      </c>
      <c r="G1567" s="262" t="s">
        <v>2631</v>
      </c>
      <c r="H1567" s="395"/>
    </row>
    <row r="1568" spans="1:8" x14ac:dyDescent="0.3">
      <c r="A1568" s="264" t="s">
        <v>3782</v>
      </c>
      <c r="B1568" s="264" t="s">
        <v>2380</v>
      </c>
      <c r="C1568" s="264" t="s">
        <v>3312</v>
      </c>
      <c r="D1568" s="264" t="s">
        <v>3783</v>
      </c>
      <c r="E1568" s="265">
        <v>8</v>
      </c>
      <c r="F1568" s="264" t="s">
        <v>2379</v>
      </c>
      <c r="G1568" s="264" t="s">
        <v>2402</v>
      </c>
      <c r="H1568" s="396"/>
    </row>
    <row r="1569" spans="1:7" hidden="1" x14ac:dyDescent="0.3">
      <c r="A1569" s="262" t="s">
        <v>3782</v>
      </c>
      <c r="B1569" s="262" t="s">
        <v>2380</v>
      </c>
      <c r="C1569" s="262" t="s">
        <v>3312</v>
      </c>
      <c r="D1569" s="262" t="s">
        <v>3784</v>
      </c>
      <c r="E1569" s="263">
        <v>4</v>
      </c>
      <c r="F1569" s="262" t="s">
        <v>2389</v>
      </c>
      <c r="G1569" s="262" t="s">
        <v>2408</v>
      </c>
    </row>
    <row r="1570" spans="1:7" hidden="1" x14ac:dyDescent="0.3">
      <c r="A1570" s="262" t="s">
        <v>3782</v>
      </c>
      <c r="B1570" s="262" t="s">
        <v>2370</v>
      </c>
      <c r="C1570" s="262" t="s">
        <v>3288</v>
      </c>
      <c r="D1570" s="262" t="s">
        <v>2646</v>
      </c>
      <c r="E1570" s="263">
        <v>4</v>
      </c>
      <c r="F1570" s="262" t="s">
        <v>2376</v>
      </c>
      <c r="G1570" s="262" t="s">
        <v>2377</v>
      </c>
    </row>
    <row r="1571" spans="1:7" hidden="1" x14ac:dyDescent="0.3">
      <c r="A1571" s="262" t="s">
        <v>3782</v>
      </c>
      <c r="B1571" s="262" t="s">
        <v>2380</v>
      </c>
      <c r="C1571" s="262" t="s">
        <v>3312</v>
      </c>
      <c r="D1571" s="262" t="s">
        <v>3785</v>
      </c>
      <c r="E1571" s="263">
        <v>10</v>
      </c>
      <c r="F1571" s="262" t="s">
        <v>2379</v>
      </c>
      <c r="G1571" s="262" t="s">
        <v>2463</v>
      </c>
    </row>
    <row r="1572" spans="1:7" hidden="1" x14ac:dyDescent="0.3">
      <c r="A1572" s="262" t="s">
        <v>3782</v>
      </c>
      <c r="B1572" s="262" t="s">
        <v>2370</v>
      </c>
      <c r="C1572" s="262" t="s">
        <v>3288</v>
      </c>
      <c r="D1572" s="262" t="s">
        <v>3007</v>
      </c>
      <c r="E1572" s="263">
        <v>4</v>
      </c>
      <c r="F1572" s="262" t="s">
        <v>2373</v>
      </c>
      <c r="G1572" s="262" t="s">
        <v>2374</v>
      </c>
    </row>
    <row r="1573" spans="1:7" hidden="1" x14ac:dyDescent="0.3">
      <c r="A1573" s="262" t="s">
        <v>3782</v>
      </c>
      <c r="B1573" s="262" t="s">
        <v>2380</v>
      </c>
      <c r="C1573" s="262" t="s">
        <v>3288</v>
      </c>
      <c r="D1573" s="262" t="s">
        <v>3786</v>
      </c>
      <c r="E1573" s="263">
        <v>6</v>
      </c>
      <c r="F1573" s="262" t="s">
        <v>2419</v>
      </c>
      <c r="G1573" s="262" t="s">
        <v>3571</v>
      </c>
    </row>
    <row r="1574" spans="1:7" hidden="1" x14ac:dyDescent="0.3">
      <c r="A1574" s="262" t="s">
        <v>3782</v>
      </c>
      <c r="B1574" s="262" t="s">
        <v>2380</v>
      </c>
      <c r="C1574" s="262" t="s">
        <v>3312</v>
      </c>
      <c r="D1574" s="262" t="s">
        <v>3787</v>
      </c>
      <c r="E1574" s="263">
        <v>8</v>
      </c>
      <c r="F1574" s="262" t="s">
        <v>2389</v>
      </c>
      <c r="G1574" s="262" t="s">
        <v>2408</v>
      </c>
    </row>
    <row r="1575" spans="1:7" hidden="1" x14ac:dyDescent="0.3">
      <c r="A1575" s="262" t="s">
        <v>3782</v>
      </c>
      <c r="B1575" s="262" t="s">
        <v>2380</v>
      </c>
      <c r="C1575" s="262" t="s">
        <v>3312</v>
      </c>
      <c r="D1575" s="262" t="s">
        <v>3788</v>
      </c>
      <c r="E1575" s="263">
        <v>8</v>
      </c>
      <c r="F1575" s="262" t="s">
        <v>2373</v>
      </c>
      <c r="G1575" s="262" t="s">
        <v>2374</v>
      </c>
    </row>
    <row r="1576" spans="1:7" hidden="1" x14ac:dyDescent="0.3">
      <c r="A1576" s="262" t="s">
        <v>3782</v>
      </c>
      <c r="B1576" s="262" t="s">
        <v>2370</v>
      </c>
      <c r="C1576" s="262" t="s">
        <v>3288</v>
      </c>
      <c r="D1576" s="262" t="s">
        <v>3789</v>
      </c>
      <c r="E1576" s="263">
        <v>5</v>
      </c>
      <c r="F1576" s="262" t="s">
        <v>2419</v>
      </c>
      <c r="G1576" s="262" t="s">
        <v>2432</v>
      </c>
    </row>
    <row r="1577" spans="1:7" hidden="1" x14ac:dyDescent="0.3">
      <c r="A1577" s="262" t="s">
        <v>3782</v>
      </c>
      <c r="B1577" s="262" t="s">
        <v>2380</v>
      </c>
      <c r="C1577" s="262" t="s">
        <v>3312</v>
      </c>
      <c r="D1577" s="262" t="s">
        <v>3790</v>
      </c>
      <c r="E1577" s="263">
        <v>6</v>
      </c>
      <c r="F1577" s="262" t="s">
        <v>2419</v>
      </c>
      <c r="G1577" s="262" t="s">
        <v>2488</v>
      </c>
    </row>
    <row r="1578" spans="1:7" hidden="1" x14ac:dyDescent="0.3">
      <c r="A1578" s="262" t="s">
        <v>3782</v>
      </c>
      <c r="B1578" s="262" t="s">
        <v>2380</v>
      </c>
      <c r="C1578" s="262" t="s">
        <v>3312</v>
      </c>
      <c r="D1578" s="262" t="s">
        <v>3791</v>
      </c>
      <c r="E1578" s="263">
        <v>8</v>
      </c>
      <c r="F1578" s="262" t="s">
        <v>2419</v>
      </c>
      <c r="G1578" s="262" t="s">
        <v>2605</v>
      </c>
    </row>
    <row r="1579" spans="1:7" hidden="1" x14ac:dyDescent="0.3">
      <c r="A1579" s="262" t="s">
        <v>3782</v>
      </c>
      <c r="B1579" s="262" t="s">
        <v>2370</v>
      </c>
      <c r="C1579" s="262" t="s">
        <v>3288</v>
      </c>
      <c r="D1579" s="262" t="s">
        <v>3792</v>
      </c>
      <c r="E1579" s="263">
        <v>8</v>
      </c>
      <c r="F1579" s="262" t="s">
        <v>2419</v>
      </c>
      <c r="G1579" s="262" t="s">
        <v>2420</v>
      </c>
    </row>
    <row r="1580" spans="1:7" hidden="1" x14ac:dyDescent="0.3">
      <c r="A1580" s="262" t="s">
        <v>3782</v>
      </c>
      <c r="B1580" s="262" t="s">
        <v>2380</v>
      </c>
      <c r="C1580" s="262" t="s">
        <v>3312</v>
      </c>
      <c r="D1580" s="262" t="s">
        <v>3793</v>
      </c>
      <c r="E1580" s="263">
        <v>6</v>
      </c>
      <c r="F1580" s="262" t="s">
        <v>2389</v>
      </c>
      <c r="G1580" s="262" t="s">
        <v>2631</v>
      </c>
    </row>
    <row r="1581" spans="1:7" hidden="1" x14ac:dyDescent="0.3">
      <c r="A1581" s="262" t="s">
        <v>3782</v>
      </c>
      <c r="B1581" s="262" t="s">
        <v>2370</v>
      </c>
      <c r="C1581" s="262" t="s">
        <v>3288</v>
      </c>
      <c r="D1581" s="262" t="s">
        <v>3794</v>
      </c>
      <c r="E1581" s="263">
        <v>6</v>
      </c>
      <c r="F1581" s="262" t="s">
        <v>2419</v>
      </c>
      <c r="G1581" s="262" t="s">
        <v>2480</v>
      </c>
    </row>
    <row r="1582" spans="1:7" hidden="1" x14ac:dyDescent="0.3">
      <c r="A1582" s="262" t="s">
        <v>3782</v>
      </c>
      <c r="B1582" s="262" t="s">
        <v>2380</v>
      </c>
      <c r="C1582" s="262" t="s">
        <v>3312</v>
      </c>
      <c r="D1582" s="262" t="s">
        <v>3795</v>
      </c>
      <c r="E1582" s="263">
        <v>4</v>
      </c>
      <c r="F1582" s="262" t="s">
        <v>2376</v>
      </c>
      <c r="G1582" s="262" t="s">
        <v>2406</v>
      </c>
    </row>
    <row r="1583" spans="1:7" hidden="1" x14ac:dyDescent="0.3">
      <c r="A1583" s="262" t="s">
        <v>3782</v>
      </c>
      <c r="B1583" s="262" t="s">
        <v>2370</v>
      </c>
      <c r="C1583" s="262" t="s">
        <v>3288</v>
      </c>
      <c r="D1583" s="262" t="s">
        <v>3796</v>
      </c>
      <c r="E1583" s="263">
        <v>5</v>
      </c>
      <c r="F1583" s="262" t="s">
        <v>2376</v>
      </c>
      <c r="G1583" s="262" t="s">
        <v>2416</v>
      </c>
    </row>
    <row r="1584" spans="1:7" hidden="1" x14ac:dyDescent="0.3">
      <c r="A1584" s="262" t="s">
        <v>3782</v>
      </c>
      <c r="B1584" s="262" t="s">
        <v>2380</v>
      </c>
      <c r="C1584" s="262" t="s">
        <v>3312</v>
      </c>
      <c r="D1584" s="262" t="s">
        <v>3170</v>
      </c>
      <c r="E1584" s="263">
        <v>4</v>
      </c>
      <c r="F1584" s="262" t="s">
        <v>2373</v>
      </c>
      <c r="G1584" s="262" t="s">
        <v>2392</v>
      </c>
    </row>
    <row r="1585" spans="1:7" hidden="1" x14ac:dyDescent="0.3">
      <c r="A1585" s="262" t="s">
        <v>3782</v>
      </c>
      <c r="B1585" s="262" t="s">
        <v>2380</v>
      </c>
      <c r="C1585" s="262" t="s">
        <v>3288</v>
      </c>
      <c r="D1585" s="262" t="s">
        <v>3260</v>
      </c>
      <c r="E1585" s="263">
        <v>4</v>
      </c>
      <c r="F1585" s="262" t="s">
        <v>2376</v>
      </c>
      <c r="G1585" s="262" t="s">
        <v>2377</v>
      </c>
    </row>
    <row r="1586" spans="1:7" hidden="1" x14ac:dyDescent="0.3">
      <c r="A1586" s="262" t="s">
        <v>3782</v>
      </c>
      <c r="B1586" s="262" t="s">
        <v>2380</v>
      </c>
      <c r="C1586" s="262" t="s">
        <v>3312</v>
      </c>
      <c r="D1586" s="262" t="s">
        <v>3797</v>
      </c>
      <c r="E1586" s="263">
        <v>4</v>
      </c>
      <c r="F1586" s="262" t="s">
        <v>2376</v>
      </c>
      <c r="G1586" s="262" t="s">
        <v>2406</v>
      </c>
    </row>
    <row r="1587" spans="1:7" hidden="1" x14ac:dyDescent="0.3">
      <c r="A1587" s="262" t="s">
        <v>3782</v>
      </c>
      <c r="B1587" s="262" t="s">
        <v>2370</v>
      </c>
      <c r="C1587" s="262" t="s">
        <v>3288</v>
      </c>
      <c r="D1587" s="262" t="s">
        <v>3798</v>
      </c>
      <c r="E1587" s="263">
        <v>6</v>
      </c>
      <c r="F1587" s="262" t="s">
        <v>2379</v>
      </c>
      <c r="G1587" s="262" t="s">
        <v>2383</v>
      </c>
    </row>
    <row r="1588" spans="1:7" hidden="1" x14ac:dyDescent="0.3">
      <c r="A1588" s="262" t="s">
        <v>3782</v>
      </c>
      <c r="B1588" s="262" t="s">
        <v>2370</v>
      </c>
      <c r="C1588" s="262" t="s">
        <v>3288</v>
      </c>
      <c r="D1588" s="262" t="s">
        <v>3799</v>
      </c>
      <c r="E1588" s="263">
        <v>6</v>
      </c>
      <c r="F1588" s="262" t="s">
        <v>2376</v>
      </c>
      <c r="G1588" s="262" t="s">
        <v>2406</v>
      </c>
    </row>
    <row r="1589" spans="1:7" hidden="1" x14ac:dyDescent="0.3">
      <c r="A1589" s="262" t="s">
        <v>3782</v>
      </c>
      <c r="B1589" s="262" t="s">
        <v>2380</v>
      </c>
      <c r="C1589" s="262" t="s">
        <v>3288</v>
      </c>
      <c r="D1589" s="262" t="s">
        <v>3278</v>
      </c>
      <c r="E1589" s="263">
        <v>4</v>
      </c>
      <c r="F1589" s="262" t="s">
        <v>2379</v>
      </c>
      <c r="G1589" s="262" t="s">
        <v>2383</v>
      </c>
    </row>
    <row r="1590" spans="1:7" hidden="1" x14ac:dyDescent="0.3">
      <c r="A1590" s="262" t="s">
        <v>3782</v>
      </c>
      <c r="B1590" s="262" t="s">
        <v>2380</v>
      </c>
      <c r="C1590" s="262" t="s">
        <v>3312</v>
      </c>
      <c r="D1590" s="262" t="s">
        <v>3800</v>
      </c>
      <c r="E1590" s="263">
        <v>4</v>
      </c>
      <c r="F1590" s="262" t="s">
        <v>2373</v>
      </c>
      <c r="G1590" s="262" t="s">
        <v>2453</v>
      </c>
    </row>
    <row r="1591" spans="1:7" hidden="1" x14ac:dyDescent="0.3">
      <c r="A1591" s="262" t="s">
        <v>3782</v>
      </c>
      <c r="B1591" s="262" t="s">
        <v>2380</v>
      </c>
      <c r="C1591" s="262" t="s">
        <v>3288</v>
      </c>
      <c r="D1591" s="262" t="s">
        <v>3801</v>
      </c>
      <c r="E1591" s="263">
        <v>8</v>
      </c>
      <c r="F1591" s="262" t="s">
        <v>2379</v>
      </c>
      <c r="G1591" s="262" t="s">
        <v>2383</v>
      </c>
    </row>
    <row r="1592" spans="1:7" hidden="1" x14ac:dyDescent="0.3">
      <c r="A1592" s="262" t="s">
        <v>3782</v>
      </c>
      <c r="B1592" s="262" t="s">
        <v>2380</v>
      </c>
      <c r="C1592" s="262" t="s">
        <v>3288</v>
      </c>
      <c r="D1592" s="262" t="s">
        <v>3802</v>
      </c>
      <c r="E1592" s="263">
        <v>8</v>
      </c>
      <c r="F1592" s="262" t="s">
        <v>2379</v>
      </c>
      <c r="G1592" s="262" t="s">
        <v>2470</v>
      </c>
    </row>
    <row r="1593" spans="1:7" hidden="1" x14ac:dyDescent="0.3">
      <c r="A1593" s="262" t="s">
        <v>3803</v>
      </c>
      <c r="B1593" s="262" t="s">
        <v>2380</v>
      </c>
      <c r="C1593" s="262" t="s">
        <v>3312</v>
      </c>
      <c r="D1593" s="262" t="s">
        <v>3804</v>
      </c>
      <c r="E1593" s="263">
        <v>10</v>
      </c>
      <c r="F1593" s="262" t="s">
        <v>2379</v>
      </c>
      <c r="G1593" s="262" t="s">
        <v>2463</v>
      </c>
    </row>
    <row r="1594" spans="1:7" hidden="1" x14ac:dyDescent="0.3">
      <c r="A1594" s="262" t="s">
        <v>3803</v>
      </c>
      <c r="B1594" s="262" t="s">
        <v>2380</v>
      </c>
      <c r="C1594" s="262" t="s">
        <v>3312</v>
      </c>
      <c r="D1594" s="262" t="s">
        <v>3805</v>
      </c>
      <c r="E1594" s="263">
        <v>8</v>
      </c>
      <c r="F1594" s="262" t="s">
        <v>2373</v>
      </c>
      <c r="G1594" s="262" t="s">
        <v>2374</v>
      </c>
    </row>
    <row r="1595" spans="1:7" hidden="1" x14ac:dyDescent="0.3">
      <c r="A1595" s="262" t="s">
        <v>3803</v>
      </c>
      <c r="B1595" s="262" t="s">
        <v>2380</v>
      </c>
      <c r="C1595" s="262" t="s">
        <v>3288</v>
      </c>
      <c r="D1595" s="262" t="s">
        <v>2929</v>
      </c>
      <c r="E1595" s="263">
        <v>4</v>
      </c>
      <c r="F1595" s="262" t="s">
        <v>2376</v>
      </c>
      <c r="G1595" s="262" t="s">
        <v>2377</v>
      </c>
    </row>
    <row r="1596" spans="1:7" hidden="1" x14ac:dyDescent="0.3">
      <c r="A1596" s="262" t="s">
        <v>3803</v>
      </c>
      <c r="B1596" s="262" t="s">
        <v>2380</v>
      </c>
      <c r="C1596" s="262" t="s">
        <v>3288</v>
      </c>
      <c r="D1596" s="262" t="s">
        <v>3806</v>
      </c>
      <c r="E1596" s="263">
        <v>8</v>
      </c>
      <c r="F1596" s="262" t="s">
        <v>2419</v>
      </c>
      <c r="G1596" s="262" t="s">
        <v>2420</v>
      </c>
    </row>
    <row r="1597" spans="1:7" hidden="1" x14ac:dyDescent="0.3">
      <c r="A1597" s="262" t="s">
        <v>3803</v>
      </c>
      <c r="B1597" s="262" t="s">
        <v>2370</v>
      </c>
      <c r="C1597" s="262" t="s">
        <v>3288</v>
      </c>
      <c r="D1597" s="262" t="s">
        <v>3807</v>
      </c>
      <c r="E1597" s="263">
        <v>8</v>
      </c>
      <c r="F1597" s="262" t="s">
        <v>2389</v>
      </c>
      <c r="G1597" s="262" t="s">
        <v>2631</v>
      </c>
    </row>
    <row r="1598" spans="1:7" hidden="1" x14ac:dyDescent="0.3">
      <c r="A1598" s="262" t="s">
        <v>3803</v>
      </c>
      <c r="B1598" s="262" t="s">
        <v>2380</v>
      </c>
      <c r="C1598" s="262" t="s">
        <v>3312</v>
      </c>
      <c r="D1598" s="262" t="s">
        <v>3808</v>
      </c>
      <c r="E1598" s="263">
        <v>8</v>
      </c>
      <c r="F1598" s="262" t="s">
        <v>2389</v>
      </c>
      <c r="G1598" s="262" t="s">
        <v>2631</v>
      </c>
    </row>
    <row r="1599" spans="1:7" hidden="1" x14ac:dyDescent="0.3">
      <c r="A1599" s="262" t="s">
        <v>3803</v>
      </c>
      <c r="B1599" s="262" t="s">
        <v>2380</v>
      </c>
      <c r="C1599" s="262" t="s">
        <v>3312</v>
      </c>
      <c r="D1599" s="262" t="s">
        <v>3809</v>
      </c>
      <c r="E1599" s="263">
        <v>6</v>
      </c>
      <c r="F1599" s="262" t="s">
        <v>2379</v>
      </c>
      <c r="G1599" s="262" t="s">
        <v>2463</v>
      </c>
    </row>
    <row r="1600" spans="1:7" hidden="1" x14ac:dyDescent="0.3">
      <c r="A1600" s="262" t="s">
        <v>3803</v>
      </c>
      <c r="B1600" s="262" t="s">
        <v>2380</v>
      </c>
      <c r="C1600" s="262" t="s">
        <v>3312</v>
      </c>
      <c r="D1600" s="262" t="s">
        <v>3810</v>
      </c>
      <c r="E1600" s="263">
        <v>6</v>
      </c>
      <c r="F1600" s="262" t="s">
        <v>2379</v>
      </c>
      <c r="G1600" s="262" t="s">
        <v>2383</v>
      </c>
    </row>
    <row r="1601" spans="1:7" hidden="1" x14ac:dyDescent="0.3">
      <c r="A1601" s="262" t="s">
        <v>3803</v>
      </c>
      <c r="B1601" s="262" t="s">
        <v>2380</v>
      </c>
      <c r="C1601" s="262" t="s">
        <v>3312</v>
      </c>
      <c r="D1601" s="262" t="s">
        <v>3811</v>
      </c>
      <c r="E1601" s="263">
        <v>10</v>
      </c>
      <c r="F1601" s="262" t="s">
        <v>2419</v>
      </c>
      <c r="G1601" s="262" t="s">
        <v>3571</v>
      </c>
    </row>
    <row r="1602" spans="1:7" hidden="1" x14ac:dyDescent="0.3">
      <c r="A1602" s="262" t="s">
        <v>3803</v>
      </c>
      <c r="B1602" s="262" t="s">
        <v>2380</v>
      </c>
      <c r="C1602" s="262" t="s">
        <v>3312</v>
      </c>
      <c r="D1602" s="262" t="s">
        <v>3191</v>
      </c>
      <c r="E1602" s="263">
        <v>4</v>
      </c>
      <c r="F1602" s="262" t="s">
        <v>2389</v>
      </c>
      <c r="G1602" s="262" t="s">
        <v>3182</v>
      </c>
    </row>
    <row r="1603" spans="1:7" hidden="1" x14ac:dyDescent="0.3">
      <c r="A1603" s="262" t="s">
        <v>3803</v>
      </c>
      <c r="B1603" s="262" t="s">
        <v>2370</v>
      </c>
      <c r="C1603" s="262" t="s">
        <v>3288</v>
      </c>
      <c r="D1603" s="262" t="s">
        <v>2979</v>
      </c>
      <c r="E1603" s="263">
        <v>4</v>
      </c>
      <c r="F1603" s="262" t="s">
        <v>2373</v>
      </c>
      <c r="G1603" s="262" t="s">
        <v>2596</v>
      </c>
    </row>
    <row r="1606" spans="1:7" ht="23.4" x14ac:dyDescent="0.3">
      <c r="A1606" s="312" t="s">
        <v>4039</v>
      </c>
    </row>
  </sheetData>
  <autoFilter ref="A1:G1603" xr:uid="{00000000-0001-0000-0000-000000000000}">
    <filterColumn colId="6">
      <filters>
        <filter val="S1 Teknik Perminyakan"/>
      </filters>
    </filterColumn>
  </autoFilter>
  <mergeCells count="1">
    <mergeCell ref="H4:H1568"/>
  </mergeCells>
  <hyperlinks>
    <hyperlink ref="H4" r:id="rId1" xr:uid="{A375E342-3A2C-4FDF-B407-5062FA9CF0BA}"/>
    <hyperlink ref="A1606" location="'Daftar Sheet'!A1" display="&lt;&lt;&lt; Daftar Sheet" xr:uid="{1DCE4AF2-EE59-4846-B8AF-8E1EE6E209FD}"/>
  </hyperlinks>
  <pageMargins left="0.7" right="0.7" top="0.75" bottom="0.75" header="0.3" footer="0.3"/>
  <pageSetup paperSize="224" orientation="portrait" horizontalDpi="300" verticalDpi="30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D737D-6C0D-4134-A537-E38488FABF0C}">
  <dimension ref="A2:C16"/>
  <sheetViews>
    <sheetView zoomScale="85" zoomScaleNormal="85" workbookViewId="0">
      <selection activeCell="B16" sqref="B16"/>
    </sheetView>
  </sheetViews>
  <sheetFormatPr defaultRowHeight="14.4" x14ac:dyDescent="0.3"/>
  <cols>
    <col min="2" max="2" width="71.88671875" bestFit="1" customWidth="1"/>
    <col min="3" max="3" width="81.21875" bestFit="1" customWidth="1"/>
  </cols>
  <sheetData>
    <row r="2" spans="1:3" x14ac:dyDescent="0.3">
      <c r="A2" s="2" t="s">
        <v>51</v>
      </c>
      <c r="B2" s="267" t="s">
        <v>3813</v>
      </c>
      <c r="C2" s="267" t="s">
        <v>137</v>
      </c>
    </row>
    <row r="3" spans="1:3" x14ac:dyDescent="0.3">
      <c r="A3" s="3">
        <v>1</v>
      </c>
      <c r="B3" s="30" t="s">
        <v>3814</v>
      </c>
      <c r="C3" s="7" t="s">
        <v>3838</v>
      </c>
    </row>
    <row r="4" spans="1:3" x14ac:dyDescent="0.3">
      <c r="A4" s="3">
        <v>2</v>
      </c>
      <c r="B4" s="30" t="s">
        <v>3815</v>
      </c>
      <c r="C4" s="7" t="s">
        <v>3839</v>
      </c>
    </row>
    <row r="5" spans="1:3" x14ac:dyDescent="0.3">
      <c r="A5" s="3">
        <v>3</v>
      </c>
      <c r="B5" s="30" t="s">
        <v>3816</v>
      </c>
      <c r="C5" s="7" t="s">
        <v>3840</v>
      </c>
    </row>
    <row r="6" spans="1:3" x14ac:dyDescent="0.3">
      <c r="A6" s="3">
        <v>4</v>
      </c>
      <c r="B6" s="30" t="s">
        <v>3817</v>
      </c>
      <c r="C6" s="7" t="s">
        <v>3841</v>
      </c>
    </row>
    <row r="7" spans="1:3" x14ac:dyDescent="0.3">
      <c r="A7" s="3">
        <v>5</v>
      </c>
      <c r="B7" s="30" t="s">
        <v>3842</v>
      </c>
      <c r="C7" s="7" t="s">
        <v>3876</v>
      </c>
    </row>
    <row r="8" spans="1:3" x14ac:dyDescent="0.3">
      <c r="A8" s="3">
        <v>6</v>
      </c>
      <c r="B8" s="30" t="s">
        <v>3877</v>
      </c>
      <c r="C8" s="7" t="s">
        <v>3878</v>
      </c>
    </row>
    <row r="9" spans="1:3" x14ac:dyDescent="0.3">
      <c r="A9" s="3">
        <v>7</v>
      </c>
      <c r="B9" s="30" t="s">
        <v>3879</v>
      </c>
      <c r="C9" s="7" t="s">
        <v>3880</v>
      </c>
    </row>
    <row r="10" spans="1:3" x14ac:dyDescent="0.3">
      <c r="A10" s="3">
        <v>8</v>
      </c>
      <c r="B10" s="30" t="s">
        <v>3881</v>
      </c>
      <c r="C10" s="7" t="s">
        <v>3882</v>
      </c>
    </row>
    <row r="11" spans="1:3" x14ac:dyDescent="0.3">
      <c r="A11" s="3"/>
      <c r="B11" s="30"/>
      <c r="C11" s="7"/>
    </row>
    <row r="12" spans="1:3" x14ac:dyDescent="0.3">
      <c r="A12" s="3"/>
      <c r="B12" s="30"/>
      <c r="C12" s="4"/>
    </row>
    <row r="13" spans="1:3" x14ac:dyDescent="0.3">
      <c r="A13" s="3"/>
      <c r="B13" s="30"/>
      <c r="C13" s="4"/>
    </row>
    <row r="16" spans="1:3" ht="23.4" x14ac:dyDescent="0.3">
      <c r="B16" s="312" t="s">
        <v>4039</v>
      </c>
    </row>
  </sheetData>
  <hyperlinks>
    <hyperlink ref="C3" r:id="rId1" xr:uid="{BB5BFC4B-F57E-4F05-90BE-86BA340776CF}"/>
    <hyperlink ref="C4" r:id="rId2" xr:uid="{07DB5D87-6AC0-428B-83FC-7F2C9E9BB9CC}"/>
    <hyperlink ref="C5" r:id="rId3" xr:uid="{0644CB94-C9D3-45B4-9EE8-C4B6A7BFDD50}"/>
    <hyperlink ref="C6" r:id="rId4" xr:uid="{E6487C37-0C91-4AF9-B88D-D9B2E4008566}"/>
    <hyperlink ref="C7" r:id="rId5" xr:uid="{A4643DA6-0753-4154-A064-696E5202B525}"/>
    <hyperlink ref="C8" r:id="rId6" xr:uid="{CC8953FF-7DC3-4C21-A331-6EB6A90E90FD}"/>
    <hyperlink ref="C9" r:id="rId7" xr:uid="{C3ECA263-84CD-44A9-881F-68EAFB56560F}"/>
    <hyperlink ref="C10" r:id="rId8" xr:uid="{3C9FF5AD-C90A-4421-9ED7-97E4CFAB533D}"/>
    <hyperlink ref="B16" location="'Daftar Sheet'!A1" display="&lt;&lt;&lt; Daftar Sheet" xr:uid="{2CCB2362-387B-4B4E-A35E-0587C8C8FE5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016B-45E1-4AA6-A237-AFB1DC071B15}">
  <sheetPr>
    <pageSetUpPr fitToPage="1"/>
  </sheetPr>
  <dimension ref="A1:G39"/>
  <sheetViews>
    <sheetView view="pageBreakPreview" zoomScale="70" zoomScaleNormal="40" zoomScaleSheetLayoutView="70" workbookViewId="0">
      <selection activeCell="G31" sqref="G31"/>
    </sheetView>
  </sheetViews>
  <sheetFormatPr defaultRowHeight="14.4" x14ac:dyDescent="0.3"/>
  <cols>
    <col min="1" max="1" width="3.77734375" style="10" bestFit="1" customWidth="1"/>
    <col min="2" max="2" width="45.5546875" style="10" customWidth="1"/>
    <col min="3" max="4" width="19.77734375" style="10" bestFit="1" customWidth="1"/>
    <col min="5" max="5" width="19.77734375" style="10" customWidth="1"/>
    <col min="6" max="6" width="14" style="261" customWidth="1"/>
    <col min="7" max="7" width="97.88671875" style="15" bestFit="1" customWidth="1"/>
  </cols>
  <sheetData>
    <row r="1" spans="1:7" ht="21" x14ac:dyDescent="0.3">
      <c r="A1" s="397" t="s">
        <v>50</v>
      </c>
      <c r="B1" s="397"/>
      <c r="C1" s="397"/>
      <c r="D1" s="397"/>
      <c r="E1" s="397"/>
      <c r="F1" s="397"/>
      <c r="G1" s="397"/>
    </row>
    <row r="2" spans="1:7" x14ac:dyDescent="0.3">
      <c r="A2" s="400" t="s">
        <v>51</v>
      </c>
      <c r="B2" s="400" t="s">
        <v>52</v>
      </c>
      <c r="C2" s="398" t="s">
        <v>3883</v>
      </c>
      <c r="D2" s="399"/>
      <c r="E2" s="400" t="s">
        <v>1761</v>
      </c>
      <c r="F2" s="16" t="s">
        <v>53</v>
      </c>
      <c r="G2" s="17" t="s">
        <v>54</v>
      </c>
    </row>
    <row r="3" spans="1:7" x14ac:dyDescent="0.3">
      <c r="A3" s="401"/>
      <c r="B3" s="401"/>
      <c r="C3" s="16" t="s">
        <v>36</v>
      </c>
      <c r="D3" s="16" t="s">
        <v>47</v>
      </c>
      <c r="E3" s="401"/>
      <c r="F3" s="16"/>
      <c r="G3" s="17"/>
    </row>
    <row r="4" spans="1:7" x14ac:dyDescent="0.3">
      <c r="A4" s="11">
        <v>1</v>
      </c>
      <c r="B4" s="12" t="s">
        <v>55</v>
      </c>
      <c r="C4" s="12" t="s">
        <v>19</v>
      </c>
      <c r="D4" s="12" t="s">
        <v>142</v>
      </c>
      <c r="E4" s="12" t="s">
        <v>1763</v>
      </c>
      <c r="F4" s="12" t="s">
        <v>56</v>
      </c>
      <c r="G4" s="34" t="s">
        <v>57</v>
      </c>
    </row>
    <row r="5" spans="1:7" x14ac:dyDescent="0.3">
      <c r="A5" s="11">
        <v>2</v>
      </c>
      <c r="B5" s="12" t="s">
        <v>58</v>
      </c>
      <c r="C5" s="12" t="s">
        <v>19</v>
      </c>
      <c r="D5" s="12" t="s">
        <v>10</v>
      </c>
      <c r="E5" s="12" t="s">
        <v>1765</v>
      </c>
      <c r="F5" s="12" t="s">
        <v>59</v>
      </c>
      <c r="G5" s="34" t="s">
        <v>60</v>
      </c>
    </row>
    <row r="6" spans="1:7" x14ac:dyDescent="0.3">
      <c r="A6" s="11">
        <v>3</v>
      </c>
      <c r="B6" s="12" t="s">
        <v>61</v>
      </c>
      <c r="C6" s="12" t="s">
        <v>19</v>
      </c>
      <c r="D6" s="12" t="s">
        <v>142</v>
      </c>
      <c r="E6" s="12" t="s">
        <v>1763</v>
      </c>
      <c r="F6" s="12" t="s">
        <v>62</v>
      </c>
      <c r="G6" s="34" t="s">
        <v>63</v>
      </c>
    </row>
    <row r="7" spans="1:7" x14ac:dyDescent="0.3">
      <c r="A7" s="11">
        <v>4</v>
      </c>
      <c r="B7" s="12" t="s">
        <v>64</v>
      </c>
      <c r="C7" s="12" t="s">
        <v>19</v>
      </c>
      <c r="D7" s="12" t="s">
        <v>142</v>
      </c>
      <c r="E7" s="12" t="s">
        <v>1763</v>
      </c>
      <c r="F7" s="12" t="s">
        <v>65</v>
      </c>
      <c r="G7" s="34" t="s">
        <v>66</v>
      </c>
    </row>
    <row r="8" spans="1:7" x14ac:dyDescent="0.3">
      <c r="A8" s="11">
        <v>5</v>
      </c>
      <c r="B8" s="12" t="s">
        <v>67</v>
      </c>
      <c r="C8" s="12" t="s">
        <v>19</v>
      </c>
      <c r="D8" s="12" t="s">
        <v>19</v>
      </c>
      <c r="E8" s="12" t="s">
        <v>1763</v>
      </c>
      <c r="F8" s="12" t="s">
        <v>68</v>
      </c>
      <c r="G8" s="34" t="s">
        <v>69</v>
      </c>
    </row>
    <row r="9" spans="1:7" x14ac:dyDescent="0.3">
      <c r="A9" s="11">
        <v>6</v>
      </c>
      <c r="B9" s="12" t="s">
        <v>70</v>
      </c>
      <c r="C9" s="12" t="s">
        <v>19</v>
      </c>
      <c r="D9" s="12" t="s">
        <v>19</v>
      </c>
      <c r="E9" s="12" t="s">
        <v>1764</v>
      </c>
      <c r="F9" s="12" t="s">
        <v>71</v>
      </c>
      <c r="G9" s="34" t="s">
        <v>72</v>
      </c>
    </row>
    <row r="10" spans="1:7" x14ac:dyDescent="0.3">
      <c r="A10" s="11">
        <v>7</v>
      </c>
      <c r="B10" s="12" t="s">
        <v>73</v>
      </c>
      <c r="C10" s="12" t="s">
        <v>19</v>
      </c>
      <c r="D10" s="12" t="s">
        <v>19</v>
      </c>
      <c r="E10" s="12" t="s">
        <v>1764</v>
      </c>
      <c r="F10" s="12" t="s">
        <v>74</v>
      </c>
      <c r="G10" s="34" t="s">
        <v>75</v>
      </c>
    </row>
    <row r="11" spans="1:7" x14ac:dyDescent="0.3">
      <c r="A11" s="11">
        <v>8</v>
      </c>
      <c r="B11" s="12" t="s">
        <v>76</v>
      </c>
      <c r="C11" s="12" t="s">
        <v>19</v>
      </c>
      <c r="D11" s="12" t="s">
        <v>142</v>
      </c>
      <c r="E11" s="12" t="s">
        <v>1763</v>
      </c>
      <c r="F11" s="12" t="s">
        <v>77</v>
      </c>
      <c r="G11" s="34" t="s">
        <v>78</v>
      </c>
    </row>
    <row r="12" spans="1:7" x14ac:dyDescent="0.3">
      <c r="A12" s="11">
        <v>9</v>
      </c>
      <c r="B12" s="12" t="s">
        <v>79</v>
      </c>
      <c r="C12" s="12" t="s">
        <v>19</v>
      </c>
      <c r="D12" s="12" t="s">
        <v>142</v>
      </c>
      <c r="E12" s="12" t="s">
        <v>1763</v>
      </c>
      <c r="F12" s="12" t="s">
        <v>80</v>
      </c>
      <c r="G12" s="34" t="s">
        <v>81</v>
      </c>
    </row>
    <row r="13" spans="1:7" x14ac:dyDescent="0.3">
      <c r="A13" s="11">
        <v>10</v>
      </c>
      <c r="B13" s="12" t="s">
        <v>82</v>
      </c>
      <c r="C13" s="12" t="s">
        <v>19</v>
      </c>
      <c r="D13" s="12" t="s">
        <v>19</v>
      </c>
      <c r="E13" s="12" t="s">
        <v>1764</v>
      </c>
      <c r="F13" s="12" t="s">
        <v>83</v>
      </c>
      <c r="G13" s="34" t="s">
        <v>84</v>
      </c>
    </row>
    <row r="14" spans="1:7" x14ac:dyDescent="0.3">
      <c r="A14" s="11">
        <v>11</v>
      </c>
      <c r="B14" s="12" t="s">
        <v>85</v>
      </c>
      <c r="C14" s="12" t="s">
        <v>19</v>
      </c>
      <c r="D14" s="12" t="s">
        <v>19</v>
      </c>
      <c r="E14" s="12" t="s">
        <v>1765</v>
      </c>
      <c r="F14" s="12" t="s">
        <v>86</v>
      </c>
      <c r="G14" s="34" t="s">
        <v>87</v>
      </c>
    </row>
    <row r="15" spans="1:7" x14ac:dyDescent="0.3">
      <c r="A15" s="11">
        <v>12</v>
      </c>
      <c r="B15" s="12" t="s">
        <v>88</v>
      </c>
      <c r="C15" s="12" t="s">
        <v>19</v>
      </c>
      <c r="D15" s="12" t="s">
        <v>142</v>
      </c>
      <c r="E15" s="12" t="s">
        <v>1763</v>
      </c>
      <c r="F15" s="12" t="s">
        <v>89</v>
      </c>
      <c r="G15" s="34" t="s">
        <v>90</v>
      </c>
    </row>
    <row r="16" spans="1:7" x14ac:dyDescent="0.3">
      <c r="A16" s="11">
        <v>13</v>
      </c>
      <c r="B16" s="12" t="s">
        <v>91</v>
      </c>
      <c r="C16" s="12" t="s">
        <v>19</v>
      </c>
      <c r="D16" s="12" t="s">
        <v>19</v>
      </c>
      <c r="E16" s="12" t="s">
        <v>1763</v>
      </c>
      <c r="F16" s="12" t="s">
        <v>92</v>
      </c>
      <c r="G16" s="34" t="s">
        <v>93</v>
      </c>
    </row>
    <row r="17" spans="1:7" x14ac:dyDescent="0.3">
      <c r="A17" s="11">
        <v>14</v>
      </c>
      <c r="B17" s="12" t="s">
        <v>94</v>
      </c>
      <c r="C17" s="12" t="s">
        <v>19</v>
      </c>
      <c r="D17" s="12" t="s">
        <v>142</v>
      </c>
      <c r="E17" s="12" t="s">
        <v>1763</v>
      </c>
      <c r="F17" s="12" t="s">
        <v>95</v>
      </c>
      <c r="G17" s="34" t="s">
        <v>96</v>
      </c>
    </row>
    <row r="18" spans="1:7" x14ac:dyDescent="0.3">
      <c r="A18" s="11">
        <v>15</v>
      </c>
      <c r="B18" s="12" t="s">
        <v>410</v>
      </c>
      <c r="C18" s="12" t="s">
        <v>19</v>
      </c>
      <c r="D18" s="12" t="s">
        <v>142</v>
      </c>
      <c r="E18" s="12" t="s">
        <v>1763</v>
      </c>
      <c r="F18" s="13" t="s">
        <v>97</v>
      </c>
      <c r="G18" s="34" t="s">
        <v>98</v>
      </c>
    </row>
    <row r="19" spans="1:7" x14ac:dyDescent="0.3">
      <c r="A19" s="11">
        <v>16</v>
      </c>
      <c r="B19" s="12" t="s">
        <v>99</v>
      </c>
      <c r="C19" s="12" t="s">
        <v>19</v>
      </c>
      <c r="D19" s="12" t="s">
        <v>142</v>
      </c>
      <c r="E19" s="12" t="s">
        <v>1763</v>
      </c>
      <c r="F19" s="12" t="s">
        <v>100</v>
      </c>
      <c r="G19" s="34" t="s">
        <v>101</v>
      </c>
    </row>
    <row r="20" spans="1:7" x14ac:dyDescent="0.3">
      <c r="A20" s="11">
        <v>17</v>
      </c>
      <c r="B20" s="12" t="s">
        <v>102</v>
      </c>
      <c r="C20" s="12" t="s">
        <v>19</v>
      </c>
      <c r="D20" s="12" t="s">
        <v>19</v>
      </c>
      <c r="E20" s="12" t="s">
        <v>1764</v>
      </c>
      <c r="F20" s="12" t="s">
        <v>103</v>
      </c>
      <c r="G20" s="34" t="s">
        <v>104</v>
      </c>
    </row>
    <row r="21" spans="1:7" x14ac:dyDescent="0.3">
      <c r="A21" s="11">
        <v>18</v>
      </c>
      <c r="B21" s="12" t="s">
        <v>105</v>
      </c>
      <c r="C21" s="12" t="s">
        <v>19</v>
      </c>
      <c r="D21" s="12" t="s">
        <v>142</v>
      </c>
      <c r="E21" s="12" t="s">
        <v>1763</v>
      </c>
      <c r="F21" s="12" t="s">
        <v>106</v>
      </c>
      <c r="G21" s="34" t="s">
        <v>107</v>
      </c>
    </row>
    <row r="22" spans="1:7" x14ac:dyDescent="0.3">
      <c r="A22" s="11">
        <v>19</v>
      </c>
      <c r="B22" s="12" t="s">
        <v>111</v>
      </c>
      <c r="C22" s="12" t="s">
        <v>19</v>
      </c>
      <c r="D22" s="12" t="s">
        <v>142</v>
      </c>
      <c r="E22" s="12" t="s">
        <v>1763</v>
      </c>
      <c r="F22" s="12" t="s">
        <v>112</v>
      </c>
      <c r="G22" s="34" t="s">
        <v>113</v>
      </c>
    </row>
    <row r="23" spans="1:7" x14ac:dyDescent="0.3">
      <c r="A23" s="11">
        <v>20</v>
      </c>
      <c r="B23" s="12" t="s">
        <v>114</v>
      </c>
      <c r="C23" s="12" t="s">
        <v>19</v>
      </c>
      <c r="D23" s="12" t="s">
        <v>142</v>
      </c>
      <c r="E23" s="12" t="s">
        <v>1763</v>
      </c>
      <c r="F23" s="12" t="s">
        <v>115</v>
      </c>
      <c r="G23" s="34" t="s">
        <v>116</v>
      </c>
    </row>
    <row r="24" spans="1:7" x14ac:dyDescent="0.3">
      <c r="A24" s="11">
        <v>21</v>
      </c>
      <c r="B24" s="12" t="s">
        <v>117</v>
      </c>
      <c r="C24" s="12" t="s">
        <v>19</v>
      </c>
      <c r="D24" s="12" t="s">
        <v>142</v>
      </c>
      <c r="E24" s="12" t="s">
        <v>1762</v>
      </c>
      <c r="F24" s="273" t="s">
        <v>118</v>
      </c>
      <c r="G24" s="34" t="s">
        <v>119</v>
      </c>
    </row>
    <row r="25" spans="1:7" x14ac:dyDescent="0.3">
      <c r="A25" s="11">
        <v>22</v>
      </c>
      <c r="B25" s="12" t="s">
        <v>120</v>
      </c>
      <c r="C25" s="12" t="s">
        <v>19</v>
      </c>
      <c r="D25" s="12" t="s">
        <v>142</v>
      </c>
      <c r="E25" s="12" t="s">
        <v>1763</v>
      </c>
      <c r="F25" s="273" t="s">
        <v>121</v>
      </c>
      <c r="G25" s="34" t="s">
        <v>122</v>
      </c>
    </row>
    <row r="26" spans="1:7" x14ac:dyDescent="0.3">
      <c r="A26" s="11">
        <v>23</v>
      </c>
      <c r="B26" s="12" t="s">
        <v>123</v>
      </c>
      <c r="C26" s="12" t="s">
        <v>19</v>
      </c>
      <c r="D26" s="12" t="s">
        <v>142</v>
      </c>
      <c r="E26" s="12" t="s">
        <v>1763</v>
      </c>
      <c r="F26" s="273" t="s">
        <v>124</v>
      </c>
      <c r="G26" s="34" t="s">
        <v>125</v>
      </c>
    </row>
    <row r="27" spans="1:7" x14ac:dyDescent="0.3">
      <c r="A27" s="11">
        <v>24</v>
      </c>
      <c r="B27" s="12" t="s">
        <v>126</v>
      </c>
      <c r="C27" s="12" t="s">
        <v>19</v>
      </c>
      <c r="D27" s="12" t="s">
        <v>19</v>
      </c>
      <c r="E27" s="12" t="s">
        <v>1762</v>
      </c>
      <c r="F27" s="273" t="s">
        <v>127</v>
      </c>
      <c r="G27" s="34" t="s">
        <v>128</v>
      </c>
    </row>
    <row r="30" spans="1:7" x14ac:dyDescent="0.3">
      <c r="G30" s="40" t="s">
        <v>1158</v>
      </c>
    </row>
    <row r="31" spans="1:7" x14ac:dyDescent="0.3">
      <c r="G31" s="40" t="s">
        <v>1159</v>
      </c>
    </row>
    <row r="34" spans="2:7" ht="23.4" x14ac:dyDescent="0.3">
      <c r="B34" s="312" t="s">
        <v>4039</v>
      </c>
    </row>
    <row r="38" spans="2:7" x14ac:dyDescent="0.3">
      <c r="G38" s="40" t="s">
        <v>79</v>
      </c>
    </row>
    <row r="39" spans="2:7" x14ac:dyDescent="0.3">
      <c r="G39" s="40" t="s">
        <v>1160</v>
      </c>
    </row>
  </sheetData>
  <autoFilter ref="A3:G27" xr:uid="{6EF4016B-45E1-4AA6-A237-AFB1DC071B15}"/>
  <mergeCells count="5">
    <mergeCell ref="A1:G1"/>
    <mergeCell ref="C2:D2"/>
    <mergeCell ref="B2:B3"/>
    <mergeCell ref="A2:A3"/>
    <mergeCell ref="E2:E3"/>
  </mergeCells>
  <hyperlinks>
    <hyperlink ref="G4" r:id="rId1" xr:uid="{02175F0F-B672-4E31-AD3A-31C799C2A890}"/>
    <hyperlink ref="G5" r:id="rId2" xr:uid="{1F8757EA-0AD2-4498-B5C3-A44FEC44C73C}"/>
    <hyperlink ref="G6" r:id="rId3" xr:uid="{4AFBD063-444E-4041-B77D-A963DCD685D7}"/>
    <hyperlink ref="G7" r:id="rId4" xr:uid="{413F113C-5EB4-4854-9EAA-5AE5FAC96FBA}"/>
    <hyperlink ref="G8" r:id="rId5" xr:uid="{4298A782-B60C-4491-900E-65052B031E02}"/>
    <hyperlink ref="G9" r:id="rId6" xr:uid="{C96B1A11-BE9B-45CC-B664-1DFEF28C11E7}"/>
    <hyperlink ref="G10" r:id="rId7" xr:uid="{62E1B4B5-7CD2-4597-9D43-C962F35FAB69}"/>
    <hyperlink ref="G11" r:id="rId8" xr:uid="{F13B65C0-E7E5-4B45-96AE-503345A9722F}"/>
    <hyperlink ref="G12" r:id="rId9" xr:uid="{67F4B6EA-1B77-45A2-8CDC-D6DF093037C7}"/>
    <hyperlink ref="G13" r:id="rId10" xr:uid="{5B144087-C5FE-4EE5-8824-499EC8D401BC}"/>
    <hyperlink ref="G14" r:id="rId11" xr:uid="{820C55A1-641B-4C03-AA4B-049BC4B26708}"/>
    <hyperlink ref="G15" r:id="rId12" xr:uid="{EDA51143-35B2-43CC-AF03-47688B9D59EA}"/>
    <hyperlink ref="G16" r:id="rId13" xr:uid="{C4AB9667-B9CB-4010-AD06-0D57A2FBFE01}"/>
    <hyperlink ref="G17" r:id="rId14" xr:uid="{AB0FFAC4-C8F9-481A-BEB0-7E1E3B93AEBC}"/>
    <hyperlink ref="G19" r:id="rId15" xr:uid="{DD9603FD-3921-446E-9F35-7A5EF66CA0D9}"/>
    <hyperlink ref="G20" r:id="rId16" xr:uid="{21B0B448-6B9D-4BAF-99E4-D8DDD3D9FD14}"/>
    <hyperlink ref="G21" r:id="rId17" xr:uid="{AB76DDFF-A906-4255-B8D5-D737A24CE622}"/>
    <hyperlink ref="G22" r:id="rId18" xr:uid="{D970D0A1-B5E5-49DC-9864-A66C305C2795}"/>
    <hyperlink ref="G23" r:id="rId19" xr:uid="{869C4790-0E2E-4CBF-9255-184619C22631}"/>
    <hyperlink ref="G24" r:id="rId20" xr:uid="{D40742D9-1959-40C6-994F-9A08962090D6}"/>
    <hyperlink ref="G25" r:id="rId21" xr:uid="{6A57A277-B8F6-4C6B-946E-F283BCEB5CF4}"/>
    <hyperlink ref="G26" r:id="rId22" xr:uid="{6A7AC3C7-559A-4F65-92B2-970E780AE401}"/>
    <hyperlink ref="G27" r:id="rId23" xr:uid="{EDE5959B-C903-4E23-A3AB-441995982D42}"/>
    <hyperlink ref="B34" location="'Daftar Sheet'!A1" display="&lt;&lt;&lt; Daftar Sheet" xr:uid="{32445E42-8CF8-4E54-BF62-16997D3B8B7A}"/>
    <hyperlink ref="G18" r:id="rId24" xr:uid="{A72F2834-FC81-4B66-BFB6-80D9852FD1B7}"/>
  </hyperlinks>
  <pageMargins left="0.7" right="0.7" top="0.75" bottom="0.75" header="0.3" footer="0.3"/>
  <pageSetup paperSize="216" scale="57" fitToHeight="0" orientation="landscape" horizontalDpi="300" verticalDpi="300" r:id="rId25"/>
  <rowBreaks count="1" manualBreakCount="1">
    <brk id="40" max="3" man="1"/>
  </rowBreaks>
  <drawing r:id="rId2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B08D-3BA0-412C-BD28-0D5ADC07FC0A}">
  <dimension ref="A2:Q30"/>
  <sheetViews>
    <sheetView tabSelected="1" zoomScale="70" zoomScaleNormal="70" workbookViewId="0">
      <selection activeCell="L33" sqref="L33"/>
    </sheetView>
  </sheetViews>
  <sheetFormatPr defaultRowHeight="14.4" x14ac:dyDescent="0.3"/>
  <cols>
    <col min="2" max="2" width="24" bestFit="1" customWidth="1"/>
    <col min="3" max="10" width="8.77734375" style="10"/>
    <col min="11" max="11" width="19.6640625" style="111" customWidth="1"/>
    <col min="12" max="13" width="50" style="10" bestFit="1" customWidth="1"/>
    <col min="14" max="14" width="52.5546875" style="10" bestFit="1" customWidth="1"/>
    <col min="15" max="15" width="82.77734375" style="10" bestFit="1" customWidth="1"/>
    <col min="16" max="17" width="8.77734375" style="10"/>
  </cols>
  <sheetData>
    <row r="2" spans="1:15" ht="28.95" customHeight="1" x14ac:dyDescent="0.3">
      <c r="A2" s="391" t="s">
        <v>51</v>
      </c>
      <c r="B2" s="391" t="s">
        <v>1556</v>
      </c>
      <c r="C2" s="391" t="s">
        <v>1557</v>
      </c>
      <c r="D2" s="391"/>
      <c r="E2" s="391"/>
      <c r="F2" s="391"/>
      <c r="G2" s="391"/>
      <c r="H2" s="391"/>
      <c r="I2" s="391"/>
      <c r="J2" s="391"/>
      <c r="K2" s="390" t="s">
        <v>1558</v>
      </c>
      <c r="L2" s="391" t="s">
        <v>1559</v>
      </c>
      <c r="M2" s="391"/>
      <c r="N2" s="391"/>
      <c r="O2" s="391" t="s">
        <v>137</v>
      </c>
    </row>
    <row r="3" spans="1:15" x14ac:dyDescent="0.3">
      <c r="A3" s="391"/>
      <c r="B3" s="391"/>
      <c r="C3" s="391" t="s">
        <v>1560</v>
      </c>
      <c r="D3" s="391"/>
      <c r="E3" s="391"/>
      <c r="F3" s="391"/>
      <c r="G3" s="391" t="s">
        <v>1561</v>
      </c>
      <c r="H3" s="391"/>
      <c r="I3" s="391"/>
      <c r="J3" s="391"/>
      <c r="K3" s="390"/>
      <c r="L3" s="391"/>
      <c r="M3" s="391"/>
      <c r="N3" s="391"/>
      <c r="O3" s="391"/>
    </row>
    <row r="4" spans="1:15" x14ac:dyDescent="0.3">
      <c r="A4" s="391"/>
      <c r="B4" s="391"/>
      <c r="C4" s="103" t="s">
        <v>1551</v>
      </c>
      <c r="D4" s="103" t="s">
        <v>1552</v>
      </c>
      <c r="E4" s="103" t="s">
        <v>1553</v>
      </c>
      <c r="F4" s="103" t="s">
        <v>1562</v>
      </c>
      <c r="G4" s="103" t="s">
        <v>1551</v>
      </c>
      <c r="H4" s="103" t="s">
        <v>1552</v>
      </c>
      <c r="I4" s="103" t="s">
        <v>1553</v>
      </c>
      <c r="J4" s="103" t="s">
        <v>1562</v>
      </c>
      <c r="K4" s="390"/>
      <c r="L4" s="103" t="s">
        <v>1551</v>
      </c>
      <c r="M4" s="103" t="s">
        <v>1552</v>
      </c>
      <c r="N4" s="103" t="s">
        <v>1553</v>
      </c>
      <c r="O4" s="391"/>
    </row>
    <row r="5" spans="1:15" x14ac:dyDescent="0.3">
      <c r="A5" s="3">
        <v>1</v>
      </c>
      <c r="B5" s="9" t="s">
        <v>1563</v>
      </c>
      <c r="C5" s="6">
        <v>12</v>
      </c>
      <c r="D5" s="6">
        <v>16</v>
      </c>
      <c r="E5" s="6">
        <v>24</v>
      </c>
      <c r="F5" s="313">
        <f>IF(OR(ISBLANK(C5),ISBLANK(D5),ISBLANK(E5)),"",(C5+D5+E5)/3)</f>
        <v>17.333333333333332</v>
      </c>
      <c r="G5" s="6">
        <v>0</v>
      </c>
      <c r="H5" s="6">
        <v>0</v>
      </c>
      <c r="I5" s="6">
        <v>0</v>
      </c>
      <c r="J5" s="313">
        <f t="shared" ref="J5:J28" si="0">IF(OR(ISBLANK(G5),ISBLANK(H5),ISBLANK(I5)),0,(G5+H5+I5)/3)</f>
        <v>0</v>
      </c>
      <c r="K5" s="314">
        <f t="shared" ref="K5:K28" si="1">IF(OR(LEN(F5)=0,LEN(J5)=0),"",(F5+J5)/2)</f>
        <v>8.6666666666666661</v>
      </c>
      <c r="L5" s="315" t="s">
        <v>2362</v>
      </c>
      <c r="M5" s="316" t="s">
        <v>2363</v>
      </c>
      <c r="N5" s="316" t="s">
        <v>2364</v>
      </c>
      <c r="O5" s="402" t="s">
        <v>1567</v>
      </c>
    </row>
    <row r="6" spans="1:15" x14ac:dyDescent="0.3">
      <c r="A6" s="3">
        <v>2</v>
      </c>
      <c r="B6" s="9" t="s">
        <v>543</v>
      </c>
      <c r="C6" s="6">
        <v>11</v>
      </c>
      <c r="D6" s="6">
        <v>22</v>
      </c>
      <c r="E6" s="6">
        <v>36</v>
      </c>
      <c r="F6" s="313">
        <f>IF(OR(ISBLANK(C6),ISBLANK(D6),ISBLANK(E6)),"",(C6+D6+E6)/3)</f>
        <v>23</v>
      </c>
      <c r="G6" s="6">
        <v>0</v>
      </c>
      <c r="H6" s="6">
        <v>0</v>
      </c>
      <c r="I6" s="6">
        <v>0</v>
      </c>
      <c r="J6" s="313">
        <f t="shared" si="0"/>
        <v>0</v>
      </c>
      <c r="K6" s="314">
        <f t="shared" si="1"/>
        <v>11.5</v>
      </c>
      <c r="L6" s="315" t="s">
        <v>2362</v>
      </c>
      <c r="M6" s="315" t="s">
        <v>2363</v>
      </c>
      <c r="N6" s="315" t="s">
        <v>2364</v>
      </c>
      <c r="O6" s="403"/>
    </row>
    <row r="7" spans="1:15" x14ac:dyDescent="0.3">
      <c r="A7" s="3">
        <v>3</v>
      </c>
      <c r="B7" s="9" t="s">
        <v>1564</v>
      </c>
      <c r="C7" s="6">
        <v>12</v>
      </c>
      <c r="D7" s="6">
        <v>16</v>
      </c>
      <c r="E7" s="6">
        <v>13</v>
      </c>
      <c r="F7" s="313">
        <f t="shared" ref="F7:F28" si="2">IF(OR(ISBLANK(C7),ISBLANK(D7),ISBLANK(E7)),"",(C7+D7+E7)/3)</f>
        <v>13.666666666666666</v>
      </c>
      <c r="G7" s="6">
        <v>0</v>
      </c>
      <c r="H7" s="6">
        <v>0</v>
      </c>
      <c r="I7" s="6">
        <v>0</v>
      </c>
      <c r="J7" s="313">
        <f t="shared" si="0"/>
        <v>0</v>
      </c>
      <c r="K7" s="314">
        <f t="shared" si="1"/>
        <v>6.833333333333333</v>
      </c>
      <c r="L7" s="315" t="s">
        <v>2362</v>
      </c>
      <c r="M7" s="315" t="s">
        <v>2363</v>
      </c>
      <c r="N7" s="315" t="s">
        <v>2364</v>
      </c>
      <c r="O7" s="403"/>
    </row>
    <row r="8" spans="1:15" x14ac:dyDescent="0.3">
      <c r="A8" s="3">
        <v>4</v>
      </c>
      <c r="B8" s="9" t="s">
        <v>356</v>
      </c>
      <c r="C8" s="6">
        <v>7</v>
      </c>
      <c r="D8" s="6">
        <v>9</v>
      </c>
      <c r="E8" s="6">
        <v>17</v>
      </c>
      <c r="F8" s="313">
        <f t="shared" si="2"/>
        <v>11</v>
      </c>
      <c r="G8" s="6">
        <v>0</v>
      </c>
      <c r="H8" s="6">
        <v>0</v>
      </c>
      <c r="I8" s="6">
        <v>0</v>
      </c>
      <c r="J8" s="313">
        <f t="shared" si="0"/>
        <v>0</v>
      </c>
      <c r="K8" s="314">
        <f t="shared" si="1"/>
        <v>5.5</v>
      </c>
      <c r="L8" s="315" t="s">
        <v>2362</v>
      </c>
      <c r="M8" s="315" t="s">
        <v>2363</v>
      </c>
      <c r="N8" s="315" t="s">
        <v>2364</v>
      </c>
      <c r="O8" s="403"/>
    </row>
    <row r="9" spans="1:15" x14ac:dyDescent="0.3">
      <c r="A9" s="3">
        <v>5</v>
      </c>
      <c r="B9" s="315" t="s">
        <v>387</v>
      </c>
      <c r="C9" s="6">
        <v>11</v>
      </c>
      <c r="D9" s="6">
        <v>13</v>
      </c>
      <c r="E9" s="6">
        <v>19</v>
      </c>
      <c r="F9" s="313">
        <f t="shared" si="2"/>
        <v>14.333333333333334</v>
      </c>
      <c r="G9" s="6">
        <v>0</v>
      </c>
      <c r="H9" s="6">
        <v>0</v>
      </c>
      <c r="I9" s="6">
        <v>0</v>
      </c>
      <c r="J9" s="313">
        <f t="shared" si="0"/>
        <v>0</v>
      </c>
      <c r="K9" s="314">
        <f t="shared" si="1"/>
        <v>7.166666666666667</v>
      </c>
      <c r="L9" s="315" t="s">
        <v>2362</v>
      </c>
      <c r="M9" s="315" t="s">
        <v>2363</v>
      </c>
      <c r="N9" s="315" t="s">
        <v>2364</v>
      </c>
      <c r="O9" s="403"/>
    </row>
    <row r="10" spans="1:15" x14ac:dyDescent="0.3">
      <c r="A10" s="3">
        <v>6</v>
      </c>
      <c r="B10" s="9" t="s">
        <v>415</v>
      </c>
      <c r="C10" s="6">
        <v>8</v>
      </c>
      <c r="D10" s="6">
        <v>9</v>
      </c>
      <c r="E10" s="6">
        <v>19</v>
      </c>
      <c r="F10" s="313">
        <f t="shared" si="2"/>
        <v>12</v>
      </c>
      <c r="G10" s="6">
        <v>0</v>
      </c>
      <c r="H10" s="6">
        <v>0</v>
      </c>
      <c r="I10" s="6">
        <v>0</v>
      </c>
      <c r="J10" s="313">
        <f t="shared" si="0"/>
        <v>0</v>
      </c>
      <c r="K10" s="314">
        <f t="shared" si="1"/>
        <v>6</v>
      </c>
      <c r="L10" s="315" t="s">
        <v>2362</v>
      </c>
      <c r="M10" s="316" t="s">
        <v>2363</v>
      </c>
      <c r="N10" s="316" t="s">
        <v>2364</v>
      </c>
      <c r="O10" s="403"/>
    </row>
    <row r="11" spans="1:15" x14ac:dyDescent="0.3">
      <c r="A11" s="3">
        <v>7</v>
      </c>
      <c r="B11" s="9" t="s">
        <v>1027</v>
      </c>
      <c r="C11" s="6">
        <v>10</v>
      </c>
      <c r="D11" s="6">
        <v>12</v>
      </c>
      <c r="E11" s="6">
        <v>17</v>
      </c>
      <c r="F11" s="313">
        <f t="shared" si="2"/>
        <v>13</v>
      </c>
      <c r="G11" s="6">
        <v>0</v>
      </c>
      <c r="H11" s="6">
        <v>0</v>
      </c>
      <c r="I11" s="6">
        <v>0</v>
      </c>
      <c r="J11" s="313">
        <f t="shared" si="0"/>
        <v>0</v>
      </c>
      <c r="K11" s="314">
        <f t="shared" si="1"/>
        <v>6.5</v>
      </c>
      <c r="L11" s="315" t="s">
        <v>2362</v>
      </c>
      <c r="M11" s="316" t="s">
        <v>2363</v>
      </c>
      <c r="N11" s="316" t="s">
        <v>2364</v>
      </c>
      <c r="O11" s="403"/>
    </row>
    <row r="12" spans="1:15" x14ac:dyDescent="0.3">
      <c r="A12" s="3">
        <v>8</v>
      </c>
      <c r="B12" s="9" t="s">
        <v>1058</v>
      </c>
      <c r="C12" s="6">
        <v>0</v>
      </c>
      <c r="D12" s="6">
        <v>13</v>
      </c>
      <c r="E12" s="6">
        <v>13</v>
      </c>
      <c r="F12" s="313">
        <f t="shared" si="2"/>
        <v>8.6666666666666661</v>
      </c>
      <c r="G12" s="6">
        <v>0</v>
      </c>
      <c r="H12" s="6">
        <v>0</v>
      </c>
      <c r="I12" s="6">
        <v>0</v>
      </c>
      <c r="J12" s="313">
        <f t="shared" si="0"/>
        <v>0</v>
      </c>
      <c r="K12" s="314">
        <f t="shared" si="1"/>
        <v>4.333333333333333</v>
      </c>
      <c r="L12" s="315" t="s">
        <v>2362</v>
      </c>
      <c r="M12" s="315" t="s">
        <v>2363</v>
      </c>
      <c r="N12" s="315" t="s">
        <v>2364</v>
      </c>
      <c r="O12" s="403"/>
    </row>
    <row r="13" spans="1:15" x14ac:dyDescent="0.3">
      <c r="A13" s="3">
        <v>9</v>
      </c>
      <c r="B13" s="9" t="s">
        <v>572</v>
      </c>
      <c r="C13" s="6">
        <v>11</v>
      </c>
      <c r="D13" s="6">
        <v>20</v>
      </c>
      <c r="E13" s="6">
        <v>23</v>
      </c>
      <c r="F13" s="313">
        <f t="shared" si="2"/>
        <v>18</v>
      </c>
      <c r="G13" s="6">
        <v>0</v>
      </c>
      <c r="H13" s="6">
        <v>0</v>
      </c>
      <c r="I13" s="6">
        <v>0</v>
      </c>
      <c r="J13" s="313">
        <f t="shared" si="0"/>
        <v>0</v>
      </c>
      <c r="K13" s="314">
        <f t="shared" si="1"/>
        <v>9</v>
      </c>
      <c r="L13" s="315" t="s">
        <v>2362</v>
      </c>
      <c r="M13" s="315" t="s">
        <v>2363</v>
      </c>
      <c r="N13" s="315" t="s">
        <v>2364</v>
      </c>
      <c r="O13" s="403"/>
    </row>
    <row r="14" spans="1:15" x14ac:dyDescent="0.3">
      <c r="A14" s="3">
        <v>10</v>
      </c>
      <c r="B14" s="315" t="s">
        <v>401</v>
      </c>
      <c r="C14" s="6">
        <v>7</v>
      </c>
      <c r="D14" s="6">
        <v>8</v>
      </c>
      <c r="E14" s="6">
        <v>14</v>
      </c>
      <c r="F14" s="313">
        <f t="shared" si="2"/>
        <v>9.6666666666666661</v>
      </c>
      <c r="G14" s="6">
        <v>0</v>
      </c>
      <c r="H14" s="6">
        <v>0</v>
      </c>
      <c r="I14" s="6">
        <v>0</v>
      </c>
      <c r="J14" s="313">
        <f t="shared" si="0"/>
        <v>0</v>
      </c>
      <c r="K14" s="314">
        <f t="shared" si="1"/>
        <v>4.833333333333333</v>
      </c>
      <c r="L14" s="315" t="s">
        <v>2362</v>
      </c>
      <c r="M14" s="315" t="s">
        <v>2363</v>
      </c>
      <c r="N14" s="315" t="s">
        <v>2364</v>
      </c>
      <c r="O14" s="403"/>
    </row>
    <row r="15" spans="1:15" x14ac:dyDescent="0.3">
      <c r="A15" s="3">
        <v>11</v>
      </c>
      <c r="B15" s="9" t="s">
        <v>546</v>
      </c>
      <c r="C15" s="6">
        <v>4</v>
      </c>
      <c r="D15" s="6">
        <v>15</v>
      </c>
      <c r="E15" s="6">
        <v>21</v>
      </c>
      <c r="F15" s="313">
        <f t="shared" si="2"/>
        <v>13.333333333333334</v>
      </c>
      <c r="G15" s="6">
        <v>0</v>
      </c>
      <c r="H15" s="6">
        <v>0</v>
      </c>
      <c r="I15" s="6">
        <v>0</v>
      </c>
      <c r="J15" s="313">
        <f t="shared" si="0"/>
        <v>0</v>
      </c>
      <c r="K15" s="314">
        <f t="shared" si="1"/>
        <v>6.666666666666667</v>
      </c>
      <c r="L15" s="315" t="s">
        <v>2362</v>
      </c>
      <c r="M15" s="315" t="s">
        <v>2363</v>
      </c>
      <c r="N15" s="315" t="s">
        <v>2364</v>
      </c>
      <c r="O15" s="403"/>
    </row>
    <row r="16" spans="1:15" x14ac:dyDescent="0.3">
      <c r="A16" s="3">
        <v>12</v>
      </c>
      <c r="B16" s="9" t="s">
        <v>366</v>
      </c>
      <c r="C16" s="6">
        <v>0</v>
      </c>
      <c r="D16" s="6">
        <v>0</v>
      </c>
      <c r="E16" s="6">
        <v>0</v>
      </c>
      <c r="F16" s="313">
        <f t="shared" si="2"/>
        <v>0</v>
      </c>
      <c r="G16" s="6">
        <v>0</v>
      </c>
      <c r="H16" s="6">
        <v>0</v>
      </c>
      <c r="I16" s="6">
        <v>0</v>
      </c>
      <c r="J16" s="313">
        <f t="shared" si="0"/>
        <v>0</v>
      </c>
      <c r="K16" s="314">
        <f t="shared" si="1"/>
        <v>0</v>
      </c>
      <c r="L16" s="315" t="s">
        <v>2362</v>
      </c>
      <c r="M16" s="316" t="s">
        <v>2363</v>
      </c>
      <c r="N16" s="316" t="s">
        <v>2364</v>
      </c>
      <c r="O16" s="403"/>
    </row>
    <row r="17" spans="1:15" x14ac:dyDescent="0.3">
      <c r="A17" s="3">
        <v>13</v>
      </c>
      <c r="B17" s="9" t="s">
        <v>607</v>
      </c>
      <c r="C17" s="6">
        <v>11</v>
      </c>
      <c r="D17" s="6">
        <v>14</v>
      </c>
      <c r="E17" s="6">
        <v>16</v>
      </c>
      <c r="F17" s="313">
        <f t="shared" si="2"/>
        <v>13.666666666666666</v>
      </c>
      <c r="G17" s="6">
        <v>0</v>
      </c>
      <c r="H17" s="6">
        <v>0</v>
      </c>
      <c r="I17" s="6">
        <v>0</v>
      </c>
      <c r="J17" s="313">
        <f t="shared" si="0"/>
        <v>0</v>
      </c>
      <c r="K17" s="314">
        <f t="shared" si="1"/>
        <v>6.833333333333333</v>
      </c>
      <c r="L17" s="315" t="s">
        <v>2362</v>
      </c>
      <c r="M17" s="316" t="s">
        <v>2363</v>
      </c>
      <c r="N17" s="316" t="s">
        <v>2364</v>
      </c>
      <c r="O17" s="403"/>
    </row>
    <row r="18" spans="1:15" x14ac:dyDescent="0.3">
      <c r="A18" s="3">
        <v>14</v>
      </c>
      <c r="B18" s="9" t="s">
        <v>91</v>
      </c>
      <c r="C18" s="6">
        <v>12</v>
      </c>
      <c r="D18" s="6">
        <v>23</v>
      </c>
      <c r="E18" s="6">
        <v>27</v>
      </c>
      <c r="F18" s="313">
        <f t="shared" si="2"/>
        <v>20.666666666666668</v>
      </c>
      <c r="G18" s="6">
        <v>0</v>
      </c>
      <c r="H18" s="6">
        <v>0</v>
      </c>
      <c r="I18" s="6">
        <v>0</v>
      </c>
      <c r="J18" s="313">
        <f t="shared" si="0"/>
        <v>0</v>
      </c>
      <c r="K18" s="314">
        <f t="shared" si="1"/>
        <v>10.333333333333334</v>
      </c>
      <c r="L18" s="315" t="s">
        <v>2362</v>
      </c>
      <c r="M18" s="315" t="s">
        <v>2363</v>
      </c>
      <c r="N18" s="315" t="s">
        <v>2364</v>
      </c>
      <c r="O18" s="403"/>
    </row>
    <row r="19" spans="1:15" x14ac:dyDescent="0.3">
      <c r="A19" s="3">
        <v>15</v>
      </c>
      <c r="B19" s="315" t="s">
        <v>1028</v>
      </c>
      <c r="C19" s="6">
        <v>9</v>
      </c>
      <c r="D19" s="6">
        <v>11</v>
      </c>
      <c r="E19" s="6">
        <v>21</v>
      </c>
      <c r="F19" s="313">
        <f t="shared" si="2"/>
        <v>13.666666666666666</v>
      </c>
      <c r="G19" s="6">
        <v>3</v>
      </c>
      <c r="H19" s="6">
        <v>0</v>
      </c>
      <c r="I19" s="6">
        <v>0</v>
      </c>
      <c r="J19" s="313">
        <f t="shared" si="0"/>
        <v>1</v>
      </c>
      <c r="K19" s="314">
        <f t="shared" si="1"/>
        <v>7.333333333333333</v>
      </c>
      <c r="L19" s="315" t="s">
        <v>2362</v>
      </c>
      <c r="M19" s="315" t="s">
        <v>2363</v>
      </c>
      <c r="N19" s="315" t="s">
        <v>2364</v>
      </c>
      <c r="O19" s="403"/>
    </row>
    <row r="20" spans="1:15" x14ac:dyDescent="0.3">
      <c r="A20" s="3">
        <v>16</v>
      </c>
      <c r="B20" s="9" t="s">
        <v>370</v>
      </c>
      <c r="C20" s="6">
        <v>0</v>
      </c>
      <c r="D20" s="6">
        <v>0</v>
      </c>
      <c r="E20" s="6">
        <v>7</v>
      </c>
      <c r="F20" s="313">
        <f t="shared" si="2"/>
        <v>2.3333333333333335</v>
      </c>
      <c r="G20" s="6">
        <v>0</v>
      </c>
      <c r="H20" s="6">
        <v>0</v>
      </c>
      <c r="I20" s="6">
        <v>0</v>
      </c>
      <c r="J20" s="313">
        <f t="shared" si="0"/>
        <v>0</v>
      </c>
      <c r="K20" s="314">
        <f t="shared" si="1"/>
        <v>1.1666666666666667</v>
      </c>
      <c r="L20" s="315" t="s">
        <v>2362</v>
      </c>
      <c r="M20" s="315" t="s">
        <v>2363</v>
      </c>
      <c r="N20" s="315" t="s">
        <v>2364</v>
      </c>
      <c r="O20" s="403"/>
    </row>
    <row r="21" spans="1:15" x14ac:dyDescent="0.3">
      <c r="A21" s="3">
        <v>17</v>
      </c>
      <c r="B21" s="9" t="s">
        <v>1023</v>
      </c>
      <c r="C21" s="6">
        <v>0</v>
      </c>
      <c r="D21" s="6">
        <v>0</v>
      </c>
      <c r="E21" s="6">
        <v>0</v>
      </c>
      <c r="F21" s="313">
        <f t="shared" si="2"/>
        <v>0</v>
      </c>
      <c r="G21" s="6">
        <v>0</v>
      </c>
      <c r="H21" s="6">
        <v>0</v>
      </c>
      <c r="I21" s="6">
        <v>0</v>
      </c>
      <c r="J21" s="313">
        <f t="shared" si="0"/>
        <v>0</v>
      </c>
      <c r="K21" s="314">
        <f t="shared" si="1"/>
        <v>0</v>
      </c>
      <c r="L21" s="315" t="s">
        <v>2362</v>
      </c>
      <c r="M21" s="315" t="s">
        <v>2363</v>
      </c>
      <c r="N21" s="315" t="s">
        <v>2364</v>
      </c>
      <c r="O21" s="403"/>
    </row>
    <row r="22" spans="1:15" x14ac:dyDescent="0.3">
      <c r="A22" s="3">
        <v>18</v>
      </c>
      <c r="B22" s="9" t="s">
        <v>538</v>
      </c>
      <c r="C22" s="6">
        <v>0</v>
      </c>
      <c r="D22" s="6">
        <v>0</v>
      </c>
      <c r="E22" s="6">
        <v>6</v>
      </c>
      <c r="F22" s="313">
        <f t="shared" si="2"/>
        <v>2</v>
      </c>
      <c r="G22" s="6">
        <v>0</v>
      </c>
      <c r="H22" s="6">
        <v>0</v>
      </c>
      <c r="I22" s="6">
        <v>0</v>
      </c>
      <c r="J22" s="313">
        <f t="shared" si="0"/>
        <v>0</v>
      </c>
      <c r="K22" s="314">
        <f t="shared" si="1"/>
        <v>1</v>
      </c>
      <c r="L22" s="315" t="s">
        <v>2362</v>
      </c>
      <c r="M22" s="316" t="s">
        <v>2363</v>
      </c>
      <c r="N22" s="316" t="s">
        <v>2364</v>
      </c>
      <c r="O22" s="403"/>
    </row>
    <row r="23" spans="1:15" x14ac:dyDescent="0.3">
      <c r="A23" s="3">
        <v>19</v>
      </c>
      <c r="B23" s="9" t="s">
        <v>1031</v>
      </c>
      <c r="C23" s="6">
        <v>0</v>
      </c>
      <c r="D23" s="6">
        <v>0</v>
      </c>
      <c r="E23" s="6">
        <v>6</v>
      </c>
      <c r="F23" s="313">
        <f t="shared" si="2"/>
        <v>2</v>
      </c>
      <c r="G23" s="6">
        <v>0</v>
      </c>
      <c r="H23" s="6">
        <v>0</v>
      </c>
      <c r="I23" s="6">
        <v>0</v>
      </c>
      <c r="J23" s="313">
        <f t="shared" si="0"/>
        <v>0</v>
      </c>
      <c r="K23" s="314">
        <f t="shared" si="1"/>
        <v>1</v>
      </c>
      <c r="L23" s="315" t="s">
        <v>2362</v>
      </c>
      <c r="M23" s="316" t="s">
        <v>2363</v>
      </c>
      <c r="N23" s="316" t="s">
        <v>2364</v>
      </c>
      <c r="O23" s="403"/>
    </row>
    <row r="24" spans="1:15" x14ac:dyDescent="0.3">
      <c r="A24" s="3">
        <v>20</v>
      </c>
      <c r="B24" s="315" t="s">
        <v>1566</v>
      </c>
      <c r="C24" s="6">
        <v>8</v>
      </c>
      <c r="D24" s="6">
        <v>11</v>
      </c>
      <c r="E24" s="6">
        <v>19</v>
      </c>
      <c r="F24" s="313">
        <f t="shared" si="2"/>
        <v>12.666666666666666</v>
      </c>
      <c r="G24" s="6">
        <v>0</v>
      </c>
      <c r="H24" s="6">
        <v>0</v>
      </c>
      <c r="I24" s="6">
        <v>0</v>
      </c>
      <c r="J24" s="313">
        <f t="shared" si="0"/>
        <v>0</v>
      </c>
      <c r="K24" s="314">
        <f t="shared" si="1"/>
        <v>6.333333333333333</v>
      </c>
      <c r="L24" s="315" t="s">
        <v>2362</v>
      </c>
      <c r="M24" s="315" t="s">
        <v>2363</v>
      </c>
      <c r="N24" s="315" t="s">
        <v>2364</v>
      </c>
      <c r="O24" s="403"/>
    </row>
    <row r="25" spans="1:15" x14ac:dyDescent="0.3">
      <c r="A25" s="3">
        <v>21</v>
      </c>
      <c r="B25" s="9" t="s">
        <v>412</v>
      </c>
      <c r="C25" s="6">
        <v>14</v>
      </c>
      <c r="D25" s="6">
        <v>17</v>
      </c>
      <c r="E25" s="6">
        <v>17</v>
      </c>
      <c r="F25" s="313">
        <f t="shared" si="2"/>
        <v>16</v>
      </c>
      <c r="G25" s="6">
        <v>0</v>
      </c>
      <c r="H25" s="6">
        <v>0</v>
      </c>
      <c r="I25" s="6">
        <v>0</v>
      </c>
      <c r="J25" s="313">
        <f t="shared" si="0"/>
        <v>0</v>
      </c>
      <c r="K25" s="314">
        <f t="shared" si="1"/>
        <v>8</v>
      </c>
      <c r="L25" s="315" t="s">
        <v>2362</v>
      </c>
      <c r="M25" s="315" t="s">
        <v>2363</v>
      </c>
      <c r="N25" s="315" t="s">
        <v>2364</v>
      </c>
      <c r="O25" s="403"/>
    </row>
    <row r="26" spans="1:15" x14ac:dyDescent="0.3">
      <c r="A26" s="3">
        <v>22</v>
      </c>
      <c r="B26" s="9" t="s">
        <v>610</v>
      </c>
      <c r="C26" s="6">
        <v>13</v>
      </c>
      <c r="D26" s="6">
        <v>22</v>
      </c>
      <c r="E26" s="6">
        <v>27</v>
      </c>
      <c r="F26" s="313">
        <f t="shared" si="2"/>
        <v>20.666666666666668</v>
      </c>
      <c r="G26" s="6">
        <v>0</v>
      </c>
      <c r="H26" s="6">
        <v>0</v>
      </c>
      <c r="I26" s="6">
        <v>0</v>
      </c>
      <c r="J26" s="313">
        <f t="shared" si="0"/>
        <v>0</v>
      </c>
      <c r="K26" s="314">
        <f t="shared" si="1"/>
        <v>10.333333333333334</v>
      </c>
      <c r="L26" s="315" t="s">
        <v>2362</v>
      </c>
      <c r="M26" s="315" t="s">
        <v>2363</v>
      </c>
      <c r="N26" s="315" t="s">
        <v>2364</v>
      </c>
      <c r="O26" s="403"/>
    </row>
    <row r="27" spans="1:15" x14ac:dyDescent="0.3">
      <c r="A27" s="3">
        <v>23</v>
      </c>
      <c r="B27" s="9" t="s">
        <v>852</v>
      </c>
      <c r="C27" s="6">
        <v>0</v>
      </c>
      <c r="D27" s="6">
        <v>0</v>
      </c>
      <c r="E27" s="6">
        <v>0</v>
      </c>
      <c r="F27" s="313">
        <f t="shared" si="2"/>
        <v>0</v>
      </c>
      <c r="G27" s="6">
        <v>0</v>
      </c>
      <c r="H27" s="6">
        <v>0</v>
      </c>
      <c r="I27" s="6">
        <v>0</v>
      </c>
      <c r="J27" s="313">
        <f t="shared" si="0"/>
        <v>0</v>
      </c>
      <c r="K27" s="314">
        <f t="shared" si="1"/>
        <v>0</v>
      </c>
      <c r="L27" s="315" t="s">
        <v>2362</v>
      </c>
      <c r="M27" s="315" t="s">
        <v>2363</v>
      </c>
      <c r="N27" s="315" t="s">
        <v>2364</v>
      </c>
      <c r="O27" s="403"/>
    </row>
    <row r="28" spans="1:15" x14ac:dyDescent="0.3">
      <c r="A28" s="294">
        <v>24</v>
      </c>
      <c r="B28" s="9" t="s">
        <v>410</v>
      </c>
      <c r="C28" s="6">
        <v>6</v>
      </c>
      <c r="D28" s="6">
        <v>13</v>
      </c>
      <c r="E28" s="6">
        <v>15</v>
      </c>
      <c r="F28" s="313">
        <f t="shared" si="2"/>
        <v>11.333333333333334</v>
      </c>
      <c r="G28" s="6">
        <v>0</v>
      </c>
      <c r="H28" s="6">
        <v>0</v>
      </c>
      <c r="I28" s="6">
        <v>0</v>
      </c>
      <c r="J28" s="313">
        <f t="shared" si="0"/>
        <v>0</v>
      </c>
      <c r="K28" s="314">
        <f t="shared" si="1"/>
        <v>5.666666666666667</v>
      </c>
      <c r="L28" s="315" t="s">
        <v>2362</v>
      </c>
      <c r="M28" s="315" t="s">
        <v>2363</v>
      </c>
      <c r="N28" s="315" t="s">
        <v>2364</v>
      </c>
      <c r="O28" s="403"/>
    </row>
    <row r="30" spans="1:15" ht="23.4" x14ac:dyDescent="0.3">
      <c r="B30" s="312" t="s">
        <v>4039</v>
      </c>
    </row>
  </sheetData>
  <protectedRanges>
    <protectedRange sqref="B5:E27 G5:I27 L5:N27" name="Tabel 3a2_1"/>
    <protectedRange sqref="B28:E28 G28:I28 L28:N28" name="Tabel 3a2_2"/>
  </protectedRanges>
  <mergeCells count="9">
    <mergeCell ref="O5:O28"/>
    <mergeCell ref="K2:K4"/>
    <mergeCell ref="L2:N3"/>
    <mergeCell ref="O2:O4"/>
    <mergeCell ref="A2:A4"/>
    <mergeCell ref="B2:B4"/>
    <mergeCell ref="G3:J3"/>
    <mergeCell ref="C3:F3"/>
    <mergeCell ref="C2:J2"/>
  </mergeCells>
  <phoneticPr fontId="61" type="noConversion"/>
  <dataValidations count="1">
    <dataValidation type="decimal" operator="greaterThanOrEqual" allowBlank="1" showDropDown="1" showInputMessage="1" showErrorMessage="1" prompt="Data harus diisi dalam bentuk angka" sqref="C5:E28 G5:I28" xr:uid="{84BBB0A5-7779-438F-837C-4A2CF1B6C376}">
      <formula1>0</formula1>
    </dataValidation>
  </dataValidations>
  <hyperlinks>
    <hyperlink ref="B30" location="'Daftar Sheet'!A1" display="&lt;&lt;&lt; Daftar Sheet" xr:uid="{4CE24627-6D64-4079-83AA-693803A2F1BB}"/>
    <hyperlink ref="O5" r:id="rId1" xr:uid="{1EAA07D8-67C8-453F-A4B5-8EAB9096CEFA}"/>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C922-11B9-44EC-92DA-7D1219714F8C}">
  <dimension ref="A2:L30"/>
  <sheetViews>
    <sheetView zoomScale="85" zoomScaleNormal="85" workbookViewId="0">
      <selection activeCell="I22" sqref="I22"/>
    </sheetView>
  </sheetViews>
  <sheetFormatPr defaultRowHeight="14.4" x14ac:dyDescent="0.3"/>
  <cols>
    <col min="1" max="1" width="3.88671875" style="10" bestFit="1" customWidth="1"/>
    <col min="2" max="2" width="24" bestFit="1" customWidth="1"/>
    <col min="3" max="3" width="8.77734375" style="10"/>
    <col min="4" max="4" width="12.109375" style="10" customWidth="1"/>
    <col min="5" max="5" width="14" style="10" customWidth="1"/>
    <col min="6" max="6" width="14.21875" style="10" customWidth="1"/>
    <col min="7" max="7" width="9.6640625" style="10" bestFit="1" customWidth="1"/>
    <col min="8" max="8" width="8.77734375" style="10"/>
    <col min="9" max="9" width="17.6640625" style="10" customWidth="1"/>
    <col min="10" max="10" width="13.77734375" style="10" customWidth="1"/>
    <col min="11" max="11" width="14" style="10" customWidth="1"/>
    <col min="12" max="12" width="84.6640625" bestFit="1" customWidth="1"/>
  </cols>
  <sheetData>
    <row r="2" spans="1:12" ht="32.549999999999997" customHeight="1" x14ac:dyDescent="0.3">
      <c r="A2" s="391" t="s">
        <v>51</v>
      </c>
      <c r="B2" s="391" t="s">
        <v>1568</v>
      </c>
      <c r="C2" s="391" t="s">
        <v>1569</v>
      </c>
      <c r="D2" s="390" t="s">
        <v>1570</v>
      </c>
      <c r="E2" s="390"/>
      <c r="F2" s="390"/>
      <c r="G2" s="390"/>
      <c r="H2" s="390"/>
      <c r="I2" s="390"/>
      <c r="J2" s="390" t="s">
        <v>1571</v>
      </c>
      <c r="K2" s="390" t="s">
        <v>1572</v>
      </c>
      <c r="L2" s="391" t="s">
        <v>137</v>
      </c>
    </row>
    <row r="3" spans="1:12" x14ac:dyDescent="0.3">
      <c r="A3" s="391"/>
      <c r="B3" s="391"/>
      <c r="C3" s="391"/>
      <c r="D3" s="390" t="s">
        <v>1573</v>
      </c>
      <c r="E3" s="390"/>
      <c r="F3" s="390"/>
      <c r="G3" s="391" t="s">
        <v>1574</v>
      </c>
      <c r="H3" s="391" t="s">
        <v>1575</v>
      </c>
      <c r="I3" s="390" t="s">
        <v>1576</v>
      </c>
      <c r="J3" s="390"/>
      <c r="K3" s="390"/>
      <c r="L3" s="391"/>
    </row>
    <row r="4" spans="1:12" ht="28.8" x14ac:dyDescent="0.3">
      <c r="A4" s="391"/>
      <c r="B4" s="391"/>
      <c r="C4" s="391"/>
      <c r="D4" s="108" t="s">
        <v>1577</v>
      </c>
      <c r="E4" s="108" t="s">
        <v>1578</v>
      </c>
      <c r="F4" s="108" t="s">
        <v>1579</v>
      </c>
      <c r="G4" s="391"/>
      <c r="H4" s="391"/>
      <c r="I4" s="390"/>
      <c r="J4" s="390"/>
      <c r="K4" s="390"/>
      <c r="L4" s="391"/>
    </row>
    <row r="5" spans="1:12" x14ac:dyDescent="0.3">
      <c r="A5" s="3">
        <v>1</v>
      </c>
      <c r="B5" s="9" t="s">
        <v>1563</v>
      </c>
      <c r="C5" s="6" t="s">
        <v>1016</v>
      </c>
      <c r="D5" s="6">
        <v>20</v>
      </c>
      <c r="E5" s="6"/>
      <c r="F5" s="6"/>
      <c r="G5" s="6">
        <v>0</v>
      </c>
      <c r="H5" s="6">
        <v>0</v>
      </c>
      <c r="I5" s="6">
        <v>2</v>
      </c>
      <c r="J5" s="317">
        <f t="shared" ref="J5:J28" si="0">IF(AND(ISBLANK(D5),ISBLANK(E5),ISBLANK(F5),ISBLANK(G5),ISBLANK(H5),ISBLANK(I5)),"", SUM(D5:I5))</f>
        <v>22</v>
      </c>
      <c r="K5" s="318">
        <f t="shared" ref="K5:K28" si="1">IF(J5="","",J5/2)</f>
        <v>11</v>
      </c>
      <c r="L5" s="404" t="s">
        <v>1580</v>
      </c>
    </row>
    <row r="6" spans="1:12" x14ac:dyDescent="0.3">
      <c r="A6" s="3">
        <v>2</v>
      </c>
      <c r="B6" s="9" t="s">
        <v>543</v>
      </c>
      <c r="C6" s="6" t="s">
        <v>1016</v>
      </c>
      <c r="D6" s="6">
        <v>18</v>
      </c>
      <c r="E6" s="6"/>
      <c r="F6" s="6"/>
      <c r="G6" s="6">
        <f>1.75+0</f>
        <v>1.75</v>
      </c>
      <c r="H6" s="6">
        <f>0.25+0</f>
        <v>0.25</v>
      </c>
      <c r="I6" s="6">
        <f>1.25+1.75</f>
        <v>3</v>
      </c>
      <c r="J6" s="317">
        <f t="shared" si="0"/>
        <v>23</v>
      </c>
      <c r="K6" s="318">
        <f t="shared" si="1"/>
        <v>11.5</v>
      </c>
      <c r="L6" s="405"/>
    </row>
    <row r="7" spans="1:12" x14ac:dyDescent="0.3">
      <c r="A7" s="3">
        <v>3</v>
      </c>
      <c r="B7" s="9" t="s">
        <v>1564</v>
      </c>
      <c r="C7" s="6" t="s">
        <v>1016</v>
      </c>
      <c r="D7" s="6">
        <v>22</v>
      </c>
      <c r="E7" s="6"/>
      <c r="F7" s="6"/>
      <c r="G7" s="6">
        <f>0+0</f>
        <v>0</v>
      </c>
      <c r="H7" s="6">
        <f>0+0</f>
        <v>0</v>
      </c>
      <c r="I7" s="6">
        <f>2.25</f>
        <v>2.25</v>
      </c>
      <c r="J7" s="317">
        <f t="shared" si="0"/>
        <v>24.25</v>
      </c>
      <c r="K7" s="318">
        <f t="shared" si="1"/>
        <v>12.125</v>
      </c>
      <c r="L7" s="405"/>
    </row>
    <row r="8" spans="1:12" x14ac:dyDescent="0.3">
      <c r="A8" s="3">
        <v>4</v>
      </c>
      <c r="B8" s="9" t="s">
        <v>356</v>
      </c>
      <c r="C8" s="6" t="s">
        <v>1016</v>
      </c>
      <c r="D8" s="6">
        <f>(10.5-1.5)+8.5</f>
        <v>17.5</v>
      </c>
      <c r="E8" s="6">
        <f>0.75+0.75</f>
        <v>1.5</v>
      </c>
      <c r="F8" s="6"/>
      <c r="G8" s="6">
        <f>2.625+4.75</f>
        <v>7.375</v>
      </c>
      <c r="H8" s="6">
        <f>0+0</f>
        <v>0</v>
      </c>
      <c r="I8" s="6">
        <f>1.25+0.5</f>
        <v>1.75</v>
      </c>
      <c r="J8" s="317">
        <f t="shared" si="0"/>
        <v>28.125</v>
      </c>
      <c r="K8" s="318">
        <f t="shared" si="1"/>
        <v>14.0625</v>
      </c>
      <c r="L8" s="405"/>
    </row>
    <row r="9" spans="1:12" x14ac:dyDescent="0.3">
      <c r="A9" s="3">
        <v>5</v>
      </c>
      <c r="B9" s="9" t="s">
        <v>387</v>
      </c>
      <c r="C9" s="6" t="s">
        <v>1016</v>
      </c>
      <c r="D9" s="6">
        <f>(2+3+3+1.5+3+3)</f>
        <v>15.5</v>
      </c>
      <c r="E9" s="6">
        <f>(3+1+1+0.75+0.75)</f>
        <v>6.5</v>
      </c>
      <c r="F9" s="6"/>
      <c r="G9" s="6">
        <f>2.25+2.667</f>
        <v>4.9169999999999998</v>
      </c>
      <c r="H9" s="6">
        <f>0.75</f>
        <v>0.75</v>
      </c>
      <c r="I9" s="6">
        <f>1.875+2.25</f>
        <v>4.125</v>
      </c>
      <c r="J9" s="317">
        <f t="shared" si="0"/>
        <v>31.792000000000002</v>
      </c>
      <c r="K9" s="318">
        <f t="shared" si="1"/>
        <v>15.896000000000001</v>
      </c>
      <c r="L9" s="405"/>
    </row>
    <row r="10" spans="1:12" x14ac:dyDescent="0.3">
      <c r="A10" s="3">
        <v>6</v>
      </c>
      <c r="B10" s="9" t="s">
        <v>415</v>
      </c>
      <c r="C10" s="6" t="s">
        <v>1016</v>
      </c>
      <c r="D10" s="6">
        <f>(2+2+0.5+0.5+5+3)</f>
        <v>13</v>
      </c>
      <c r="E10" s="6">
        <f>0.75+3+1.5+1.5+1+0.75</f>
        <v>8.5</v>
      </c>
      <c r="F10" s="6"/>
      <c r="G10" s="6">
        <f>3.75+1.25</f>
        <v>5</v>
      </c>
      <c r="H10" s="6">
        <f>0.5</f>
        <v>0.5</v>
      </c>
      <c r="I10" s="6">
        <f>1.375+3.5</f>
        <v>4.875</v>
      </c>
      <c r="J10" s="317">
        <f t="shared" si="0"/>
        <v>31.875</v>
      </c>
      <c r="K10" s="318">
        <f t="shared" si="1"/>
        <v>15.9375</v>
      </c>
      <c r="L10" s="405"/>
    </row>
    <row r="11" spans="1:12" x14ac:dyDescent="0.3">
      <c r="A11" s="3">
        <v>7</v>
      </c>
      <c r="B11" s="9" t="s">
        <v>1027</v>
      </c>
      <c r="C11" s="6" t="s">
        <v>1016</v>
      </c>
      <c r="D11" s="6">
        <f>2+2+2+2+2+1.5+0.5+0.5+0.5+0.25+0.25+0.25</f>
        <v>13.75</v>
      </c>
      <c r="E11" s="6">
        <f>3+1.5+3+1.5+1+0.25</f>
        <v>10.25</v>
      </c>
      <c r="F11" s="6"/>
      <c r="G11" s="6">
        <f>3.833+2.55</f>
        <v>6.383</v>
      </c>
      <c r="H11" s="6">
        <f>0</f>
        <v>0</v>
      </c>
      <c r="I11" s="6">
        <f>0.5+1</f>
        <v>1.5</v>
      </c>
      <c r="J11" s="317">
        <f t="shared" si="0"/>
        <v>31.882999999999999</v>
      </c>
      <c r="K11" s="318">
        <f t="shared" si="1"/>
        <v>15.9415</v>
      </c>
      <c r="L11" s="405"/>
    </row>
    <row r="12" spans="1:12" x14ac:dyDescent="0.3">
      <c r="A12" s="3">
        <v>8</v>
      </c>
      <c r="B12" s="9" t="s">
        <v>1058</v>
      </c>
      <c r="C12" s="6" t="s">
        <v>1016</v>
      </c>
      <c r="D12" s="6">
        <f>9+12.75</f>
        <v>21.75</v>
      </c>
      <c r="E12" s="6"/>
      <c r="F12" s="6"/>
      <c r="G12" s="6">
        <f>2.5+2.5</f>
        <v>5</v>
      </c>
      <c r="H12" s="6">
        <f>0.25+0.5</f>
        <v>0.75</v>
      </c>
      <c r="I12" s="6">
        <f>0.75+0</f>
        <v>0.75</v>
      </c>
      <c r="J12" s="317">
        <f t="shared" si="0"/>
        <v>28.25</v>
      </c>
      <c r="K12" s="318">
        <f t="shared" si="1"/>
        <v>14.125</v>
      </c>
      <c r="L12" s="405"/>
    </row>
    <row r="13" spans="1:12" x14ac:dyDescent="0.3">
      <c r="A13" s="3">
        <v>9</v>
      </c>
      <c r="B13" s="9" t="s">
        <v>572</v>
      </c>
      <c r="C13" s="6" t="s">
        <v>1016</v>
      </c>
      <c r="D13" s="6">
        <f>11.75+12.25</f>
        <v>24</v>
      </c>
      <c r="E13" s="6"/>
      <c r="F13" s="6"/>
      <c r="G13" s="6">
        <f>1.875+2.25</f>
        <v>4.125</v>
      </c>
      <c r="H13" s="6">
        <f>0.25+0.25</f>
        <v>0.5</v>
      </c>
      <c r="I13" s="6">
        <f>0.75+1.25</f>
        <v>2</v>
      </c>
      <c r="J13" s="317">
        <f t="shared" si="0"/>
        <v>30.625</v>
      </c>
      <c r="K13" s="318">
        <f t="shared" si="1"/>
        <v>15.3125</v>
      </c>
      <c r="L13" s="405"/>
    </row>
    <row r="14" spans="1:12" x14ac:dyDescent="0.3">
      <c r="A14" s="3">
        <v>10</v>
      </c>
      <c r="B14" s="9" t="s">
        <v>401</v>
      </c>
      <c r="C14" s="6" t="s">
        <v>1016</v>
      </c>
      <c r="D14" s="6">
        <f>12.5+10</f>
        <v>22.5</v>
      </c>
      <c r="E14" s="6"/>
      <c r="F14" s="6"/>
      <c r="G14" s="6">
        <f>1.5+2.2</f>
        <v>3.7</v>
      </c>
      <c r="H14" s="6">
        <f>0+0.25</f>
        <v>0.25</v>
      </c>
      <c r="I14" s="6">
        <f>1.625+3.125</f>
        <v>4.75</v>
      </c>
      <c r="J14" s="317">
        <f t="shared" si="0"/>
        <v>31.2</v>
      </c>
      <c r="K14" s="318">
        <f t="shared" si="1"/>
        <v>15.6</v>
      </c>
      <c r="L14" s="405"/>
    </row>
    <row r="15" spans="1:12" x14ac:dyDescent="0.3">
      <c r="A15" s="3">
        <v>11</v>
      </c>
      <c r="B15" s="9" t="s">
        <v>546</v>
      </c>
      <c r="C15" s="6" t="s">
        <v>1016</v>
      </c>
      <c r="D15" s="6">
        <f>10+13.875</f>
        <v>23.875</v>
      </c>
      <c r="E15" s="6"/>
      <c r="F15" s="6"/>
      <c r="G15" s="6">
        <f>2.5+0.625</f>
        <v>3.125</v>
      </c>
      <c r="H15" s="6">
        <f>0+0</f>
        <v>0</v>
      </c>
      <c r="I15" s="6">
        <f>1.1875+1.375</f>
        <v>2.5625</v>
      </c>
      <c r="J15" s="317">
        <f t="shared" si="0"/>
        <v>29.5625</v>
      </c>
      <c r="K15" s="318">
        <f t="shared" si="1"/>
        <v>14.78125</v>
      </c>
      <c r="L15" s="405"/>
    </row>
    <row r="16" spans="1:12" x14ac:dyDescent="0.3">
      <c r="A16" s="3">
        <v>12</v>
      </c>
      <c r="B16" s="9" t="s">
        <v>366</v>
      </c>
      <c r="C16" s="6" t="s">
        <v>1016</v>
      </c>
      <c r="D16" s="6">
        <f>12+12</f>
        <v>24</v>
      </c>
      <c r="E16" s="6"/>
      <c r="F16" s="6"/>
      <c r="G16" s="6">
        <f>0</f>
        <v>0</v>
      </c>
      <c r="H16" s="6">
        <f>0</f>
        <v>0</v>
      </c>
      <c r="I16" s="6">
        <f>0</f>
        <v>0</v>
      </c>
      <c r="J16" s="317">
        <f t="shared" si="0"/>
        <v>24</v>
      </c>
      <c r="K16" s="318">
        <f t="shared" si="1"/>
        <v>12</v>
      </c>
      <c r="L16" s="405"/>
    </row>
    <row r="17" spans="1:12" x14ac:dyDescent="0.3">
      <c r="A17" s="3">
        <v>13</v>
      </c>
      <c r="B17" s="9" t="s">
        <v>607</v>
      </c>
      <c r="C17" s="6" t="s">
        <v>1016</v>
      </c>
      <c r="D17" s="6">
        <f>11.5+11.5</f>
        <v>23</v>
      </c>
      <c r="E17" s="6"/>
      <c r="F17" s="6"/>
      <c r="G17" s="6">
        <f>2.1+2.77</f>
        <v>4.87</v>
      </c>
      <c r="H17" s="6">
        <f>0+0.25</f>
        <v>0.25</v>
      </c>
      <c r="I17" s="6">
        <f>0.125+1.375</f>
        <v>1.5</v>
      </c>
      <c r="J17" s="317">
        <f t="shared" si="0"/>
        <v>29.62</v>
      </c>
      <c r="K17" s="318">
        <f t="shared" si="1"/>
        <v>14.81</v>
      </c>
      <c r="L17" s="405"/>
    </row>
    <row r="18" spans="1:12" x14ac:dyDescent="0.3">
      <c r="A18" s="3">
        <v>14</v>
      </c>
      <c r="B18" s="9" t="s">
        <v>91</v>
      </c>
      <c r="C18" s="6" t="s">
        <v>1016</v>
      </c>
      <c r="D18" s="6">
        <f>3+0.5+2+0.5+2+0.5+3+1+2+0.5+3+2</f>
        <v>20</v>
      </c>
      <c r="E18" s="6">
        <f>3+1+0.25+0.25+0.25+0.25+0.25</f>
        <v>5.25</v>
      </c>
      <c r="F18" s="6"/>
      <c r="G18" s="6">
        <f>1.5+3</f>
        <v>4.5</v>
      </c>
      <c r="H18" s="6">
        <f>0.5+0</f>
        <v>0.5</v>
      </c>
      <c r="I18" s="6">
        <f>0.5+1.25</f>
        <v>1.75</v>
      </c>
      <c r="J18" s="317">
        <f t="shared" si="0"/>
        <v>32</v>
      </c>
      <c r="K18" s="318">
        <f t="shared" si="1"/>
        <v>16</v>
      </c>
      <c r="L18" s="405"/>
    </row>
    <row r="19" spans="1:12" x14ac:dyDescent="0.3">
      <c r="A19" s="3">
        <v>15</v>
      </c>
      <c r="B19" s="9" t="s">
        <v>852</v>
      </c>
      <c r="C19" s="6" t="s">
        <v>1016</v>
      </c>
      <c r="D19" s="6">
        <f>12+3.5</f>
        <v>15.5</v>
      </c>
      <c r="E19" s="6"/>
      <c r="F19" s="6"/>
      <c r="G19" s="6">
        <f>1+6.25</f>
        <v>7.25</v>
      </c>
      <c r="H19" s="6">
        <f>4+1</f>
        <v>5</v>
      </c>
      <c r="I19" s="6">
        <f>1.5+1.5</f>
        <v>3</v>
      </c>
      <c r="J19" s="317">
        <f t="shared" si="0"/>
        <v>30.75</v>
      </c>
      <c r="K19" s="318">
        <f t="shared" si="1"/>
        <v>15.375</v>
      </c>
      <c r="L19" s="405"/>
    </row>
    <row r="20" spans="1:12" x14ac:dyDescent="0.3">
      <c r="A20" s="3">
        <v>16</v>
      </c>
      <c r="B20" s="9" t="s">
        <v>1028</v>
      </c>
      <c r="C20" s="6" t="s">
        <v>1016</v>
      </c>
      <c r="D20" s="6">
        <v>20.75</v>
      </c>
      <c r="E20" s="6"/>
      <c r="F20" s="6"/>
      <c r="G20" s="6">
        <f>1.75+0</f>
        <v>1.75</v>
      </c>
      <c r="H20" s="6">
        <f>0.25+0.25</f>
        <v>0.5</v>
      </c>
      <c r="I20" s="6">
        <f>0.5+0.5</f>
        <v>1</v>
      </c>
      <c r="J20" s="317">
        <f t="shared" si="0"/>
        <v>24</v>
      </c>
      <c r="K20" s="318">
        <f t="shared" si="1"/>
        <v>12</v>
      </c>
      <c r="L20" s="405"/>
    </row>
    <row r="21" spans="1:12" x14ac:dyDescent="0.3">
      <c r="A21" s="3">
        <v>17</v>
      </c>
      <c r="B21" s="9" t="s">
        <v>370</v>
      </c>
      <c r="C21" s="6" t="s">
        <v>1016</v>
      </c>
      <c r="D21" s="6">
        <f>11.5+11.5</f>
        <v>23</v>
      </c>
      <c r="E21" s="6"/>
      <c r="F21" s="6"/>
      <c r="G21" s="6">
        <f>2.33+2.5</f>
        <v>4.83</v>
      </c>
      <c r="H21" s="6">
        <f>0.25+0.625</f>
        <v>0.875</v>
      </c>
      <c r="I21" s="6">
        <f>1.75+1.25</f>
        <v>3</v>
      </c>
      <c r="J21" s="317">
        <f t="shared" si="0"/>
        <v>31.704999999999998</v>
      </c>
      <c r="K21" s="318">
        <f t="shared" si="1"/>
        <v>15.852499999999999</v>
      </c>
      <c r="L21" s="405"/>
    </row>
    <row r="22" spans="1:12" x14ac:dyDescent="0.3">
      <c r="A22" s="3">
        <v>18</v>
      </c>
      <c r="B22" s="9" t="s">
        <v>1023</v>
      </c>
      <c r="C22" s="6" t="s">
        <v>1016</v>
      </c>
      <c r="D22" s="6">
        <f>4.75+11.5</f>
        <v>16.25</v>
      </c>
      <c r="E22" s="6"/>
      <c r="F22" s="6"/>
      <c r="G22" s="6">
        <f>4.38+0.833</f>
        <v>5.2130000000000001</v>
      </c>
      <c r="H22" s="6">
        <f>2.63+1.63</f>
        <v>4.26</v>
      </c>
      <c r="I22" s="6">
        <f>1.25+0.25</f>
        <v>1.5</v>
      </c>
      <c r="J22" s="317">
        <f t="shared" si="0"/>
        <v>27.222999999999999</v>
      </c>
      <c r="K22" s="318">
        <f t="shared" si="1"/>
        <v>13.611499999999999</v>
      </c>
      <c r="L22" s="405"/>
    </row>
    <row r="23" spans="1:12" x14ac:dyDescent="0.3">
      <c r="A23" s="3">
        <v>19</v>
      </c>
      <c r="B23" s="9" t="s">
        <v>538</v>
      </c>
      <c r="C23" s="6" t="s">
        <v>1016</v>
      </c>
      <c r="D23" s="6">
        <f>12+10.25</f>
        <v>22.25</v>
      </c>
      <c r="E23" s="6"/>
      <c r="F23" s="6"/>
      <c r="G23" s="6">
        <f>1.61+1.385</f>
        <v>2.9950000000000001</v>
      </c>
      <c r="H23" s="6">
        <f>0.63+1.125</f>
        <v>1.7549999999999999</v>
      </c>
      <c r="I23" s="6">
        <f>0.63+1.125</f>
        <v>1.7549999999999999</v>
      </c>
      <c r="J23" s="317">
        <f t="shared" si="0"/>
        <v>28.754999999999999</v>
      </c>
      <c r="K23" s="318">
        <f t="shared" si="1"/>
        <v>14.3775</v>
      </c>
      <c r="L23" s="405"/>
    </row>
    <row r="24" spans="1:12" x14ac:dyDescent="0.3">
      <c r="A24" s="3">
        <v>20</v>
      </c>
      <c r="B24" s="9" t="s">
        <v>1031</v>
      </c>
      <c r="C24" s="6" t="s">
        <v>1016</v>
      </c>
      <c r="D24" s="6">
        <f>12+10.7</f>
        <v>22.7</v>
      </c>
      <c r="E24" s="6"/>
      <c r="F24" s="6"/>
      <c r="G24" s="6">
        <f>1.61+0</f>
        <v>1.61</v>
      </c>
      <c r="H24" s="6">
        <f>0.625+0.25</f>
        <v>0.875</v>
      </c>
      <c r="I24" s="6">
        <f>0.625+1</f>
        <v>1.625</v>
      </c>
      <c r="J24" s="317">
        <f t="shared" si="0"/>
        <v>26.81</v>
      </c>
      <c r="K24" s="318">
        <f t="shared" si="1"/>
        <v>13.404999999999999</v>
      </c>
      <c r="L24" s="405"/>
    </row>
    <row r="25" spans="1:12" x14ac:dyDescent="0.3">
      <c r="A25" s="3">
        <v>21</v>
      </c>
      <c r="B25" s="9" t="s">
        <v>1566</v>
      </c>
      <c r="C25" s="6" t="s">
        <v>1016</v>
      </c>
      <c r="D25" s="6">
        <f>11+11.75</f>
        <v>22.75</v>
      </c>
      <c r="E25" s="6"/>
      <c r="F25" s="6"/>
      <c r="G25" s="6">
        <f>2.5+3.125</f>
        <v>5.625</v>
      </c>
      <c r="H25" s="6">
        <f>0.25+0</f>
        <v>0.25</v>
      </c>
      <c r="I25" s="6">
        <f>0.75+0.75</f>
        <v>1.5</v>
      </c>
      <c r="J25" s="317">
        <f t="shared" si="0"/>
        <v>30.125</v>
      </c>
      <c r="K25" s="318">
        <f t="shared" si="1"/>
        <v>15.0625</v>
      </c>
      <c r="L25" s="405"/>
    </row>
    <row r="26" spans="1:12" x14ac:dyDescent="0.3">
      <c r="A26" s="3">
        <v>22</v>
      </c>
      <c r="B26" s="9" t="s">
        <v>412</v>
      </c>
      <c r="C26" s="6" t="s">
        <v>1016</v>
      </c>
      <c r="D26" s="6">
        <f>13.8+9.75</f>
        <v>23.55</v>
      </c>
      <c r="E26" s="6"/>
      <c r="F26" s="6"/>
      <c r="G26" s="6">
        <f>1+2.04</f>
        <v>3.04</v>
      </c>
      <c r="H26" s="6">
        <f>0.375+2.25</f>
        <v>2.625</v>
      </c>
      <c r="I26" s="6">
        <f>0.75+1.5</f>
        <v>2.25</v>
      </c>
      <c r="J26" s="317">
        <f t="shared" si="0"/>
        <v>31.465</v>
      </c>
      <c r="K26" s="318">
        <f t="shared" si="1"/>
        <v>15.7325</v>
      </c>
      <c r="L26" s="405"/>
    </row>
    <row r="27" spans="1:12" x14ac:dyDescent="0.3">
      <c r="A27" s="3">
        <v>23</v>
      </c>
      <c r="B27" s="9" t="s">
        <v>610</v>
      </c>
      <c r="C27" s="6" t="s">
        <v>1016</v>
      </c>
      <c r="D27" s="6">
        <f>10.75+12.5</f>
        <v>23.25</v>
      </c>
      <c r="E27" s="6"/>
      <c r="F27" s="6"/>
      <c r="G27" s="6">
        <f>4.38+2.5</f>
        <v>6.88</v>
      </c>
      <c r="H27" s="6">
        <f>0</f>
        <v>0</v>
      </c>
      <c r="I27" s="6">
        <f>0</f>
        <v>0</v>
      </c>
      <c r="J27" s="317">
        <f t="shared" si="0"/>
        <v>30.13</v>
      </c>
      <c r="K27" s="318">
        <f t="shared" si="1"/>
        <v>15.065</v>
      </c>
      <c r="L27" s="405"/>
    </row>
    <row r="28" spans="1:12" x14ac:dyDescent="0.3">
      <c r="A28" s="360">
        <v>24</v>
      </c>
      <c r="B28" s="9" t="s">
        <v>410</v>
      </c>
      <c r="C28" s="6" t="s">
        <v>1016</v>
      </c>
      <c r="D28" s="6">
        <f>10+13.25</f>
        <v>23.25</v>
      </c>
      <c r="E28" s="6"/>
      <c r="F28" s="6"/>
      <c r="G28" s="6">
        <f>0</f>
        <v>0</v>
      </c>
      <c r="H28" s="6">
        <f>0</f>
        <v>0</v>
      </c>
      <c r="I28" s="6">
        <f>0+0.5</f>
        <v>0.5</v>
      </c>
      <c r="J28" s="317">
        <f t="shared" si="0"/>
        <v>23.75</v>
      </c>
      <c r="K28" s="318">
        <f t="shared" si="1"/>
        <v>11.875</v>
      </c>
      <c r="L28" s="405"/>
    </row>
    <row r="30" spans="1:12" ht="23.4" x14ac:dyDescent="0.3">
      <c r="B30" s="312" t="s">
        <v>4039</v>
      </c>
    </row>
  </sheetData>
  <protectedRanges>
    <protectedRange sqref="B5:I27" name="Tabel 3a3_1"/>
    <protectedRange sqref="B28:I28" name="Tabel 3a3_3"/>
  </protectedRanges>
  <mergeCells count="12">
    <mergeCell ref="L5:L28"/>
    <mergeCell ref="C2:C4"/>
    <mergeCell ref="B2:B4"/>
    <mergeCell ref="A2:A4"/>
    <mergeCell ref="L2:L4"/>
    <mergeCell ref="D3:F3"/>
    <mergeCell ref="D2:I2"/>
    <mergeCell ref="G3:G4"/>
    <mergeCell ref="H3:H4"/>
    <mergeCell ref="I3:I4"/>
    <mergeCell ref="J2:J4"/>
    <mergeCell ref="K2:K4"/>
  </mergeCells>
  <dataValidations count="2">
    <dataValidation type="decimal" operator="greaterThanOrEqual" allowBlank="1" showDropDown="1" showInputMessage="1" showErrorMessage="1" prompt="Data harus diisi dalam bentuk angka" sqref="D5:I28" xr:uid="{510C0540-117B-4172-B165-4DCA4BB40C5C}">
      <formula1>0</formula1>
    </dataValidation>
    <dataValidation type="list" allowBlank="1" showErrorMessage="1" sqref="C5:C28" xr:uid="{A59A3801-4297-43BB-92A7-64F253CC57D4}">
      <formula1>$B$4:$B$4</formula1>
    </dataValidation>
  </dataValidations>
  <hyperlinks>
    <hyperlink ref="B30" location="'Daftar Sheet'!A1" display="&lt;&lt;&lt; Daftar Sheet" xr:uid="{C76A15A9-09BC-4637-9D3B-3B45D0C669F9}"/>
    <hyperlink ref="L5" r:id="rId1" xr:uid="{454B3545-AD3E-4C5E-8496-50CB8CA34D5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0F3AB-D9DE-4A95-9C34-371F3F8D529F}">
  <sheetPr>
    <tabColor rgb="FFFF0000"/>
  </sheetPr>
  <dimension ref="A2:M11"/>
  <sheetViews>
    <sheetView workbookViewId="0"/>
  </sheetViews>
  <sheetFormatPr defaultRowHeight="14.4" x14ac:dyDescent="0.3"/>
  <cols>
    <col min="1" max="1" width="3.44140625" bestFit="1" customWidth="1"/>
    <col min="2" max="2" width="19.77734375" customWidth="1"/>
    <col min="3" max="3" width="9.88671875" bestFit="1" customWidth="1"/>
    <col min="4" max="4" width="26.6640625" customWidth="1"/>
    <col min="5" max="5" width="15.33203125" customWidth="1"/>
    <col min="6" max="6" width="20.77734375" customWidth="1"/>
    <col min="8" max="8" width="16.77734375" bestFit="1" customWidth="1"/>
    <col min="9" max="9" width="23.21875" customWidth="1"/>
    <col min="10" max="10" width="18" customWidth="1"/>
    <col min="11" max="11" width="41.33203125" bestFit="1" customWidth="1"/>
    <col min="12" max="12" width="27" bestFit="1" customWidth="1"/>
    <col min="13" max="13" width="77.6640625" bestFit="1" customWidth="1"/>
  </cols>
  <sheetData>
    <row r="2" spans="1:13" ht="29.55" customHeight="1" x14ac:dyDescent="0.3">
      <c r="A2" s="406" t="s">
        <v>51</v>
      </c>
      <c r="B2" s="406" t="s">
        <v>52</v>
      </c>
      <c r="C2" s="406" t="s">
        <v>3819</v>
      </c>
      <c r="D2" s="408" t="s">
        <v>3820</v>
      </c>
      <c r="E2" s="409"/>
      <c r="F2" s="406" t="s">
        <v>1008</v>
      </c>
      <c r="G2" s="406" t="s">
        <v>1761</v>
      </c>
      <c r="H2" s="406" t="s">
        <v>3821</v>
      </c>
      <c r="I2" s="408" t="s">
        <v>3822</v>
      </c>
      <c r="J2" s="409"/>
      <c r="K2" s="406" t="s">
        <v>3823</v>
      </c>
      <c r="L2" s="406" t="s">
        <v>3824</v>
      </c>
      <c r="M2" s="411" t="s">
        <v>137</v>
      </c>
    </row>
    <row r="3" spans="1:13" ht="27.6" x14ac:dyDescent="0.3">
      <c r="A3" s="407"/>
      <c r="B3" s="407"/>
      <c r="C3" s="407"/>
      <c r="D3" s="270" t="s">
        <v>3825</v>
      </c>
      <c r="E3" s="271" t="s">
        <v>3826</v>
      </c>
      <c r="F3" s="407"/>
      <c r="G3" s="407"/>
      <c r="H3" s="407"/>
      <c r="I3" s="270" t="s">
        <v>3827</v>
      </c>
      <c r="J3" s="271" t="s">
        <v>3828</v>
      </c>
      <c r="K3" s="407"/>
      <c r="L3" s="410"/>
      <c r="M3" s="411"/>
    </row>
    <row r="4" spans="1:13" x14ac:dyDescent="0.3">
      <c r="A4" s="151">
        <v>1</v>
      </c>
      <c r="B4" s="9"/>
      <c r="C4" s="269"/>
      <c r="D4" s="9"/>
      <c r="E4" s="9"/>
      <c r="F4" s="6"/>
      <c r="G4" s="6"/>
      <c r="H4" s="269"/>
      <c r="I4" s="6"/>
      <c r="J4" s="6"/>
      <c r="K4" s="6"/>
      <c r="L4" s="131"/>
      <c r="M4" s="394"/>
    </row>
    <row r="5" spans="1:13" x14ac:dyDescent="0.3">
      <c r="A5" s="151">
        <v>2</v>
      </c>
      <c r="B5" s="9"/>
      <c r="C5" s="269"/>
      <c r="D5" s="9"/>
      <c r="E5" s="9"/>
      <c r="F5" s="6"/>
      <c r="G5" s="6"/>
      <c r="H5" s="6"/>
      <c r="I5" s="6"/>
      <c r="J5" s="6"/>
      <c r="K5" s="6"/>
      <c r="L5" s="131"/>
      <c r="M5" s="367"/>
    </row>
    <row r="6" spans="1:13" x14ac:dyDescent="0.3">
      <c r="A6" s="151">
        <v>3</v>
      </c>
      <c r="B6" s="9"/>
      <c r="C6" s="269"/>
      <c r="D6" s="9"/>
      <c r="E6" s="9"/>
      <c r="F6" s="6"/>
      <c r="G6" s="6"/>
      <c r="H6" s="6"/>
      <c r="I6" s="6"/>
      <c r="J6" s="6"/>
      <c r="K6" s="6"/>
      <c r="L6" s="131"/>
      <c r="M6" s="367"/>
    </row>
    <row r="7" spans="1:13" x14ac:dyDescent="0.3">
      <c r="A7" s="151">
        <v>4</v>
      </c>
      <c r="B7" s="9"/>
      <c r="C7" s="269"/>
      <c r="D7" s="9"/>
      <c r="E7" s="9"/>
      <c r="F7" s="6"/>
      <c r="G7" s="6"/>
      <c r="H7" s="6"/>
      <c r="I7" s="6"/>
      <c r="J7" s="6"/>
      <c r="K7" s="6"/>
      <c r="L7" s="131"/>
      <c r="M7" s="367"/>
    </row>
    <row r="8" spans="1:13" x14ac:dyDescent="0.3">
      <c r="A8" s="151">
        <v>5</v>
      </c>
      <c r="B8" s="9"/>
      <c r="C8" s="269"/>
      <c r="D8" s="9"/>
      <c r="E8" s="9"/>
      <c r="F8" s="6"/>
      <c r="G8" s="6"/>
      <c r="H8" s="269"/>
      <c r="I8" s="6"/>
      <c r="J8" s="6"/>
      <c r="K8" s="6"/>
      <c r="L8" s="131"/>
      <c r="M8" s="367"/>
    </row>
    <row r="11" spans="1:13" ht="23.4" x14ac:dyDescent="0.3">
      <c r="B11" s="312" t="s">
        <v>4039</v>
      </c>
    </row>
  </sheetData>
  <protectedRanges>
    <protectedRange sqref="B4:L8" name="Tabel 3a4"/>
  </protectedRanges>
  <mergeCells count="12">
    <mergeCell ref="M4:M8"/>
    <mergeCell ref="A2:A3"/>
    <mergeCell ref="B2:B3"/>
    <mergeCell ref="C2:C3"/>
    <mergeCell ref="D2:E2"/>
    <mergeCell ref="F2:F3"/>
    <mergeCell ref="G2:G3"/>
    <mergeCell ref="H2:H3"/>
    <mergeCell ref="I2:J2"/>
    <mergeCell ref="K2:K3"/>
    <mergeCell ref="L2:L3"/>
    <mergeCell ref="M2:M3"/>
  </mergeCells>
  <dataValidations count="4">
    <dataValidation allowBlank="1" showInputMessage="1" showErrorMessage="1" prompt="Mata Kuliah yang diampu diisi satu saja. Bila seorang dosen mengampu banyak mata kuliah, mohon mengisi data tersebut pada baris baru" sqref="K4:K8" xr:uid="{5C6865BE-B5AE-4306-A69B-807856B343CB}"/>
    <dataValidation allowBlank="1" showInputMessage="1" showErrorMessage="1" prompt="Nama seorang dosen tidak boleh ditulis ganda" sqref="B4:B8" xr:uid="{3A100761-8C10-4601-A1CD-FC7DCF4DE70C}"/>
    <dataValidation type="list" allowBlank="1" showInputMessage="1" showErrorMessage="1" prompt="Pilih salah satu diantara opsi yang ada" sqref="G4:G8" xr:uid="{02018EC6-0F5E-46DF-BA63-72A6C320B865}">
      <formula1>$G$4:$G$8</formula1>
    </dataValidation>
    <dataValidation type="list" allowBlank="1" showInputMessage="1" showErrorMessage="1" prompt="Cell hanya dapat diisi tanda centang (V) atau dikosongkan" sqref="L4:L8" xr:uid="{840B0803-FCE5-452A-AADF-E0AE17CF7A2B}">
      <formula1>$F$4:$F$4</formula1>
    </dataValidation>
  </dataValidations>
  <hyperlinks>
    <hyperlink ref="B11" location="'Daftar Sheet'!A1" display="&lt;&lt;&lt; Daftar Sheet" xr:uid="{B872DF2D-5C03-4109-8620-C2607ED15FEB}"/>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46136-435C-404B-9B2D-392789B3D35C}">
  <dimension ref="A2:K12"/>
  <sheetViews>
    <sheetView workbookViewId="0">
      <selection activeCell="B12" sqref="B12"/>
    </sheetView>
  </sheetViews>
  <sheetFormatPr defaultRowHeight="14.4" x14ac:dyDescent="0.3"/>
  <cols>
    <col min="2" max="2" width="29.44140625" customWidth="1"/>
    <col min="4" max="4" width="17.21875" bestFit="1" customWidth="1"/>
    <col min="5" max="5" width="16.6640625" bestFit="1" customWidth="1"/>
    <col min="6" max="6" width="13.21875" bestFit="1" customWidth="1"/>
    <col min="7" max="7" width="8.21875" bestFit="1" customWidth="1"/>
    <col min="9" max="9" width="24.21875" customWidth="1"/>
    <col min="11" max="11" width="83.21875" bestFit="1" customWidth="1"/>
  </cols>
  <sheetData>
    <row r="2" spans="1:11" ht="27" customHeight="1" x14ac:dyDescent="0.3">
      <c r="A2" s="406" t="s">
        <v>51</v>
      </c>
      <c r="B2" s="406" t="s">
        <v>3927</v>
      </c>
      <c r="C2" s="406" t="s">
        <v>3928</v>
      </c>
      <c r="D2" s="406" t="s">
        <v>3929</v>
      </c>
      <c r="E2" s="406" t="s">
        <v>3930</v>
      </c>
      <c r="F2" s="406" t="s">
        <v>1008</v>
      </c>
      <c r="G2" s="408" t="s">
        <v>3931</v>
      </c>
      <c r="H2" s="413"/>
      <c r="I2" s="406" t="s">
        <v>3932</v>
      </c>
      <c r="J2" s="414" t="s">
        <v>3933</v>
      </c>
      <c r="K2" s="391" t="s">
        <v>137</v>
      </c>
    </row>
    <row r="3" spans="1:11" ht="41.4" x14ac:dyDescent="0.3">
      <c r="A3" s="412"/>
      <c r="B3" s="412"/>
      <c r="C3" s="412"/>
      <c r="D3" s="412"/>
      <c r="E3" s="412"/>
      <c r="F3" s="412"/>
      <c r="G3" s="270" t="s">
        <v>3827</v>
      </c>
      <c r="H3" s="271" t="s">
        <v>3828</v>
      </c>
      <c r="I3" s="412"/>
      <c r="J3" s="415"/>
      <c r="K3" s="391"/>
    </row>
    <row r="4" spans="1:11" ht="27.6" x14ac:dyDescent="0.3">
      <c r="A4" s="151">
        <v>1</v>
      </c>
      <c r="B4" s="9" t="s">
        <v>3934</v>
      </c>
      <c r="C4" s="6" t="s">
        <v>142</v>
      </c>
      <c r="D4" s="6" t="s">
        <v>3935</v>
      </c>
      <c r="E4" s="6" t="s">
        <v>1585</v>
      </c>
      <c r="F4" s="6" t="s">
        <v>19</v>
      </c>
      <c r="G4" s="6"/>
      <c r="H4" s="6"/>
      <c r="I4" s="6" t="s">
        <v>3936</v>
      </c>
      <c r="J4" s="131">
        <v>3</v>
      </c>
      <c r="K4" s="394" t="s">
        <v>3944</v>
      </c>
    </row>
    <row r="5" spans="1:11" ht="27.6" x14ac:dyDescent="0.3">
      <c r="A5" s="151"/>
      <c r="B5" s="9"/>
      <c r="C5" s="6"/>
      <c r="D5" s="6"/>
      <c r="E5" s="6"/>
      <c r="F5" s="6"/>
      <c r="G5" s="6"/>
      <c r="H5" s="6"/>
      <c r="I5" s="6" t="s">
        <v>3937</v>
      </c>
      <c r="J5" s="131">
        <v>2</v>
      </c>
      <c r="K5" s="367"/>
    </row>
    <row r="6" spans="1:11" x14ac:dyDescent="0.3">
      <c r="A6" s="151"/>
      <c r="B6" s="9"/>
      <c r="C6" s="6"/>
      <c r="D6" s="6"/>
      <c r="E6" s="6"/>
      <c r="F6" s="6"/>
      <c r="G6" s="6"/>
      <c r="H6" s="6"/>
      <c r="I6" s="6" t="s">
        <v>3938</v>
      </c>
      <c r="J6" s="131">
        <v>2</v>
      </c>
      <c r="K6" s="367"/>
    </row>
    <row r="7" spans="1:11" x14ac:dyDescent="0.3">
      <c r="A7" s="151"/>
      <c r="B7" s="9"/>
      <c r="C7" s="6"/>
      <c r="D7" s="6"/>
      <c r="E7" s="6"/>
      <c r="F7" s="6"/>
      <c r="G7" s="6"/>
      <c r="H7" s="6"/>
      <c r="I7" s="6" t="s">
        <v>1691</v>
      </c>
      <c r="J7" s="131">
        <v>2</v>
      </c>
      <c r="K7" s="367"/>
    </row>
    <row r="8" spans="1:11" ht="27.6" x14ac:dyDescent="0.3">
      <c r="A8" s="151">
        <v>2</v>
      </c>
      <c r="B8" s="9" t="s">
        <v>3939</v>
      </c>
      <c r="C8" s="6"/>
      <c r="D8" s="6" t="s">
        <v>3940</v>
      </c>
      <c r="E8" s="6" t="s">
        <v>1584</v>
      </c>
      <c r="F8" s="6" t="s">
        <v>3941</v>
      </c>
      <c r="G8" s="6"/>
      <c r="H8" s="6"/>
      <c r="I8" s="6" t="s">
        <v>3938</v>
      </c>
      <c r="J8" s="131">
        <v>2</v>
      </c>
      <c r="K8" s="367"/>
    </row>
    <row r="9" spans="1:11" ht="27.6" x14ac:dyDescent="0.3">
      <c r="A9" s="151"/>
      <c r="B9" s="9"/>
      <c r="C9" s="6"/>
      <c r="D9" s="6"/>
      <c r="E9" s="6"/>
      <c r="F9" s="6"/>
      <c r="G9" s="6"/>
      <c r="H9" s="6"/>
      <c r="I9" s="6" t="s">
        <v>3942</v>
      </c>
      <c r="J9" s="131">
        <v>2</v>
      </c>
      <c r="K9" s="367"/>
    </row>
    <row r="10" spans="1:11" x14ac:dyDescent="0.3">
      <c r="A10" s="151"/>
      <c r="B10" s="9"/>
      <c r="C10" s="6"/>
      <c r="D10" s="6"/>
      <c r="E10" s="6"/>
      <c r="F10" s="6"/>
      <c r="G10" s="6"/>
      <c r="H10" s="6"/>
      <c r="I10" s="6" t="s">
        <v>3943</v>
      </c>
      <c r="J10" s="131">
        <v>3</v>
      </c>
      <c r="K10" s="367"/>
    </row>
    <row r="12" spans="1:11" ht="23.4" x14ac:dyDescent="0.3">
      <c r="B12" s="312" t="s">
        <v>4039</v>
      </c>
    </row>
  </sheetData>
  <protectedRanges>
    <protectedRange sqref="B4:J10" name="Tabel 3a5"/>
  </protectedRanges>
  <mergeCells count="11">
    <mergeCell ref="G2:H2"/>
    <mergeCell ref="I2:I3"/>
    <mergeCell ref="J2:J3"/>
    <mergeCell ref="K2:K3"/>
    <mergeCell ref="K4:K10"/>
    <mergeCell ref="F2:F3"/>
    <mergeCell ref="A2:A3"/>
    <mergeCell ref="B2:B3"/>
    <mergeCell ref="C2:C3"/>
    <mergeCell ref="D2:D3"/>
    <mergeCell ref="E2:E3"/>
  </mergeCells>
  <dataValidations count="3">
    <dataValidation allowBlank="1" showInputMessage="1" showErrorMessage="1" prompt="Mata Kuliah yang diampu diisi satu saja. Bila seorang dosen indistri mengampu banyak mata kuliah, mohon mengisi data tersebut pada baris baru" sqref="I4:I10" xr:uid="{B749EAD4-DF7D-497B-A722-D1635AA5C1A1}"/>
    <dataValidation allowBlank="1" showInputMessage="1" showErrorMessage="1" prompt="Nama dosen yang sama boleh diisi lebih dari satu pada kolom ini" sqref="B4:B10" xr:uid="{105C1D88-A4E2-4684-A52C-34CCF78E87FC}"/>
    <dataValidation type="decimal" operator="greaterThanOrEqual" allowBlank="1" showDropDown="1" showInputMessage="1" showErrorMessage="1" prompt="Data harus diisi dalam bentuk angka" sqref="J4:J10" xr:uid="{50574C87-CF29-48F8-B779-73F94756E980}">
      <formula1>0</formula1>
    </dataValidation>
  </dataValidations>
  <hyperlinks>
    <hyperlink ref="K4" r:id="rId1" xr:uid="{80F2EEDE-7F78-43F6-840F-0359DDEF7836}"/>
    <hyperlink ref="B12" location="'Daftar Sheet'!A1" display="&lt;&lt;&lt; Daftar Sheet" xr:uid="{84340911-7E1F-460D-B5F6-729790FC68E0}"/>
  </hyperlinks>
  <pageMargins left="0.7" right="0.7" top="0.75" bottom="0.75" header="0.3" footer="0.3"/>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24942-DBC8-4D02-9690-9D247948EACD}">
  <dimension ref="A2:J30"/>
  <sheetViews>
    <sheetView view="pageBreakPreview" topLeftCell="A2" zoomScale="55" zoomScaleNormal="70" zoomScaleSheetLayoutView="55" workbookViewId="0">
      <pane xSplit="2" ySplit="2" topLeftCell="C4" activePane="bottomRight" state="frozen"/>
      <selection activeCell="D46" sqref="D46"/>
      <selection pane="topRight" activeCell="D46" sqref="D46"/>
      <selection pane="bottomLeft" activeCell="D46" sqref="D46"/>
      <selection pane="bottomRight" activeCell="B30" sqref="B30"/>
    </sheetView>
  </sheetViews>
  <sheetFormatPr defaultRowHeight="14.4" x14ac:dyDescent="0.3"/>
  <cols>
    <col min="2" max="2" width="23.6640625" bestFit="1" customWidth="1"/>
    <col min="3" max="3" width="146.6640625" customWidth="1"/>
    <col min="4" max="4" width="27" bestFit="1" customWidth="1"/>
    <col min="5" max="5" width="75.21875" bestFit="1" customWidth="1"/>
    <col min="6" max="6" width="9.21875" bestFit="1" customWidth="1"/>
    <col min="7" max="7" width="10.109375" style="10" bestFit="1" customWidth="1"/>
    <col min="8" max="8" width="14.77734375" style="1" bestFit="1" customWidth="1"/>
    <col min="9" max="9" width="15.21875" bestFit="1" customWidth="1"/>
    <col min="10" max="10" width="85.21875" style="26" bestFit="1" customWidth="1"/>
  </cols>
  <sheetData>
    <row r="2" spans="1:10" ht="15.6" x14ac:dyDescent="0.3">
      <c r="A2" s="419" t="s">
        <v>51</v>
      </c>
      <c r="B2" s="419" t="s">
        <v>52</v>
      </c>
      <c r="C2" s="419" t="s">
        <v>1008</v>
      </c>
      <c r="D2" s="419" t="s">
        <v>1009</v>
      </c>
      <c r="E2" s="419"/>
      <c r="F2" s="419" t="s">
        <v>1010</v>
      </c>
      <c r="G2" s="419"/>
      <c r="H2" s="419"/>
      <c r="I2" s="419" t="s">
        <v>1011</v>
      </c>
      <c r="J2" s="419" t="s">
        <v>137</v>
      </c>
    </row>
    <row r="3" spans="1:10" ht="15.6" x14ac:dyDescent="0.3">
      <c r="A3" s="419"/>
      <c r="B3" s="419"/>
      <c r="C3" s="419"/>
      <c r="D3" s="31" t="s">
        <v>1012</v>
      </c>
      <c r="E3" s="31" t="s">
        <v>1013</v>
      </c>
      <c r="F3" s="32" t="s">
        <v>1014</v>
      </c>
      <c r="G3" s="32" t="s">
        <v>488</v>
      </c>
      <c r="H3" s="32" t="s">
        <v>307</v>
      </c>
      <c r="I3" s="419"/>
      <c r="J3" s="419"/>
    </row>
    <row r="4" spans="1:10" x14ac:dyDescent="0.3">
      <c r="A4" s="3">
        <v>1</v>
      </c>
      <c r="B4" s="361" t="s">
        <v>387</v>
      </c>
      <c r="C4" s="361" t="s">
        <v>4123</v>
      </c>
      <c r="D4" s="361" t="s">
        <v>2339</v>
      </c>
      <c r="E4" s="361" t="s">
        <v>4124</v>
      </c>
      <c r="F4" s="6"/>
      <c r="G4" s="6" t="s">
        <v>1016</v>
      </c>
      <c r="H4" s="6"/>
      <c r="I4" s="6">
        <v>2022</v>
      </c>
      <c r="J4" s="416" t="s">
        <v>4153</v>
      </c>
    </row>
    <row r="5" spans="1:10" x14ac:dyDescent="0.3">
      <c r="A5" s="3">
        <v>2</v>
      </c>
      <c r="B5" s="361" t="s">
        <v>415</v>
      </c>
      <c r="C5" s="361" t="s">
        <v>4125</v>
      </c>
      <c r="D5" s="361" t="s">
        <v>1019</v>
      </c>
      <c r="E5" s="361" t="s">
        <v>4126</v>
      </c>
      <c r="F5" s="6"/>
      <c r="G5" s="6" t="s">
        <v>1016</v>
      </c>
      <c r="H5" s="6"/>
      <c r="I5" s="6">
        <v>2022</v>
      </c>
      <c r="J5" s="417"/>
    </row>
    <row r="6" spans="1:10" x14ac:dyDescent="0.3">
      <c r="A6" s="3">
        <v>3</v>
      </c>
      <c r="B6" s="361" t="s">
        <v>415</v>
      </c>
      <c r="C6" s="361" t="s">
        <v>4127</v>
      </c>
      <c r="D6" s="361" t="s">
        <v>2339</v>
      </c>
      <c r="E6" s="361" t="s">
        <v>4126</v>
      </c>
      <c r="F6" s="6"/>
      <c r="G6" s="6" t="s">
        <v>1016</v>
      </c>
      <c r="H6" s="6"/>
      <c r="I6" s="6">
        <v>2022</v>
      </c>
      <c r="J6" s="417"/>
    </row>
    <row r="7" spans="1:10" x14ac:dyDescent="0.3">
      <c r="A7" s="3">
        <v>4</v>
      </c>
      <c r="B7" s="361" t="s">
        <v>415</v>
      </c>
      <c r="C7" s="361" t="s">
        <v>4128</v>
      </c>
      <c r="D7" s="361" t="s">
        <v>1015</v>
      </c>
      <c r="E7" s="361" t="s">
        <v>4129</v>
      </c>
      <c r="F7" s="6"/>
      <c r="G7" s="6"/>
      <c r="H7" s="6" t="s">
        <v>1016</v>
      </c>
      <c r="I7" s="6">
        <v>2021</v>
      </c>
      <c r="J7" s="417"/>
    </row>
    <row r="8" spans="1:10" x14ac:dyDescent="0.3">
      <c r="A8" s="3">
        <v>5</v>
      </c>
      <c r="B8" s="361" t="s">
        <v>415</v>
      </c>
      <c r="C8" s="361" t="s">
        <v>4130</v>
      </c>
      <c r="D8" s="361" t="s">
        <v>2339</v>
      </c>
      <c r="E8" s="361" t="s">
        <v>4131</v>
      </c>
      <c r="F8" s="6"/>
      <c r="G8" s="6" t="s">
        <v>1016</v>
      </c>
      <c r="H8" s="6"/>
      <c r="I8" s="6">
        <v>2021</v>
      </c>
      <c r="J8" s="417"/>
    </row>
    <row r="9" spans="1:10" x14ac:dyDescent="0.3">
      <c r="A9" s="3">
        <v>6</v>
      </c>
      <c r="B9" s="361" t="s">
        <v>401</v>
      </c>
      <c r="C9" s="361" t="s">
        <v>4132</v>
      </c>
      <c r="D9" s="361" t="s">
        <v>1019</v>
      </c>
      <c r="E9" s="361" t="s">
        <v>4133</v>
      </c>
      <c r="F9" s="6"/>
      <c r="G9" s="6" t="s">
        <v>1016</v>
      </c>
      <c r="H9" s="6"/>
      <c r="I9" s="6">
        <v>2019</v>
      </c>
      <c r="J9" s="417"/>
    </row>
    <row r="10" spans="1:10" x14ac:dyDescent="0.3">
      <c r="A10" s="3">
        <v>7</v>
      </c>
      <c r="B10" s="361" t="s">
        <v>401</v>
      </c>
      <c r="C10" s="361" t="s">
        <v>4134</v>
      </c>
      <c r="D10" s="361" t="s">
        <v>1019</v>
      </c>
      <c r="E10" s="361" t="s">
        <v>4135</v>
      </c>
      <c r="F10" s="6"/>
      <c r="G10" s="6" t="s">
        <v>1016</v>
      </c>
      <c r="H10" s="6"/>
      <c r="I10" s="6">
        <v>2022</v>
      </c>
      <c r="J10" s="417"/>
    </row>
    <row r="11" spans="1:10" x14ac:dyDescent="0.3">
      <c r="A11" s="3">
        <v>8</v>
      </c>
      <c r="B11" s="361" t="s">
        <v>401</v>
      </c>
      <c r="C11" s="361" t="s">
        <v>4136</v>
      </c>
      <c r="D11" s="361" t="s">
        <v>1019</v>
      </c>
      <c r="E11" s="361" t="s">
        <v>4137</v>
      </c>
      <c r="F11" s="6"/>
      <c r="G11" s="6" t="s">
        <v>1016</v>
      </c>
      <c r="H11" s="6"/>
      <c r="I11" s="6">
        <v>2022</v>
      </c>
      <c r="J11" s="417"/>
    </row>
    <row r="12" spans="1:10" ht="27.6" x14ac:dyDescent="0.3">
      <c r="A12" s="3">
        <v>9</v>
      </c>
      <c r="B12" s="361" t="s">
        <v>401</v>
      </c>
      <c r="C12" s="361" t="s">
        <v>4138</v>
      </c>
      <c r="D12" s="361" t="s">
        <v>4139</v>
      </c>
      <c r="E12" s="361" t="s">
        <v>4140</v>
      </c>
      <c r="F12" s="6"/>
      <c r="G12" s="362" t="s">
        <v>1016</v>
      </c>
      <c r="H12" s="364"/>
      <c r="I12" s="362">
        <v>2021</v>
      </c>
      <c r="J12" s="417"/>
    </row>
    <row r="13" spans="1:10" ht="27.6" x14ac:dyDescent="0.3">
      <c r="A13" s="3">
        <v>10</v>
      </c>
      <c r="B13" s="361" t="s">
        <v>401</v>
      </c>
      <c r="C13" s="361" t="s">
        <v>4138</v>
      </c>
      <c r="D13" s="361" t="s">
        <v>4139</v>
      </c>
      <c r="E13" s="361" t="s">
        <v>4140</v>
      </c>
      <c r="F13" s="6"/>
      <c r="G13" s="6" t="s">
        <v>1016</v>
      </c>
      <c r="H13" s="6"/>
      <c r="I13" s="6">
        <v>2022</v>
      </c>
      <c r="J13" s="417"/>
    </row>
    <row r="14" spans="1:10" x14ac:dyDescent="0.3">
      <c r="A14" s="3">
        <v>11</v>
      </c>
      <c r="B14" s="361" t="s">
        <v>401</v>
      </c>
      <c r="C14" s="361" t="s">
        <v>4141</v>
      </c>
      <c r="D14" s="361" t="s">
        <v>2339</v>
      </c>
      <c r="E14" s="361" t="s">
        <v>4142</v>
      </c>
      <c r="F14" s="6" t="s">
        <v>1016</v>
      </c>
      <c r="G14" s="6" t="s">
        <v>1016</v>
      </c>
      <c r="H14" s="6"/>
      <c r="I14" s="6">
        <v>2022</v>
      </c>
      <c r="J14" s="417"/>
    </row>
    <row r="15" spans="1:10" ht="27.6" x14ac:dyDescent="0.3">
      <c r="A15" s="3">
        <v>12</v>
      </c>
      <c r="B15" s="361" t="s">
        <v>366</v>
      </c>
      <c r="C15" s="361" t="s">
        <v>4143</v>
      </c>
      <c r="D15" s="361" t="s">
        <v>1015</v>
      </c>
      <c r="E15" s="363" t="s">
        <v>4144</v>
      </c>
      <c r="F15" s="6"/>
      <c r="G15" s="6" t="s">
        <v>1016</v>
      </c>
      <c r="H15" s="6"/>
      <c r="I15" s="6">
        <v>2021</v>
      </c>
      <c r="J15" s="417"/>
    </row>
    <row r="16" spans="1:10" x14ac:dyDescent="0.3">
      <c r="A16" s="3">
        <v>13</v>
      </c>
      <c r="B16" s="361" t="s">
        <v>366</v>
      </c>
      <c r="C16" s="361" t="s">
        <v>4145</v>
      </c>
      <c r="D16" s="361" t="s">
        <v>1015</v>
      </c>
      <c r="E16" s="363" t="s">
        <v>4146</v>
      </c>
      <c r="F16" s="6"/>
      <c r="G16" s="6" t="s">
        <v>1016</v>
      </c>
      <c r="H16" s="6"/>
      <c r="I16" s="6">
        <v>2020</v>
      </c>
      <c r="J16" s="417"/>
    </row>
    <row r="17" spans="1:10" x14ac:dyDescent="0.3">
      <c r="A17" s="3">
        <v>14</v>
      </c>
      <c r="B17" s="361" t="s">
        <v>91</v>
      </c>
      <c r="C17" s="361" t="s">
        <v>1017</v>
      </c>
      <c r="D17" s="361" t="s">
        <v>1015</v>
      </c>
      <c r="E17" s="361" t="s">
        <v>1018</v>
      </c>
      <c r="F17" s="6"/>
      <c r="G17" s="6"/>
      <c r="H17" s="6" t="s">
        <v>1016</v>
      </c>
      <c r="I17" s="6">
        <v>2021</v>
      </c>
      <c r="J17" s="417"/>
    </row>
    <row r="18" spans="1:10" x14ac:dyDescent="0.3">
      <c r="A18" s="3">
        <v>15</v>
      </c>
      <c r="B18" s="361" t="s">
        <v>412</v>
      </c>
      <c r="C18" s="361" t="s">
        <v>2338</v>
      </c>
      <c r="D18" s="361" t="s">
        <v>2339</v>
      </c>
      <c r="E18" s="361" t="s">
        <v>2340</v>
      </c>
      <c r="F18" s="6"/>
      <c r="G18" s="6"/>
      <c r="H18" s="6" t="s">
        <v>1016</v>
      </c>
      <c r="I18" s="6">
        <v>2021</v>
      </c>
      <c r="J18" s="417"/>
    </row>
    <row r="19" spans="1:10" ht="27.6" x14ac:dyDescent="0.3">
      <c r="A19" s="3">
        <v>16</v>
      </c>
      <c r="B19" s="361" t="s">
        <v>401</v>
      </c>
      <c r="C19" s="361" t="s">
        <v>4138</v>
      </c>
      <c r="D19" s="361" t="s">
        <v>4139</v>
      </c>
      <c r="E19" s="361" t="s">
        <v>4147</v>
      </c>
      <c r="F19" s="6"/>
      <c r="G19" s="6" t="s">
        <v>1016</v>
      </c>
      <c r="H19" s="6"/>
      <c r="I19" s="6">
        <v>2022</v>
      </c>
      <c r="J19" s="417"/>
    </row>
    <row r="20" spans="1:10" x14ac:dyDescent="0.3">
      <c r="A20" s="3">
        <v>17</v>
      </c>
      <c r="B20" s="361" t="s">
        <v>1563</v>
      </c>
      <c r="C20" s="361" t="s">
        <v>4148</v>
      </c>
      <c r="D20" s="361" t="s">
        <v>1019</v>
      </c>
      <c r="E20" s="361" t="s">
        <v>4149</v>
      </c>
      <c r="F20" s="6" t="s">
        <v>1016</v>
      </c>
      <c r="G20" s="362" t="s">
        <v>1016</v>
      </c>
      <c r="H20" s="364"/>
      <c r="I20" s="362">
        <v>2022</v>
      </c>
      <c r="J20" s="417"/>
    </row>
    <row r="21" spans="1:10" x14ac:dyDescent="0.3">
      <c r="A21" s="3">
        <v>18</v>
      </c>
      <c r="B21" s="361" t="s">
        <v>1023</v>
      </c>
      <c r="C21" s="361" t="s">
        <v>4150</v>
      </c>
      <c r="D21" s="361" t="s">
        <v>1019</v>
      </c>
      <c r="E21" s="361" t="s">
        <v>4149</v>
      </c>
      <c r="F21" s="6" t="s">
        <v>1016</v>
      </c>
      <c r="G21" s="6" t="s">
        <v>1016</v>
      </c>
      <c r="H21" s="6"/>
      <c r="I21" s="6">
        <v>2022</v>
      </c>
      <c r="J21" s="417"/>
    </row>
    <row r="22" spans="1:10" x14ac:dyDescent="0.3">
      <c r="A22" s="3">
        <v>19</v>
      </c>
      <c r="B22" s="361" t="s">
        <v>415</v>
      </c>
      <c r="C22" s="361" t="s">
        <v>4151</v>
      </c>
      <c r="D22" s="361" t="s">
        <v>1015</v>
      </c>
      <c r="E22" s="361" t="s">
        <v>1018</v>
      </c>
      <c r="F22" s="6"/>
      <c r="G22" s="362"/>
      <c r="H22" s="364" t="s">
        <v>1016</v>
      </c>
      <c r="I22" s="362">
        <v>2021</v>
      </c>
      <c r="J22" s="417"/>
    </row>
    <row r="23" spans="1:10" ht="27.6" x14ac:dyDescent="0.3">
      <c r="A23" s="3">
        <v>20</v>
      </c>
      <c r="B23" s="361" t="s">
        <v>412</v>
      </c>
      <c r="C23" s="361" t="s">
        <v>1025</v>
      </c>
      <c r="D23" s="361" t="s">
        <v>1019</v>
      </c>
      <c r="E23" s="363" t="s">
        <v>1026</v>
      </c>
      <c r="F23" s="6"/>
      <c r="G23" s="6" t="s">
        <v>1016</v>
      </c>
      <c r="H23" s="6"/>
      <c r="I23" s="6">
        <v>2023</v>
      </c>
      <c r="J23" s="417"/>
    </row>
    <row r="24" spans="1:10" ht="27.6" x14ac:dyDescent="0.3">
      <c r="A24" s="3">
        <v>21</v>
      </c>
      <c r="B24" s="361" t="s">
        <v>607</v>
      </c>
      <c r="C24" s="361" t="s">
        <v>3874</v>
      </c>
      <c r="D24" s="361" t="s">
        <v>1019</v>
      </c>
      <c r="E24" s="361" t="s">
        <v>3875</v>
      </c>
      <c r="F24" s="6"/>
      <c r="G24" s="6" t="s">
        <v>1016</v>
      </c>
      <c r="H24" s="6"/>
      <c r="I24" s="6">
        <v>2023</v>
      </c>
      <c r="J24" s="417"/>
    </row>
    <row r="25" spans="1:10" ht="27.6" x14ac:dyDescent="0.3">
      <c r="A25" s="3">
        <v>22</v>
      </c>
      <c r="B25" s="361" t="s">
        <v>356</v>
      </c>
      <c r="C25" s="361" t="s">
        <v>3874</v>
      </c>
      <c r="D25" s="361" t="s">
        <v>1019</v>
      </c>
      <c r="E25" s="361" t="s">
        <v>3875</v>
      </c>
      <c r="F25" s="6"/>
      <c r="G25" s="6" t="s">
        <v>1016</v>
      </c>
      <c r="H25" s="6"/>
      <c r="I25" s="6">
        <v>2023</v>
      </c>
      <c r="J25" s="417"/>
    </row>
    <row r="26" spans="1:10" ht="27.6" x14ac:dyDescent="0.3">
      <c r="A26" s="3">
        <v>23</v>
      </c>
      <c r="B26" s="361" t="s">
        <v>543</v>
      </c>
      <c r="C26" s="361" t="s">
        <v>4152</v>
      </c>
      <c r="D26" s="361" t="s">
        <v>1019</v>
      </c>
      <c r="E26" s="361" t="s">
        <v>1026</v>
      </c>
      <c r="F26" s="6"/>
      <c r="G26" s="6" t="s">
        <v>1016</v>
      </c>
      <c r="H26" s="6"/>
      <c r="I26" s="6">
        <v>2023</v>
      </c>
      <c r="J26" s="417"/>
    </row>
    <row r="27" spans="1:10" ht="27.6" x14ac:dyDescent="0.3">
      <c r="A27" s="3">
        <v>24</v>
      </c>
      <c r="B27" s="361" t="s">
        <v>410</v>
      </c>
      <c r="C27" s="361" t="s">
        <v>3874</v>
      </c>
      <c r="D27" s="361" t="s">
        <v>1019</v>
      </c>
      <c r="E27" s="361" t="s">
        <v>3875</v>
      </c>
      <c r="F27" s="6"/>
      <c r="G27" s="362" t="s">
        <v>1016</v>
      </c>
      <c r="H27" s="364"/>
      <c r="I27" s="362">
        <v>2023</v>
      </c>
      <c r="J27" s="417"/>
    </row>
    <row r="28" spans="1:10" x14ac:dyDescent="0.3">
      <c r="A28" s="3">
        <v>25</v>
      </c>
      <c r="B28" s="361" t="s">
        <v>387</v>
      </c>
      <c r="C28" s="361" t="s">
        <v>1021</v>
      </c>
      <c r="D28" s="361" t="s">
        <v>1015</v>
      </c>
      <c r="E28" s="361" t="s">
        <v>1022</v>
      </c>
      <c r="F28" s="6"/>
      <c r="G28" s="6" t="s">
        <v>1016</v>
      </c>
      <c r="H28" s="6"/>
      <c r="I28" s="6">
        <v>2023</v>
      </c>
      <c r="J28" s="417"/>
    </row>
    <row r="29" spans="1:10" x14ac:dyDescent="0.3">
      <c r="A29" s="3">
        <v>26</v>
      </c>
      <c r="B29" s="361" t="s">
        <v>538</v>
      </c>
      <c r="C29" s="361" t="s">
        <v>1029</v>
      </c>
      <c r="D29" s="361" t="s">
        <v>1015</v>
      </c>
      <c r="E29" s="361" t="s">
        <v>1022</v>
      </c>
      <c r="F29" s="6"/>
      <c r="G29" s="6" t="s">
        <v>1016</v>
      </c>
      <c r="H29" s="6"/>
      <c r="I29" s="6">
        <v>2023</v>
      </c>
      <c r="J29" s="418"/>
    </row>
    <row r="30" spans="1:10" ht="23.4" x14ac:dyDescent="0.3">
      <c r="B30" s="312" t="s">
        <v>4039</v>
      </c>
    </row>
  </sheetData>
  <protectedRanges>
    <protectedRange sqref="B4:I29" name="Tabel 3b1"/>
  </protectedRanges>
  <autoFilter ref="A3:J24" xr:uid="{AF524942-DBC8-4D02-9690-9D247948EACD}"/>
  <mergeCells count="8">
    <mergeCell ref="J4:J29"/>
    <mergeCell ref="J2:J3"/>
    <mergeCell ref="F2:H2"/>
    <mergeCell ref="I2:I3"/>
    <mergeCell ref="A2:A3"/>
    <mergeCell ref="B2:B3"/>
    <mergeCell ref="C2:C3"/>
    <mergeCell ref="D2:E2"/>
  </mergeCells>
  <dataValidations count="3">
    <dataValidation type="list" allowBlank="1" showInputMessage="1" showErrorMessage="1" prompt="Pilih salah satu dari opsi yang tersedia" sqref="D4:D29" xr:uid="{0275DCAF-9928-4F56-AA08-40E3B515891E}">
      <formula1>$D$3:$D$7</formula1>
    </dataValidation>
    <dataValidation type="list" allowBlank="1" showInputMessage="1" showErrorMessage="1" prompt="Cell hanya dapat diisi tanda centang (V) atau dikosongkan" sqref="F4:H29" xr:uid="{81A8C8FD-B72F-45E4-A57C-C3B0FB505428}">
      <formula1>$B$4:$B$5</formula1>
    </dataValidation>
    <dataValidation type="decimal" operator="greaterThanOrEqual" allowBlank="1" showDropDown="1" showInputMessage="1" showErrorMessage="1" prompt="Data yang di input harus dalam bentuk angka'" sqref="I4:I29" xr:uid="{E9A18D87-9A83-40FB-807E-CEC70D0A5EAA}">
      <formula1>0</formula1>
    </dataValidation>
  </dataValidations>
  <hyperlinks>
    <hyperlink ref="B30" location="'Daftar Sheet'!A1" display="&lt;&lt;&lt; Daftar Sheet" xr:uid="{EEF798F6-E282-436B-8F6D-A2526012EEEE}"/>
    <hyperlink ref="J4" r:id="rId1" xr:uid="{5CB2FEA1-FB47-4933-8BD1-52D19F742F86}"/>
  </hyperlinks>
  <pageMargins left="0.7" right="0.7" top="0.75" bottom="0.75" header="0.3" footer="0.3"/>
  <pageSetup paperSize="224"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20ED5-33D7-4863-A9EE-E197F50E1CEE}">
  <dimension ref="A1:W861"/>
  <sheetViews>
    <sheetView topLeftCell="A6" zoomScale="70" zoomScaleNormal="70" zoomScaleSheetLayoutView="85" workbookViewId="0">
      <pane xSplit="1" ySplit="3" topLeftCell="H9" activePane="bottomRight" state="frozen"/>
      <selection activeCell="D46" sqref="D46"/>
      <selection pane="topRight" activeCell="D46" sqref="D46"/>
      <selection pane="bottomLeft" activeCell="D46" sqref="D46"/>
      <selection pane="bottomRight" activeCell="D44" sqref="D44"/>
    </sheetView>
  </sheetViews>
  <sheetFormatPr defaultColWidth="14.44140625" defaultRowHeight="14.4" x14ac:dyDescent="0.3"/>
  <cols>
    <col min="1" max="1" width="11.33203125" style="21" bestFit="1" customWidth="1"/>
    <col min="2" max="2" width="21.44140625" style="21" bestFit="1" customWidth="1"/>
    <col min="3" max="3" width="21.44140625" style="21" customWidth="1"/>
    <col min="4" max="4" width="220" style="21" customWidth="1"/>
    <col min="5" max="5" width="31.5546875" style="21" bestFit="1" customWidth="1"/>
    <col min="6" max="6" width="36.21875" style="21" customWidth="1"/>
    <col min="7" max="8" width="31.77734375" style="21" customWidth="1"/>
    <col min="9" max="9" width="35.21875" style="25" customWidth="1"/>
    <col min="10" max="10" width="24.77734375" style="249" customWidth="1"/>
    <col min="11" max="11" width="90.109375" style="21" bestFit="1" customWidth="1"/>
    <col min="12" max="23" width="8.5546875" style="21" customWidth="1"/>
    <col min="24" max="16384" width="14.44140625" style="21"/>
  </cols>
  <sheetData>
    <row r="1" spans="1:23" ht="14.25" hidden="1" customHeight="1" x14ac:dyDescent="0.3">
      <c r="A1" s="18"/>
      <c r="B1" s="19"/>
      <c r="C1" s="19"/>
      <c r="D1" s="19"/>
      <c r="E1" s="19"/>
      <c r="F1" s="19"/>
      <c r="G1" s="19"/>
      <c r="H1" s="19"/>
      <c r="I1" s="20"/>
      <c r="J1" s="244"/>
      <c r="K1" s="19"/>
      <c r="L1" s="19"/>
      <c r="M1" s="19"/>
      <c r="N1" s="19"/>
      <c r="O1" s="19"/>
      <c r="P1" s="19"/>
      <c r="Q1" s="19"/>
      <c r="R1" s="19"/>
      <c r="S1" s="19"/>
      <c r="T1" s="19"/>
      <c r="U1" s="19"/>
      <c r="V1" s="19"/>
      <c r="W1" s="19"/>
    </row>
    <row r="2" spans="1:23" ht="14.25" hidden="1" customHeight="1" x14ac:dyDescent="0.3">
      <c r="A2" s="18"/>
      <c r="B2" s="19"/>
      <c r="C2" s="19"/>
      <c r="D2" s="19"/>
      <c r="E2" s="19"/>
      <c r="F2" s="19"/>
      <c r="G2" s="19"/>
      <c r="H2" s="19"/>
      <c r="I2" s="20"/>
      <c r="J2" s="244"/>
      <c r="K2" s="19"/>
      <c r="L2" s="19"/>
      <c r="M2" s="19"/>
      <c r="N2" s="19"/>
      <c r="O2" s="19"/>
      <c r="P2" s="19"/>
      <c r="Q2" s="19"/>
      <c r="R2" s="19"/>
      <c r="S2" s="19"/>
      <c r="T2" s="19"/>
      <c r="U2" s="19"/>
      <c r="V2" s="19"/>
      <c r="W2" s="19"/>
    </row>
    <row r="3" spans="1:23" ht="14.25" hidden="1" customHeight="1" x14ac:dyDescent="0.3">
      <c r="A3" s="18"/>
      <c r="B3" s="19"/>
      <c r="C3" s="19"/>
      <c r="D3" s="19"/>
      <c r="E3" s="19"/>
      <c r="F3" s="19"/>
      <c r="G3" s="19"/>
      <c r="H3" s="19"/>
      <c r="I3" s="20"/>
      <c r="J3" s="244"/>
      <c r="K3" s="19"/>
      <c r="L3" s="19"/>
      <c r="M3" s="19"/>
      <c r="N3" s="19"/>
      <c r="O3" s="19"/>
      <c r="P3" s="19"/>
      <c r="Q3" s="19"/>
      <c r="R3" s="19"/>
      <c r="S3" s="19"/>
      <c r="T3" s="19"/>
      <c r="U3" s="19"/>
      <c r="V3" s="19"/>
      <c r="W3" s="19"/>
    </row>
    <row r="4" spans="1:23" ht="14.25" hidden="1" customHeight="1" x14ac:dyDescent="0.3">
      <c r="A4" s="18"/>
      <c r="B4" s="19"/>
      <c r="C4" s="19"/>
      <c r="D4" s="19"/>
      <c r="E4" s="19"/>
      <c r="F4" s="19"/>
      <c r="G4" s="19"/>
      <c r="H4" s="19"/>
      <c r="I4" s="20"/>
      <c r="J4" s="244"/>
      <c r="K4" s="19"/>
      <c r="L4" s="19"/>
      <c r="M4" s="19"/>
      <c r="N4" s="19"/>
      <c r="O4" s="19"/>
      <c r="P4" s="19"/>
      <c r="Q4" s="19"/>
      <c r="R4" s="19"/>
      <c r="S4" s="19"/>
      <c r="T4" s="19"/>
      <c r="U4" s="19"/>
      <c r="V4" s="19"/>
      <c r="W4" s="19"/>
    </row>
    <row r="5" spans="1:23" ht="14.25" hidden="1" customHeight="1" x14ac:dyDescent="0.3">
      <c r="A5" s="18"/>
      <c r="B5" s="19"/>
      <c r="C5" s="19"/>
      <c r="D5" s="19"/>
      <c r="E5" s="19"/>
      <c r="F5" s="19"/>
      <c r="G5" s="19"/>
      <c r="H5" s="19"/>
      <c r="I5" s="20"/>
      <c r="J5" s="244"/>
      <c r="K5" s="19"/>
      <c r="L5" s="19"/>
      <c r="M5" s="19"/>
      <c r="N5" s="19"/>
      <c r="O5" s="19"/>
      <c r="P5" s="19"/>
      <c r="Q5" s="19"/>
      <c r="R5" s="19"/>
      <c r="S5" s="19"/>
      <c r="T5" s="19"/>
      <c r="U5" s="19"/>
      <c r="V5" s="19"/>
      <c r="W5" s="19"/>
    </row>
    <row r="6" spans="1:23" ht="14.25" hidden="1" customHeight="1" x14ac:dyDescent="0.3">
      <c r="A6" s="18"/>
      <c r="B6" s="19"/>
      <c r="C6" s="19"/>
      <c r="D6" s="19"/>
      <c r="E6" s="19"/>
      <c r="F6" s="19"/>
      <c r="G6" s="19"/>
      <c r="H6" s="19"/>
      <c r="I6" s="20"/>
      <c r="J6" s="244"/>
      <c r="K6" s="19"/>
      <c r="L6" s="19"/>
      <c r="M6" s="19"/>
      <c r="N6" s="19"/>
      <c r="O6" s="19"/>
      <c r="P6" s="19"/>
      <c r="Q6" s="19"/>
      <c r="R6" s="19"/>
      <c r="S6" s="19"/>
      <c r="T6" s="19"/>
      <c r="U6" s="19"/>
      <c r="V6" s="19"/>
      <c r="W6" s="19"/>
    </row>
    <row r="7" spans="1:23" ht="14.25" hidden="1" customHeight="1" x14ac:dyDescent="0.3">
      <c r="A7" s="18"/>
      <c r="B7" s="19"/>
      <c r="C7" s="19"/>
      <c r="D7" s="19"/>
      <c r="E7" s="19"/>
      <c r="F7" s="19"/>
      <c r="G7" s="19"/>
      <c r="H7" s="19"/>
      <c r="I7" s="20"/>
      <c r="J7" s="244"/>
      <c r="K7" s="19"/>
      <c r="L7" s="19"/>
      <c r="M7" s="19"/>
      <c r="N7" s="19"/>
      <c r="O7" s="19"/>
      <c r="P7" s="19"/>
      <c r="Q7" s="19"/>
      <c r="R7" s="19"/>
      <c r="S7" s="19"/>
      <c r="T7" s="19"/>
      <c r="U7" s="19"/>
      <c r="V7" s="19"/>
      <c r="W7" s="19"/>
    </row>
    <row r="8" spans="1:23" ht="37.049999999999997" customHeight="1" x14ac:dyDescent="0.3">
      <c r="A8" s="59" t="s">
        <v>51</v>
      </c>
      <c r="B8" s="59" t="s">
        <v>130</v>
      </c>
      <c r="C8" s="59" t="s">
        <v>2255</v>
      </c>
      <c r="D8" s="59" t="s">
        <v>131</v>
      </c>
      <c r="E8" s="59" t="s">
        <v>132</v>
      </c>
      <c r="F8" s="59" t="s">
        <v>133</v>
      </c>
      <c r="G8" s="59" t="s">
        <v>134</v>
      </c>
      <c r="H8" s="59"/>
      <c r="I8" s="59" t="s">
        <v>135</v>
      </c>
      <c r="J8" s="245" t="s">
        <v>136</v>
      </c>
      <c r="K8" s="60" t="s">
        <v>137</v>
      </c>
      <c r="L8" s="19"/>
      <c r="M8" s="19"/>
      <c r="N8" s="19"/>
      <c r="O8" s="19"/>
      <c r="P8" s="19"/>
      <c r="Q8" s="19"/>
      <c r="R8" s="19"/>
      <c r="S8" s="19"/>
      <c r="T8" s="19"/>
      <c r="U8" s="19"/>
      <c r="V8" s="19"/>
      <c r="W8" s="19"/>
    </row>
    <row r="9" spans="1:23" customFormat="1" ht="14.25" customHeight="1" x14ac:dyDescent="0.3">
      <c r="A9" s="47">
        <v>1</v>
      </c>
      <c r="B9" s="23" t="s">
        <v>138</v>
      </c>
      <c r="C9" s="242">
        <v>35000000</v>
      </c>
      <c r="D9" s="23" t="s">
        <v>139</v>
      </c>
      <c r="E9" s="23" t="s">
        <v>140</v>
      </c>
      <c r="F9" s="23" t="s">
        <v>141</v>
      </c>
      <c r="G9" s="48"/>
      <c r="H9" s="48"/>
      <c r="I9" s="49" t="s">
        <v>143</v>
      </c>
      <c r="J9" s="246">
        <v>2020</v>
      </c>
      <c r="K9" s="7" t="s">
        <v>144</v>
      </c>
      <c r="L9" s="22"/>
      <c r="M9" s="22"/>
      <c r="N9" s="22"/>
      <c r="O9" s="22"/>
      <c r="P9" s="22"/>
      <c r="Q9" s="22"/>
      <c r="R9" s="22"/>
      <c r="S9" s="22"/>
      <c r="T9" s="22"/>
      <c r="U9" s="22"/>
      <c r="V9" s="22"/>
      <c r="W9" s="22"/>
    </row>
    <row r="10" spans="1:23" customFormat="1" ht="14.25" customHeight="1" x14ac:dyDescent="0.3">
      <c r="A10" s="47">
        <v>2</v>
      </c>
      <c r="B10" s="23" t="s">
        <v>138</v>
      </c>
      <c r="C10" s="242">
        <v>35000000</v>
      </c>
      <c r="D10" s="23" t="s">
        <v>145</v>
      </c>
      <c r="E10" s="23" t="s">
        <v>141</v>
      </c>
      <c r="F10" s="23" t="s">
        <v>110</v>
      </c>
      <c r="G10" s="23" t="s">
        <v>146</v>
      </c>
      <c r="H10" s="23"/>
      <c r="I10" s="48" t="s">
        <v>2296</v>
      </c>
      <c r="J10" s="246">
        <v>2020</v>
      </c>
      <c r="K10" s="7" t="s">
        <v>148</v>
      </c>
      <c r="L10" s="22"/>
      <c r="M10" s="22"/>
      <c r="N10" s="22"/>
      <c r="O10" s="22"/>
      <c r="P10" s="22"/>
      <c r="Q10" s="22"/>
      <c r="R10" s="22"/>
      <c r="S10" s="22"/>
      <c r="T10" s="22"/>
      <c r="U10" s="22"/>
      <c r="V10" s="22"/>
      <c r="W10" s="22"/>
    </row>
    <row r="11" spans="1:23" customFormat="1" ht="14.25" customHeight="1" x14ac:dyDescent="0.3">
      <c r="A11" s="47">
        <v>3</v>
      </c>
      <c r="B11" s="23" t="s">
        <v>138</v>
      </c>
      <c r="C11" s="242">
        <v>25000000</v>
      </c>
      <c r="D11" s="23" t="s">
        <v>149</v>
      </c>
      <c r="E11" s="23" t="s">
        <v>150</v>
      </c>
      <c r="F11" s="23" t="s">
        <v>151</v>
      </c>
      <c r="G11" s="23" t="s">
        <v>152</v>
      </c>
      <c r="H11" s="23"/>
      <c r="I11" s="48" t="s">
        <v>153</v>
      </c>
      <c r="J11" s="246">
        <v>2020</v>
      </c>
      <c r="K11" s="7" t="s">
        <v>154</v>
      </c>
      <c r="L11" s="22"/>
      <c r="M11" s="22"/>
      <c r="N11" s="22"/>
      <c r="O11" s="22"/>
      <c r="P11" s="22"/>
      <c r="Q11" s="22"/>
      <c r="R11" s="22"/>
      <c r="S11" s="22"/>
      <c r="T11" s="22"/>
      <c r="U11" s="22"/>
      <c r="V11" s="22"/>
      <c r="W11" s="22"/>
    </row>
    <row r="12" spans="1:23" customFormat="1" ht="15" customHeight="1" x14ac:dyDescent="0.3">
      <c r="A12" s="47">
        <v>4</v>
      </c>
      <c r="B12" s="23" t="s">
        <v>138</v>
      </c>
      <c r="C12" s="242">
        <v>25000000</v>
      </c>
      <c r="D12" s="23" t="s">
        <v>155</v>
      </c>
      <c r="E12" s="23" t="s">
        <v>156</v>
      </c>
      <c r="F12" s="23" t="s">
        <v>109</v>
      </c>
      <c r="G12" s="23" t="s">
        <v>141</v>
      </c>
      <c r="H12" s="23"/>
      <c r="I12" s="48"/>
      <c r="J12" s="246">
        <v>2020</v>
      </c>
      <c r="K12" s="7" t="s">
        <v>157</v>
      </c>
      <c r="L12" s="22"/>
      <c r="M12" s="22"/>
      <c r="N12" s="22"/>
      <c r="O12" s="22"/>
      <c r="P12" s="22"/>
      <c r="Q12" s="22"/>
      <c r="R12" s="22"/>
      <c r="S12" s="22"/>
      <c r="T12" s="22"/>
      <c r="U12" s="22"/>
      <c r="V12" s="22"/>
      <c r="W12" s="22"/>
    </row>
    <row r="13" spans="1:23" customFormat="1" ht="14.25" customHeight="1" x14ac:dyDescent="0.3">
      <c r="A13" s="47">
        <v>5</v>
      </c>
      <c r="B13" s="23" t="s">
        <v>138</v>
      </c>
      <c r="C13" s="242">
        <v>35000000</v>
      </c>
      <c r="D13" s="23" t="s">
        <v>158</v>
      </c>
      <c r="E13" s="23" t="s">
        <v>150</v>
      </c>
      <c r="F13" s="23"/>
      <c r="G13" s="23"/>
      <c r="H13" s="23"/>
      <c r="I13" s="48"/>
      <c r="J13" s="246">
        <v>2020</v>
      </c>
      <c r="K13" s="7" t="s">
        <v>159</v>
      </c>
      <c r="L13" s="22"/>
      <c r="M13" s="22"/>
      <c r="N13" s="22"/>
      <c r="O13" s="22"/>
      <c r="P13" s="22"/>
      <c r="Q13" s="22"/>
      <c r="R13" s="22"/>
      <c r="S13" s="22"/>
      <c r="T13" s="22"/>
      <c r="U13" s="22"/>
      <c r="V13" s="22"/>
      <c r="W13" s="22"/>
    </row>
    <row r="14" spans="1:23" customFormat="1" ht="14.25" customHeight="1" x14ac:dyDescent="0.3">
      <c r="A14" s="47">
        <v>6</v>
      </c>
      <c r="B14" s="23" t="s">
        <v>138</v>
      </c>
      <c r="C14" s="242">
        <v>75000000</v>
      </c>
      <c r="D14" s="23" t="s">
        <v>160</v>
      </c>
      <c r="E14" s="23" t="s">
        <v>161</v>
      </c>
      <c r="F14" s="23"/>
      <c r="G14" s="23"/>
      <c r="H14" s="23"/>
      <c r="I14" s="48"/>
      <c r="J14" s="246">
        <v>2020</v>
      </c>
      <c r="K14" s="7" t="s">
        <v>162</v>
      </c>
      <c r="L14" s="22"/>
      <c r="M14" s="22"/>
      <c r="N14" s="22"/>
      <c r="O14" s="22"/>
      <c r="P14" s="22"/>
      <c r="Q14" s="22"/>
      <c r="R14" s="22"/>
      <c r="S14" s="22"/>
      <c r="T14" s="22"/>
      <c r="U14" s="22"/>
      <c r="V14" s="22"/>
      <c r="W14" s="22"/>
    </row>
    <row r="15" spans="1:23" customFormat="1" ht="14.25" customHeight="1" x14ac:dyDescent="0.3">
      <c r="A15" s="47">
        <v>7</v>
      </c>
      <c r="B15" s="23" t="s">
        <v>138</v>
      </c>
      <c r="C15" s="242">
        <v>50000000</v>
      </c>
      <c r="D15" s="23" t="s">
        <v>163</v>
      </c>
      <c r="E15" s="23" t="s">
        <v>151</v>
      </c>
      <c r="F15" s="23" t="s">
        <v>164</v>
      </c>
      <c r="G15" s="23" t="s">
        <v>146</v>
      </c>
      <c r="H15" s="23"/>
      <c r="I15" s="48" t="s">
        <v>165</v>
      </c>
      <c r="J15" s="246">
        <v>2020</v>
      </c>
      <c r="K15" s="7" t="s">
        <v>2295</v>
      </c>
      <c r="L15" s="22"/>
      <c r="M15" s="22"/>
      <c r="N15" s="22"/>
      <c r="O15" s="22"/>
      <c r="P15" s="22"/>
      <c r="Q15" s="22"/>
      <c r="R15" s="22"/>
      <c r="S15" s="22"/>
      <c r="T15" s="22"/>
      <c r="U15" s="22"/>
      <c r="V15" s="22"/>
      <c r="W15" s="22"/>
    </row>
    <row r="16" spans="1:23" customFormat="1" ht="14.25" customHeight="1" x14ac:dyDescent="0.3">
      <c r="A16" s="47">
        <v>8</v>
      </c>
      <c r="B16" s="23" t="s">
        <v>138</v>
      </c>
      <c r="C16" s="242">
        <v>75000000</v>
      </c>
      <c r="D16" s="23" t="s">
        <v>166</v>
      </c>
      <c r="E16" s="23" t="s">
        <v>167</v>
      </c>
      <c r="F16" s="23" t="s">
        <v>151</v>
      </c>
      <c r="G16" s="23" t="s">
        <v>146</v>
      </c>
      <c r="H16" s="23"/>
      <c r="I16" s="48" t="s">
        <v>168</v>
      </c>
      <c r="J16" s="246">
        <v>2020</v>
      </c>
      <c r="K16" s="7" t="s">
        <v>169</v>
      </c>
      <c r="L16" s="22"/>
      <c r="M16" s="22"/>
      <c r="N16" s="22"/>
      <c r="O16" s="22"/>
      <c r="P16" s="22"/>
      <c r="Q16" s="22"/>
      <c r="R16" s="22"/>
      <c r="S16" s="22"/>
      <c r="T16" s="22"/>
      <c r="U16" s="22"/>
      <c r="V16" s="22"/>
      <c r="W16" s="22"/>
    </row>
    <row r="17" spans="1:23" customFormat="1" ht="14.25" customHeight="1" x14ac:dyDescent="0.3">
      <c r="A17" s="47">
        <v>9</v>
      </c>
      <c r="B17" s="23" t="s">
        <v>138</v>
      </c>
      <c r="C17" s="242">
        <v>35000000</v>
      </c>
      <c r="D17" s="23" t="s">
        <v>170</v>
      </c>
      <c r="E17" s="23" t="s">
        <v>171</v>
      </c>
      <c r="F17" s="23" t="s">
        <v>172</v>
      </c>
      <c r="G17" s="23" t="s">
        <v>146</v>
      </c>
      <c r="H17" s="23"/>
      <c r="I17" s="49" t="s">
        <v>173</v>
      </c>
      <c r="J17" s="246">
        <v>2020</v>
      </c>
      <c r="K17" s="7" t="s">
        <v>174</v>
      </c>
      <c r="L17" s="22"/>
      <c r="M17" s="22"/>
      <c r="N17" s="22"/>
      <c r="O17" s="22"/>
      <c r="P17" s="22"/>
      <c r="Q17" s="22"/>
      <c r="R17" s="22"/>
      <c r="S17" s="22"/>
      <c r="T17" s="22"/>
      <c r="U17" s="22"/>
      <c r="V17" s="22"/>
      <c r="W17" s="22"/>
    </row>
    <row r="18" spans="1:23" customFormat="1" ht="14.25" customHeight="1" x14ac:dyDescent="0.3">
      <c r="A18" s="47">
        <v>10</v>
      </c>
      <c r="B18" s="23" t="s">
        <v>138</v>
      </c>
      <c r="C18" s="242">
        <v>35000000</v>
      </c>
      <c r="D18" s="23" t="s">
        <v>175</v>
      </c>
      <c r="E18" s="23" t="s">
        <v>176</v>
      </c>
      <c r="F18" s="23" t="s">
        <v>151</v>
      </c>
      <c r="G18" s="23" t="s">
        <v>177</v>
      </c>
      <c r="H18" s="23" t="s">
        <v>178</v>
      </c>
      <c r="I18" s="48"/>
      <c r="J18" s="246">
        <v>2020</v>
      </c>
      <c r="K18" s="7" t="s">
        <v>179</v>
      </c>
      <c r="L18" s="22"/>
      <c r="M18" s="22"/>
      <c r="N18" s="22"/>
      <c r="O18" s="22"/>
      <c r="P18" s="22"/>
      <c r="Q18" s="22"/>
      <c r="R18" s="22"/>
      <c r="S18" s="22"/>
      <c r="T18" s="22"/>
      <c r="U18" s="22"/>
      <c r="V18" s="22"/>
      <c r="W18" s="22"/>
    </row>
    <row r="19" spans="1:23" customFormat="1" ht="14.25" customHeight="1" x14ac:dyDescent="0.3">
      <c r="A19" s="47">
        <v>11</v>
      </c>
      <c r="B19" s="23" t="s">
        <v>138</v>
      </c>
      <c r="C19" s="242">
        <v>50000000</v>
      </c>
      <c r="D19" s="23" t="s">
        <v>180</v>
      </c>
      <c r="E19" s="23" t="s">
        <v>164</v>
      </c>
      <c r="F19" s="23" t="s">
        <v>181</v>
      </c>
      <c r="G19" s="23"/>
      <c r="H19" s="23"/>
      <c r="I19" s="50" t="s">
        <v>182</v>
      </c>
      <c r="J19" s="246">
        <v>2020</v>
      </c>
      <c r="K19" s="7" t="s">
        <v>183</v>
      </c>
      <c r="L19" s="22"/>
      <c r="M19" s="22"/>
      <c r="N19" s="22"/>
      <c r="O19" s="22"/>
      <c r="P19" s="22"/>
      <c r="Q19" s="22"/>
      <c r="R19" s="22"/>
      <c r="S19" s="22"/>
      <c r="T19" s="22"/>
      <c r="U19" s="22"/>
      <c r="V19" s="22"/>
      <c r="W19" s="22"/>
    </row>
    <row r="20" spans="1:23" customFormat="1" ht="14.25" customHeight="1" x14ac:dyDescent="0.3">
      <c r="A20" s="47">
        <v>12</v>
      </c>
      <c r="B20" s="23" t="s">
        <v>184</v>
      </c>
      <c r="C20" s="242">
        <v>50000000</v>
      </c>
      <c r="D20" s="23" t="s">
        <v>2027</v>
      </c>
      <c r="E20" s="121" t="s">
        <v>164</v>
      </c>
      <c r="F20" s="23" t="s">
        <v>185</v>
      </c>
      <c r="G20" s="121" t="s">
        <v>186</v>
      </c>
      <c r="H20" s="23"/>
      <c r="I20" s="48"/>
      <c r="J20" s="246">
        <v>2020</v>
      </c>
      <c r="K20" s="7" t="s">
        <v>187</v>
      </c>
      <c r="L20" s="22"/>
      <c r="M20" s="22"/>
      <c r="N20" s="22"/>
      <c r="O20" s="22"/>
      <c r="P20" s="22"/>
      <c r="Q20" s="22"/>
      <c r="R20" s="22"/>
      <c r="S20" s="22"/>
      <c r="T20" s="22"/>
      <c r="U20" s="22"/>
      <c r="V20" s="22"/>
      <c r="W20" s="22"/>
    </row>
    <row r="21" spans="1:23" customFormat="1" ht="14.25" customHeight="1" x14ac:dyDescent="0.3">
      <c r="A21" s="47">
        <v>13</v>
      </c>
      <c r="B21" s="23" t="s">
        <v>138</v>
      </c>
      <c r="C21" s="242">
        <v>75000000</v>
      </c>
      <c r="D21" s="51" t="s">
        <v>188</v>
      </c>
      <c r="E21" s="23" t="s">
        <v>189</v>
      </c>
      <c r="F21" s="23"/>
      <c r="G21" s="23"/>
      <c r="H21" s="23"/>
      <c r="I21" s="48"/>
      <c r="J21" s="246">
        <v>2020</v>
      </c>
      <c r="K21" s="7" t="s">
        <v>190</v>
      </c>
      <c r="L21" s="22"/>
      <c r="M21" s="22"/>
      <c r="N21" s="22"/>
      <c r="O21" s="22"/>
      <c r="P21" s="22"/>
      <c r="Q21" s="22"/>
      <c r="R21" s="22"/>
      <c r="S21" s="22"/>
      <c r="T21" s="22"/>
      <c r="U21" s="22"/>
      <c r="V21" s="22"/>
      <c r="W21" s="22"/>
    </row>
    <row r="22" spans="1:23" customFormat="1" ht="14.25" customHeight="1" x14ac:dyDescent="0.3">
      <c r="A22" s="47">
        <v>14</v>
      </c>
      <c r="B22" s="23" t="s">
        <v>138</v>
      </c>
      <c r="C22" s="242">
        <v>75000000</v>
      </c>
      <c r="D22" s="51" t="s">
        <v>191</v>
      </c>
      <c r="E22" s="23" t="s">
        <v>189</v>
      </c>
      <c r="F22" s="23"/>
      <c r="G22" s="23"/>
      <c r="H22" s="23"/>
      <c r="I22" s="48"/>
      <c r="J22" s="246">
        <v>2020</v>
      </c>
      <c r="K22" s="7" t="s">
        <v>192</v>
      </c>
      <c r="L22" s="22"/>
      <c r="M22" s="22"/>
      <c r="N22" s="22"/>
      <c r="O22" s="22"/>
      <c r="P22" s="22"/>
      <c r="Q22" s="22"/>
      <c r="R22" s="22"/>
      <c r="S22" s="22"/>
      <c r="T22" s="22"/>
      <c r="U22" s="22"/>
      <c r="V22" s="22"/>
      <c r="W22" s="22"/>
    </row>
    <row r="23" spans="1:23" customFormat="1" ht="14.25" customHeight="1" x14ac:dyDescent="0.3">
      <c r="A23" s="47">
        <v>15</v>
      </c>
      <c r="B23" s="23" t="s">
        <v>138</v>
      </c>
      <c r="C23" s="242">
        <v>75000000</v>
      </c>
      <c r="D23" s="51" t="s">
        <v>193</v>
      </c>
      <c r="E23" s="23" t="s">
        <v>194</v>
      </c>
      <c r="F23" s="23" t="s">
        <v>141</v>
      </c>
      <c r="G23" s="23" t="s">
        <v>109</v>
      </c>
      <c r="H23" s="23"/>
      <c r="I23" s="48" t="s">
        <v>195</v>
      </c>
      <c r="J23" s="246">
        <v>2021</v>
      </c>
      <c r="K23" s="7" t="s">
        <v>196</v>
      </c>
      <c r="L23" s="22"/>
      <c r="M23" s="22"/>
      <c r="N23" s="22"/>
      <c r="O23" s="22"/>
      <c r="P23" s="22"/>
      <c r="Q23" s="22"/>
      <c r="R23" s="22"/>
      <c r="S23" s="22"/>
      <c r="T23" s="22"/>
      <c r="U23" s="22"/>
      <c r="V23" s="22"/>
      <c r="W23" s="22"/>
    </row>
    <row r="24" spans="1:23" customFormat="1" ht="14.25" customHeight="1" x14ac:dyDescent="0.3">
      <c r="A24" s="47">
        <v>16</v>
      </c>
      <c r="B24" s="23" t="s">
        <v>138</v>
      </c>
      <c r="C24" s="242">
        <v>75000000</v>
      </c>
      <c r="D24" s="51" t="s">
        <v>197</v>
      </c>
      <c r="E24" s="23" t="s">
        <v>167</v>
      </c>
      <c r="F24" s="23" t="s">
        <v>146</v>
      </c>
      <c r="G24" s="23" t="s">
        <v>194</v>
      </c>
      <c r="H24" s="23"/>
      <c r="I24" s="49" t="s">
        <v>198</v>
      </c>
      <c r="J24" s="246">
        <v>2021</v>
      </c>
      <c r="K24" s="7" t="s">
        <v>199</v>
      </c>
      <c r="L24" s="22"/>
      <c r="M24" s="22"/>
      <c r="N24" s="22"/>
      <c r="O24" s="22"/>
      <c r="P24" s="22"/>
      <c r="Q24" s="22"/>
      <c r="R24" s="22"/>
      <c r="S24" s="22"/>
      <c r="T24" s="22"/>
      <c r="U24" s="22"/>
      <c r="V24" s="22"/>
      <c r="W24" s="22"/>
    </row>
    <row r="25" spans="1:23" customFormat="1" ht="14.25" customHeight="1" x14ac:dyDescent="0.3">
      <c r="A25" s="47">
        <v>17</v>
      </c>
      <c r="B25" s="23" t="s">
        <v>138</v>
      </c>
      <c r="C25" s="242">
        <v>75000000</v>
      </c>
      <c r="D25" s="23" t="s">
        <v>200</v>
      </c>
      <c r="E25" s="23" t="s">
        <v>150</v>
      </c>
      <c r="F25" s="23"/>
      <c r="G25" s="23"/>
      <c r="H25" s="23"/>
      <c r="I25" s="54"/>
      <c r="J25" s="246">
        <v>2021</v>
      </c>
      <c r="K25" s="7" t="s">
        <v>159</v>
      </c>
      <c r="L25" s="22"/>
      <c r="M25" s="22"/>
      <c r="N25" s="22"/>
      <c r="O25" s="22"/>
      <c r="P25" s="22"/>
      <c r="Q25" s="22"/>
      <c r="R25" s="22"/>
      <c r="S25" s="22"/>
      <c r="T25" s="22"/>
      <c r="U25" s="22"/>
      <c r="V25" s="22"/>
      <c r="W25" s="22"/>
    </row>
    <row r="26" spans="1:23" customFormat="1" ht="14.25" customHeight="1" x14ac:dyDescent="0.3">
      <c r="A26" s="47">
        <v>18</v>
      </c>
      <c r="B26" s="23" t="s">
        <v>138</v>
      </c>
      <c r="C26" s="242">
        <v>75000000</v>
      </c>
      <c r="D26" s="51" t="s">
        <v>201</v>
      </c>
      <c r="E26" s="23" t="s">
        <v>171</v>
      </c>
      <c r="F26" s="23" t="s">
        <v>172</v>
      </c>
      <c r="G26" s="23" t="s">
        <v>146</v>
      </c>
      <c r="H26" s="23"/>
      <c r="I26" s="49" t="s">
        <v>147</v>
      </c>
      <c r="J26" s="246">
        <v>2021</v>
      </c>
      <c r="K26" s="7" t="s">
        <v>202</v>
      </c>
      <c r="L26" s="22"/>
      <c r="M26" s="22"/>
      <c r="N26" s="22"/>
      <c r="O26" s="22"/>
      <c r="P26" s="22"/>
      <c r="Q26" s="22"/>
      <c r="R26" s="22"/>
      <c r="S26" s="22"/>
      <c r="T26" s="22"/>
      <c r="U26" s="22"/>
      <c r="V26" s="22"/>
      <c r="W26" s="22"/>
    </row>
    <row r="27" spans="1:23" customFormat="1" ht="14.25" customHeight="1" x14ac:dyDescent="0.3">
      <c r="A27" s="47">
        <v>19</v>
      </c>
      <c r="B27" s="23" t="s">
        <v>138</v>
      </c>
      <c r="C27" s="242">
        <v>75000000</v>
      </c>
      <c r="D27" s="51" t="s">
        <v>203</v>
      </c>
      <c r="E27" s="23" t="s">
        <v>189</v>
      </c>
      <c r="F27" s="23"/>
      <c r="G27" s="23"/>
      <c r="H27" s="23"/>
      <c r="I27" s="54"/>
      <c r="J27" s="246">
        <v>2021</v>
      </c>
      <c r="K27" s="7" t="s">
        <v>204</v>
      </c>
      <c r="L27" s="22"/>
      <c r="M27" s="22"/>
      <c r="N27" s="22"/>
      <c r="O27" s="22"/>
      <c r="P27" s="22"/>
      <c r="Q27" s="22"/>
      <c r="R27" s="22"/>
      <c r="S27" s="22"/>
      <c r="T27" s="22"/>
      <c r="U27" s="22"/>
      <c r="V27" s="22"/>
      <c r="W27" s="22"/>
    </row>
    <row r="28" spans="1:23" customFormat="1" ht="14.25" customHeight="1" x14ac:dyDescent="0.3">
      <c r="A28" s="47">
        <v>20</v>
      </c>
      <c r="B28" s="23" t="s">
        <v>138</v>
      </c>
      <c r="C28" s="242">
        <v>75000000</v>
      </c>
      <c r="D28" s="23" t="s">
        <v>205</v>
      </c>
      <c r="E28" s="23" t="s">
        <v>161</v>
      </c>
      <c r="F28" s="23"/>
      <c r="G28" s="23"/>
      <c r="H28" s="23"/>
      <c r="I28" s="54"/>
      <c r="J28" s="246">
        <v>2021</v>
      </c>
      <c r="K28" s="7" t="s">
        <v>206</v>
      </c>
      <c r="L28" s="22"/>
      <c r="M28" s="22"/>
      <c r="N28" s="22"/>
      <c r="O28" s="22"/>
      <c r="P28" s="22"/>
      <c r="Q28" s="22"/>
      <c r="R28" s="22"/>
      <c r="S28" s="22"/>
      <c r="T28" s="22"/>
      <c r="U28" s="22"/>
      <c r="V28" s="22"/>
      <c r="W28" s="22"/>
    </row>
    <row r="29" spans="1:23" customFormat="1" ht="14.25" customHeight="1" x14ac:dyDescent="0.3">
      <c r="A29" s="47">
        <v>21</v>
      </c>
      <c r="B29" s="23" t="s">
        <v>184</v>
      </c>
      <c r="C29" s="242">
        <v>300000000</v>
      </c>
      <c r="D29" s="24" t="s">
        <v>207</v>
      </c>
      <c r="E29" s="23" t="s">
        <v>164</v>
      </c>
      <c r="F29" s="23"/>
      <c r="G29" s="23"/>
      <c r="H29" s="23"/>
      <c r="I29" s="48"/>
      <c r="J29" s="246">
        <v>2021</v>
      </c>
      <c r="K29" s="7" t="s">
        <v>2202</v>
      </c>
      <c r="L29" s="22"/>
      <c r="M29" s="22"/>
      <c r="N29" s="22"/>
      <c r="O29" s="22"/>
      <c r="P29" s="22"/>
      <c r="Q29" s="22"/>
      <c r="R29" s="22"/>
      <c r="S29" s="22"/>
      <c r="T29" s="22"/>
      <c r="U29" s="22"/>
      <c r="V29" s="22"/>
      <c r="W29" s="22"/>
    </row>
    <row r="30" spans="1:23" customFormat="1" ht="14.25" customHeight="1" x14ac:dyDescent="0.3">
      <c r="A30" s="47">
        <v>22</v>
      </c>
      <c r="B30" s="23" t="s">
        <v>138</v>
      </c>
      <c r="C30" s="242">
        <v>75000000</v>
      </c>
      <c r="D30" s="52" t="s">
        <v>208</v>
      </c>
      <c r="E30" s="23" t="s">
        <v>164</v>
      </c>
      <c r="F30" s="23" t="s">
        <v>181</v>
      </c>
      <c r="G30" s="23"/>
      <c r="H30" s="23"/>
      <c r="I30" s="53"/>
      <c r="J30" s="246">
        <v>2021</v>
      </c>
      <c r="K30" s="7" t="s">
        <v>209</v>
      </c>
      <c r="L30" s="22"/>
      <c r="M30" s="22"/>
      <c r="N30" s="22"/>
      <c r="O30" s="22"/>
      <c r="P30" s="22"/>
      <c r="Q30" s="22"/>
      <c r="R30" s="22"/>
      <c r="S30" s="22"/>
      <c r="T30" s="22"/>
      <c r="U30" s="22"/>
      <c r="V30" s="22"/>
      <c r="W30" s="22"/>
    </row>
    <row r="31" spans="1:23" customFormat="1" ht="14.25" customHeight="1" x14ac:dyDescent="0.3">
      <c r="A31" s="47">
        <v>23</v>
      </c>
      <c r="B31" s="23" t="s">
        <v>138</v>
      </c>
      <c r="C31" s="242">
        <v>75000000</v>
      </c>
      <c r="D31" s="52" t="s">
        <v>210</v>
      </c>
      <c r="E31" s="23" t="s">
        <v>150</v>
      </c>
      <c r="F31" s="23" t="s">
        <v>164</v>
      </c>
      <c r="G31" s="23"/>
      <c r="H31" s="23"/>
      <c r="I31" s="53" t="s">
        <v>211</v>
      </c>
      <c r="J31" s="246">
        <v>2021</v>
      </c>
      <c r="K31" s="7" t="s">
        <v>212</v>
      </c>
      <c r="L31" s="22"/>
      <c r="M31" s="22"/>
      <c r="N31" s="22"/>
      <c r="O31" s="22"/>
      <c r="P31" s="22"/>
      <c r="Q31" s="22"/>
      <c r="R31" s="22"/>
      <c r="S31" s="22"/>
      <c r="T31" s="22"/>
      <c r="U31" s="22"/>
      <c r="V31" s="22"/>
      <c r="W31" s="22"/>
    </row>
    <row r="32" spans="1:23" customFormat="1" ht="14.25" customHeight="1" x14ac:dyDescent="0.3">
      <c r="A32" s="47">
        <v>24</v>
      </c>
      <c r="B32" s="23" t="s">
        <v>138</v>
      </c>
      <c r="C32" s="242">
        <v>50000000</v>
      </c>
      <c r="D32" s="52" t="s">
        <v>213</v>
      </c>
      <c r="E32" s="23" t="s">
        <v>177</v>
      </c>
      <c r="F32" s="23" t="s">
        <v>110</v>
      </c>
      <c r="G32" s="23"/>
      <c r="H32" s="23"/>
      <c r="I32" s="53"/>
      <c r="J32" s="246">
        <v>2021</v>
      </c>
      <c r="K32" s="7" t="s">
        <v>214</v>
      </c>
      <c r="L32" s="22"/>
      <c r="M32" s="22"/>
      <c r="N32" s="22"/>
      <c r="O32" s="22"/>
      <c r="P32" s="22"/>
      <c r="Q32" s="22"/>
      <c r="R32" s="22"/>
      <c r="S32" s="22"/>
      <c r="T32" s="22"/>
      <c r="U32" s="22"/>
      <c r="V32" s="22"/>
      <c r="W32" s="22"/>
    </row>
    <row r="33" spans="1:23" customFormat="1" ht="14.25" customHeight="1" x14ac:dyDescent="0.3">
      <c r="A33" s="47">
        <v>25</v>
      </c>
      <c r="B33" s="23" t="s">
        <v>138</v>
      </c>
      <c r="C33" s="242">
        <v>50000000</v>
      </c>
      <c r="D33" s="52" t="s">
        <v>215</v>
      </c>
      <c r="E33" s="23" t="s">
        <v>185</v>
      </c>
      <c r="F33" s="23" t="s">
        <v>109</v>
      </c>
      <c r="G33" s="23" t="s">
        <v>216</v>
      </c>
      <c r="H33" s="23"/>
      <c r="I33" s="53"/>
      <c r="J33" s="246">
        <v>2021</v>
      </c>
      <c r="K33" s="7" t="s">
        <v>217</v>
      </c>
      <c r="L33" s="22"/>
      <c r="M33" s="22"/>
      <c r="N33" s="22"/>
      <c r="O33" s="22"/>
      <c r="P33" s="22"/>
      <c r="Q33" s="22"/>
      <c r="R33" s="22"/>
      <c r="S33" s="22"/>
      <c r="T33" s="22"/>
      <c r="U33" s="22"/>
      <c r="V33" s="22"/>
      <c r="W33" s="22"/>
    </row>
    <row r="34" spans="1:23" customFormat="1" ht="14.25" customHeight="1" x14ac:dyDescent="0.3">
      <c r="A34" s="47">
        <v>26</v>
      </c>
      <c r="B34" s="23" t="s">
        <v>138</v>
      </c>
      <c r="C34" s="242">
        <v>75000000</v>
      </c>
      <c r="D34" s="51" t="s">
        <v>218</v>
      </c>
      <c r="E34" s="23" t="s">
        <v>219</v>
      </c>
      <c r="F34" s="23" t="s">
        <v>220</v>
      </c>
      <c r="G34" s="23"/>
      <c r="H34" s="23"/>
      <c r="I34" s="53" t="s">
        <v>2213</v>
      </c>
      <c r="J34" s="246">
        <v>2021</v>
      </c>
      <c r="K34" s="7" t="s">
        <v>221</v>
      </c>
      <c r="L34" s="22"/>
      <c r="M34" s="22"/>
      <c r="N34" s="22"/>
      <c r="O34" s="22"/>
      <c r="P34" s="22"/>
      <c r="Q34" s="22"/>
      <c r="R34" s="22"/>
      <c r="S34" s="22"/>
      <c r="T34" s="22"/>
      <c r="U34" s="22"/>
      <c r="V34" s="22"/>
      <c r="W34" s="22"/>
    </row>
    <row r="35" spans="1:23" customFormat="1" ht="14.25" customHeight="1" x14ac:dyDescent="0.3">
      <c r="A35" s="47">
        <v>27</v>
      </c>
      <c r="B35" s="23" t="s">
        <v>138</v>
      </c>
      <c r="C35" s="242">
        <v>75000000</v>
      </c>
      <c r="D35" s="23" t="s">
        <v>222</v>
      </c>
      <c r="E35" s="23" t="s">
        <v>110</v>
      </c>
      <c r="F35" s="23" t="s">
        <v>141</v>
      </c>
      <c r="G35" s="23"/>
      <c r="H35" s="23"/>
      <c r="I35" s="48"/>
      <c r="J35" s="246">
        <v>2021</v>
      </c>
      <c r="K35" s="7" t="s">
        <v>223</v>
      </c>
      <c r="L35" s="22"/>
      <c r="M35" s="22"/>
      <c r="N35" s="22"/>
      <c r="O35" s="22"/>
      <c r="P35" s="22"/>
      <c r="Q35" s="22"/>
      <c r="R35" s="22"/>
      <c r="S35" s="22"/>
      <c r="T35" s="22"/>
      <c r="U35" s="22"/>
      <c r="V35" s="22"/>
      <c r="W35" s="22"/>
    </row>
    <row r="36" spans="1:23" customFormat="1" ht="14.25" customHeight="1" x14ac:dyDescent="0.3">
      <c r="A36" s="47">
        <v>28</v>
      </c>
      <c r="B36" s="23" t="s">
        <v>138</v>
      </c>
      <c r="C36" s="242">
        <v>75000000</v>
      </c>
      <c r="D36" s="23" t="s">
        <v>224</v>
      </c>
      <c r="E36" s="23" t="s">
        <v>225</v>
      </c>
      <c r="F36" s="23" t="s">
        <v>226</v>
      </c>
      <c r="G36" s="23"/>
      <c r="H36" s="23"/>
      <c r="I36" s="48" t="s">
        <v>227</v>
      </c>
      <c r="J36" s="246">
        <v>2021</v>
      </c>
      <c r="K36" s="7" t="s">
        <v>228</v>
      </c>
      <c r="L36" s="22"/>
      <c r="M36" s="22"/>
      <c r="N36" s="22"/>
      <c r="O36" s="22"/>
      <c r="P36" s="22"/>
      <c r="Q36" s="22"/>
      <c r="R36" s="22"/>
      <c r="S36" s="22"/>
      <c r="T36" s="22"/>
      <c r="U36" s="22"/>
      <c r="V36" s="22"/>
      <c r="W36" s="22"/>
    </row>
    <row r="37" spans="1:23" customFormat="1" ht="14.25" customHeight="1" x14ac:dyDescent="0.3">
      <c r="A37" s="47">
        <v>29</v>
      </c>
      <c r="B37" s="23" t="s">
        <v>138</v>
      </c>
      <c r="C37" s="242">
        <v>75000000</v>
      </c>
      <c r="D37" s="51" t="s">
        <v>229</v>
      </c>
      <c r="E37" s="23" t="s">
        <v>151</v>
      </c>
      <c r="F37" s="23" t="s">
        <v>189</v>
      </c>
      <c r="G37" s="23" t="s">
        <v>146</v>
      </c>
      <c r="H37" s="23"/>
      <c r="I37" s="54" t="s">
        <v>230</v>
      </c>
      <c r="J37" s="246">
        <v>2021</v>
      </c>
      <c r="K37" s="7" t="s">
        <v>231</v>
      </c>
      <c r="L37" s="22"/>
      <c r="M37" s="22"/>
      <c r="N37" s="22"/>
      <c r="O37" s="22"/>
      <c r="P37" s="22"/>
      <c r="Q37" s="22"/>
      <c r="R37" s="22"/>
      <c r="S37" s="22"/>
      <c r="T37" s="22"/>
      <c r="U37" s="22"/>
      <c r="V37" s="22"/>
      <c r="W37" s="22"/>
    </row>
    <row r="38" spans="1:23" customFormat="1" ht="14.25" customHeight="1" x14ac:dyDescent="0.3">
      <c r="A38" s="47">
        <v>30</v>
      </c>
      <c r="B38" s="23" t="s">
        <v>138</v>
      </c>
      <c r="C38" s="242">
        <v>35000000</v>
      </c>
      <c r="D38" s="51" t="s">
        <v>232</v>
      </c>
      <c r="E38" s="23" t="s">
        <v>150</v>
      </c>
      <c r="F38" s="23" t="s">
        <v>171</v>
      </c>
      <c r="G38" s="23" t="s">
        <v>172</v>
      </c>
      <c r="H38" s="23"/>
      <c r="I38" s="54"/>
      <c r="J38" s="246">
        <v>2021</v>
      </c>
      <c r="K38" s="7" t="s">
        <v>233</v>
      </c>
      <c r="L38" s="22"/>
      <c r="M38" s="22"/>
      <c r="N38" s="22"/>
      <c r="O38" s="22"/>
      <c r="P38" s="22"/>
      <c r="Q38" s="22"/>
      <c r="R38" s="22"/>
      <c r="S38" s="22"/>
      <c r="T38" s="22"/>
      <c r="U38" s="22"/>
      <c r="V38" s="22"/>
      <c r="W38" s="22"/>
    </row>
    <row r="39" spans="1:23" customFormat="1" ht="14.25" customHeight="1" x14ac:dyDescent="0.3">
      <c r="A39" s="47">
        <v>31</v>
      </c>
      <c r="B39" s="23" t="s">
        <v>138</v>
      </c>
      <c r="C39" s="242">
        <v>35000000</v>
      </c>
      <c r="D39" s="51" t="s">
        <v>234</v>
      </c>
      <c r="E39" s="23" t="s">
        <v>79</v>
      </c>
      <c r="F39" s="55" t="s">
        <v>220</v>
      </c>
      <c r="G39" s="23"/>
      <c r="H39" s="23"/>
      <c r="I39" s="54" t="s">
        <v>147</v>
      </c>
      <c r="J39" s="246">
        <v>2021</v>
      </c>
      <c r="K39" s="7" t="s">
        <v>235</v>
      </c>
      <c r="L39" s="22"/>
      <c r="M39" s="22"/>
      <c r="N39" s="22"/>
      <c r="O39" s="22"/>
      <c r="P39" s="22"/>
      <c r="Q39" s="22"/>
      <c r="R39" s="22"/>
      <c r="S39" s="22"/>
      <c r="T39" s="22"/>
      <c r="U39" s="22"/>
      <c r="V39" s="22"/>
      <c r="W39" s="22"/>
    </row>
    <row r="40" spans="1:23" customFormat="1" ht="14.25" customHeight="1" x14ac:dyDescent="0.3">
      <c r="A40" s="47">
        <v>32</v>
      </c>
      <c r="B40" s="23" t="s">
        <v>138</v>
      </c>
      <c r="C40" s="242">
        <v>10000000</v>
      </c>
      <c r="D40" s="51" t="s">
        <v>236</v>
      </c>
      <c r="E40" s="23" t="s">
        <v>108</v>
      </c>
      <c r="F40" s="23" t="s">
        <v>140</v>
      </c>
      <c r="G40" s="23"/>
      <c r="H40" s="23"/>
      <c r="I40" s="54" t="s">
        <v>227</v>
      </c>
      <c r="J40" s="246">
        <v>2021</v>
      </c>
      <c r="K40" s="7" t="s">
        <v>237</v>
      </c>
      <c r="L40" s="22"/>
      <c r="M40" s="22"/>
      <c r="N40" s="22"/>
      <c r="O40" s="22"/>
      <c r="P40" s="22"/>
      <c r="Q40" s="22"/>
      <c r="R40" s="22"/>
      <c r="S40" s="22"/>
      <c r="T40" s="22"/>
      <c r="U40" s="22"/>
      <c r="V40" s="22"/>
      <c r="W40" s="22"/>
    </row>
    <row r="41" spans="1:23" customFormat="1" ht="14.25" customHeight="1" x14ac:dyDescent="0.3">
      <c r="A41" s="47">
        <v>33</v>
      </c>
      <c r="B41" s="23" t="s">
        <v>138</v>
      </c>
      <c r="C41" s="242">
        <v>50000000</v>
      </c>
      <c r="D41" s="51" t="s">
        <v>238</v>
      </c>
      <c r="E41" s="23" t="s">
        <v>150</v>
      </c>
      <c r="F41" s="23" t="s">
        <v>239</v>
      </c>
      <c r="G41" s="23" t="s">
        <v>240</v>
      </c>
      <c r="H41" s="23"/>
      <c r="I41" s="49" t="s">
        <v>241</v>
      </c>
      <c r="J41" s="246">
        <v>2022</v>
      </c>
      <c r="K41" s="7" t="s">
        <v>242</v>
      </c>
      <c r="L41" s="22"/>
      <c r="M41" s="22"/>
      <c r="N41" s="22"/>
      <c r="O41" s="22"/>
      <c r="P41" s="22"/>
      <c r="Q41" s="22"/>
      <c r="R41" s="22"/>
      <c r="S41" s="22"/>
      <c r="T41" s="22"/>
      <c r="U41" s="22"/>
      <c r="V41" s="22"/>
      <c r="W41" s="22"/>
    </row>
    <row r="42" spans="1:23" customFormat="1" ht="14.25" customHeight="1" x14ac:dyDescent="0.3">
      <c r="A42" s="47">
        <v>34</v>
      </c>
      <c r="B42" s="23" t="s">
        <v>138</v>
      </c>
      <c r="C42" s="242">
        <v>50000000</v>
      </c>
      <c r="D42" s="51" t="s">
        <v>243</v>
      </c>
      <c r="E42" s="23" t="s">
        <v>244</v>
      </c>
      <c r="F42" s="23" t="s">
        <v>220</v>
      </c>
      <c r="G42" s="23" t="s">
        <v>152</v>
      </c>
      <c r="H42" s="23"/>
      <c r="I42" s="49" t="s">
        <v>147</v>
      </c>
      <c r="J42" s="246">
        <v>2022</v>
      </c>
      <c r="K42" s="7" t="s">
        <v>245</v>
      </c>
      <c r="L42" s="22"/>
      <c r="M42" s="22"/>
      <c r="N42" s="22"/>
      <c r="O42" s="22"/>
      <c r="P42" s="22"/>
      <c r="Q42" s="22"/>
      <c r="R42" s="22"/>
      <c r="S42" s="22"/>
      <c r="T42" s="22"/>
      <c r="U42" s="22"/>
      <c r="V42" s="22"/>
      <c r="W42" s="22"/>
    </row>
    <row r="43" spans="1:23" customFormat="1" ht="14.25" customHeight="1" x14ac:dyDescent="0.3">
      <c r="A43" s="47">
        <v>35</v>
      </c>
      <c r="B43" s="23" t="s">
        <v>138</v>
      </c>
      <c r="C43" s="242">
        <v>75000000</v>
      </c>
      <c r="D43" s="56" t="s">
        <v>246</v>
      </c>
      <c r="E43" s="23" t="s">
        <v>247</v>
      </c>
      <c r="F43" s="23" t="s">
        <v>141</v>
      </c>
      <c r="G43" s="23" t="s">
        <v>109</v>
      </c>
      <c r="H43" s="23"/>
      <c r="I43" s="49" t="s">
        <v>248</v>
      </c>
      <c r="J43" s="246">
        <v>2022</v>
      </c>
      <c r="K43" s="7" t="s">
        <v>249</v>
      </c>
      <c r="L43" s="22"/>
      <c r="M43" s="22"/>
      <c r="N43" s="22"/>
      <c r="O43" s="22"/>
      <c r="P43" s="22"/>
      <c r="Q43" s="22"/>
      <c r="R43" s="22"/>
      <c r="S43" s="22"/>
      <c r="T43" s="22"/>
      <c r="U43" s="22"/>
      <c r="V43" s="22"/>
      <c r="W43" s="22"/>
    </row>
    <row r="44" spans="1:23" customFormat="1" ht="14.25" customHeight="1" x14ac:dyDescent="0.3">
      <c r="A44" s="47">
        <v>36</v>
      </c>
      <c r="B44" s="23" t="s">
        <v>138</v>
      </c>
      <c r="C44" s="242">
        <v>75000000</v>
      </c>
      <c r="D44" s="56" t="s">
        <v>250</v>
      </c>
      <c r="E44" s="23" t="s">
        <v>151</v>
      </c>
      <c r="F44" s="23" t="s">
        <v>109</v>
      </c>
      <c r="G44" s="23"/>
      <c r="H44" s="23"/>
      <c r="I44" s="49" t="s">
        <v>251</v>
      </c>
      <c r="J44" s="246">
        <v>2022</v>
      </c>
      <c r="K44" s="7" t="s">
        <v>252</v>
      </c>
      <c r="L44" s="22"/>
      <c r="M44" s="22"/>
      <c r="N44" s="22"/>
      <c r="O44" s="22"/>
      <c r="P44" s="22"/>
      <c r="Q44" s="22"/>
      <c r="R44" s="22"/>
      <c r="S44" s="22"/>
      <c r="T44" s="22"/>
      <c r="U44" s="22"/>
      <c r="V44" s="22"/>
      <c r="W44" s="22"/>
    </row>
    <row r="45" spans="1:23" customFormat="1" ht="14.25" customHeight="1" x14ac:dyDescent="0.3">
      <c r="A45" s="47">
        <v>37</v>
      </c>
      <c r="B45" s="23" t="s">
        <v>138</v>
      </c>
      <c r="C45" s="242">
        <v>35000000</v>
      </c>
      <c r="D45" s="56" t="s">
        <v>253</v>
      </c>
      <c r="E45" s="23" t="s">
        <v>156</v>
      </c>
      <c r="F45" s="23"/>
      <c r="G45" s="23"/>
      <c r="H45" s="23"/>
      <c r="I45" s="49"/>
      <c r="J45" s="246">
        <v>2022</v>
      </c>
      <c r="K45" s="7" t="s">
        <v>254</v>
      </c>
      <c r="L45" s="22"/>
      <c r="M45" s="22"/>
      <c r="N45" s="22"/>
      <c r="O45" s="22"/>
      <c r="P45" s="22"/>
      <c r="Q45" s="22"/>
      <c r="R45" s="22"/>
      <c r="S45" s="22"/>
      <c r="T45" s="22"/>
      <c r="U45" s="22"/>
      <c r="V45" s="22"/>
      <c r="W45" s="22"/>
    </row>
    <row r="46" spans="1:23" customFormat="1" ht="14.25" customHeight="1" x14ac:dyDescent="0.3">
      <c r="A46" s="47">
        <v>38</v>
      </c>
      <c r="B46" s="23" t="s">
        <v>138</v>
      </c>
      <c r="C46" s="242">
        <v>75000000</v>
      </c>
      <c r="D46" s="56" t="s">
        <v>255</v>
      </c>
      <c r="E46" s="23" t="s">
        <v>171</v>
      </c>
      <c r="F46" s="23" t="s">
        <v>256</v>
      </c>
      <c r="G46" s="23" t="s">
        <v>172</v>
      </c>
      <c r="H46" s="23"/>
      <c r="I46" s="49" t="s">
        <v>257</v>
      </c>
      <c r="J46" s="246">
        <v>2022</v>
      </c>
      <c r="K46" s="7" t="s">
        <v>258</v>
      </c>
      <c r="L46" s="22"/>
      <c r="M46" s="22"/>
      <c r="N46" s="22"/>
      <c r="O46" s="22"/>
      <c r="P46" s="22"/>
      <c r="Q46" s="22"/>
      <c r="R46" s="22"/>
      <c r="S46" s="22"/>
      <c r="T46" s="22"/>
      <c r="U46" s="22"/>
      <c r="V46" s="22"/>
      <c r="W46" s="22"/>
    </row>
    <row r="47" spans="1:23" customFormat="1" ht="14.25" customHeight="1" x14ac:dyDescent="0.3">
      <c r="A47" s="47">
        <v>39</v>
      </c>
      <c r="B47" s="23" t="s">
        <v>138</v>
      </c>
      <c r="C47" s="242">
        <v>35000000</v>
      </c>
      <c r="D47" s="55" t="s">
        <v>259</v>
      </c>
      <c r="E47" s="55" t="s">
        <v>260</v>
      </c>
      <c r="F47" s="55"/>
      <c r="G47" s="55"/>
      <c r="H47" s="55"/>
      <c r="I47" s="50"/>
      <c r="J47" s="246">
        <v>2022</v>
      </c>
      <c r="K47" s="7" t="s">
        <v>261</v>
      </c>
      <c r="L47" s="22"/>
      <c r="M47" s="22"/>
      <c r="N47" s="22"/>
      <c r="O47" s="22"/>
      <c r="P47" s="22"/>
      <c r="Q47" s="22"/>
      <c r="R47" s="22"/>
      <c r="S47" s="22"/>
      <c r="T47" s="22"/>
      <c r="U47" s="22"/>
      <c r="V47" s="22"/>
      <c r="W47" s="22"/>
    </row>
    <row r="48" spans="1:23" customFormat="1" ht="14.25" customHeight="1" x14ac:dyDescent="0.3">
      <c r="A48" s="47">
        <v>40</v>
      </c>
      <c r="B48" s="23" t="s">
        <v>138</v>
      </c>
      <c r="C48" s="242">
        <v>75000000</v>
      </c>
      <c r="D48" s="56" t="s">
        <v>262</v>
      </c>
      <c r="E48" s="57" t="s">
        <v>263</v>
      </c>
      <c r="F48" s="57" t="s">
        <v>264</v>
      </c>
      <c r="G48" s="57"/>
      <c r="H48" s="57"/>
      <c r="I48" s="50"/>
      <c r="J48" s="246">
        <v>2022</v>
      </c>
      <c r="K48" s="7" t="s">
        <v>265</v>
      </c>
      <c r="L48" s="22"/>
      <c r="M48" s="22"/>
      <c r="N48" s="22"/>
      <c r="O48" s="22"/>
      <c r="P48" s="22"/>
      <c r="Q48" s="22"/>
      <c r="R48" s="22"/>
      <c r="S48" s="22"/>
      <c r="T48" s="22"/>
      <c r="U48" s="22"/>
      <c r="V48" s="22"/>
      <c r="W48" s="22"/>
    </row>
    <row r="49" spans="1:23" customFormat="1" ht="14.25" customHeight="1" x14ac:dyDescent="0.3">
      <c r="A49" s="47">
        <v>41</v>
      </c>
      <c r="B49" s="23" t="s">
        <v>138</v>
      </c>
      <c r="C49" s="242">
        <v>50000000</v>
      </c>
      <c r="D49" s="56" t="s">
        <v>266</v>
      </c>
      <c r="E49" s="23" t="s">
        <v>164</v>
      </c>
      <c r="F49" s="57" t="s">
        <v>181</v>
      </c>
      <c r="G49" s="57"/>
      <c r="H49" s="57"/>
      <c r="I49" s="50" t="s">
        <v>267</v>
      </c>
      <c r="J49" s="246">
        <v>2022</v>
      </c>
      <c r="K49" s="7" t="s">
        <v>268</v>
      </c>
      <c r="L49" s="22"/>
      <c r="M49" s="22"/>
      <c r="N49" s="22"/>
      <c r="O49" s="22"/>
      <c r="P49" s="22"/>
      <c r="Q49" s="22"/>
      <c r="R49" s="22"/>
      <c r="S49" s="22"/>
      <c r="T49" s="22"/>
      <c r="U49" s="22"/>
      <c r="V49" s="22"/>
      <c r="W49" s="22"/>
    </row>
    <row r="50" spans="1:23" customFormat="1" ht="14.25" customHeight="1" x14ac:dyDescent="0.3">
      <c r="A50" s="47">
        <v>42</v>
      </c>
      <c r="B50" s="23" t="s">
        <v>138</v>
      </c>
      <c r="C50" s="242">
        <v>35000000</v>
      </c>
      <c r="D50" s="23" t="s">
        <v>269</v>
      </c>
      <c r="E50" s="57" t="s">
        <v>129</v>
      </c>
      <c r="F50" s="120"/>
      <c r="G50" s="23"/>
      <c r="H50" s="23"/>
      <c r="I50" s="48"/>
      <c r="J50" s="246">
        <v>2022</v>
      </c>
      <c r="K50" s="122" t="s">
        <v>270</v>
      </c>
      <c r="L50" s="22"/>
      <c r="M50" s="22"/>
      <c r="N50" s="22"/>
      <c r="O50" s="22"/>
      <c r="P50" s="22"/>
      <c r="Q50" s="22"/>
      <c r="R50" s="22"/>
      <c r="S50" s="22"/>
      <c r="T50" s="22"/>
      <c r="U50" s="22"/>
      <c r="V50" s="22"/>
      <c r="W50" s="22"/>
    </row>
    <row r="51" spans="1:23" customFormat="1" ht="14.25" customHeight="1" x14ac:dyDescent="0.3">
      <c r="A51" s="47">
        <v>43</v>
      </c>
      <c r="B51" s="23" t="s">
        <v>138</v>
      </c>
      <c r="C51" s="242">
        <v>35000000</v>
      </c>
      <c r="D51" s="23" t="s">
        <v>271</v>
      </c>
      <c r="E51" s="253" t="s">
        <v>272</v>
      </c>
      <c r="F51" s="23" t="s">
        <v>185</v>
      </c>
      <c r="G51" s="57"/>
      <c r="H51" s="57"/>
      <c r="I51" s="50"/>
      <c r="J51" s="246">
        <v>2022</v>
      </c>
      <c r="K51" s="7" t="s">
        <v>273</v>
      </c>
      <c r="L51" s="22"/>
      <c r="M51" s="22"/>
      <c r="N51" s="22"/>
      <c r="O51" s="22"/>
      <c r="P51" s="22"/>
      <c r="Q51" s="22"/>
      <c r="R51" s="22"/>
      <c r="S51" s="22"/>
      <c r="T51" s="22"/>
      <c r="U51" s="22"/>
      <c r="V51" s="22"/>
      <c r="W51" s="22"/>
    </row>
    <row r="52" spans="1:23" customFormat="1" ht="14.25" customHeight="1" x14ac:dyDescent="0.3">
      <c r="A52" s="346">
        <v>44</v>
      </c>
      <c r="B52" s="347" t="s">
        <v>138</v>
      </c>
      <c r="C52" s="348">
        <v>75000000</v>
      </c>
      <c r="D52" s="349" t="s">
        <v>274</v>
      </c>
      <c r="E52" s="350" t="s">
        <v>129</v>
      </c>
      <c r="F52" s="350" t="s">
        <v>275</v>
      </c>
      <c r="G52" s="350"/>
      <c r="H52" s="350"/>
      <c r="I52" s="351" t="s">
        <v>3992</v>
      </c>
      <c r="J52" s="352">
        <v>2022</v>
      </c>
      <c r="K52" s="353" t="s">
        <v>276</v>
      </c>
      <c r="L52" s="22"/>
      <c r="M52" s="22"/>
      <c r="N52" s="22"/>
      <c r="O52" s="22"/>
      <c r="P52" s="22"/>
      <c r="Q52" s="22"/>
      <c r="R52" s="22"/>
      <c r="S52" s="22"/>
      <c r="T52" s="22"/>
      <c r="U52" s="22"/>
      <c r="V52" s="22"/>
      <c r="W52" s="22"/>
    </row>
    <row r="53" spans="1:23" customFormat="1" ht="14.25" customHeight="1" x14ac:dyDescent="0.3">
      <c r="A53" s="47">
        <v>45</v>
      </c>
      <c r="B53" s="23" t="s">
        <v>138</v>
      </c>
      <c r="C53" s="242">
        <v>75000000</v>
      </c>
      <c r="D53" s="56" t="s">
        <v>277</v>
      </c>
      <c r="E53" s="23" t="s">
        <v>278</v>
      </c>
      <c r="F53" s="57" t="s">
        <v>279</v>
      </c>
      <c r="G53" s="57" t="s">
        <v>280</v>
      </c>
      <c r="H53" s="57"/>
      <c r="I53" s="54" t="s">
        <v>281</v>
      </c>
      <c r="J53" s="246">
        <v>2022</v>
      </c>
      <c r="K53" s="7" t="s">
        <v>282</v>
      </c>
      <c r="L53" s="22"/>
      <c r="M53" s="22"/>
      <c r="N53" s="22"/>
      <c r="O53" s="22"/>
      <c r="P53" s="22"/>
      <c r="Q53" s="22"/>
      <c r="R53" s="22"/>
      <c r="S53" s="22"/>
      <c r="T53" s="22"/>
      <c r="U53" s="22"/>
      <c r="V53" s="22"/>
      <c r="W53" s="22"/>
    </row>
    <row r="54" spans="1:23" customFormat="1" ht="14.25" customHeight="1" x14ac:dyDescent="0.3">
      <c r="A54" s="47">
        <v>46</v>
      </c>
      <c r="B54" s="23" t="s">
        <v>138</v>
      </c>
      <c r="C54" s="242">
        <v>75000000</v>
      </c>
      <c r="D54" s="56" t="s">
        <v>283</v>
      </c>
      <c r="E54" s="55" t="s">
        <v>220</v>
      </c>
      <c r="F54" s="57" t="s">
        <v>110</v>
      </c>
      <c r="G54" s="57" t="s">
        <v>219</v>
      </c>
      <c r="H54" s="57"/>
      <c r="I54" s="54"/>
      <c r="J54" s="246">
        <v>2022</v>
      </c>
      <c r="K54" s="7" t="s">
        <v>284</v>
      </c>
      <c r="L54" s="22"/>
      <c r="M54" s="22"/>
      <c r="N54" s="22"/>
      <c r="O54" s="22"/>
      <c r="P54" s="22"/>
      <c r="Q54" s="22"/>
      <c r="R54" s="22"/>
      <c r="S54" s="22"/>
      <c r="T54" s="22"/>
      <c r="U54" s="22"/>
      <c r="V54" s="22"/>
      <c r="W54" s="22"/>
    </row>
    <row r="55" spans="1:23" customFormat="1" ht="14.25" customHeight="1" x14ac:dyDescent="0.3">
      <c r="A55" s="346">
        <v>47</v>
      </c>
      <c r="B55" s="347" t="s">
        <v>138</v>
      </c>
      <c r="C55" s="348">
        <v>75000000</v>
      </c>
      <c r="D55" s="347" t="s">
        <v>285</v>
      </c>
      <c r="E55" s="347" t="s">
        <v>164</v>
      </c>
      <c r="F55" s="350"/>
      <c r="G55" s="350"/>
      <c r="H55" s="350"/>
      <c r="I55" s="351"/>
      <c r="J55" s="352">
        <v>2022</v>
      </c>
      <c r="K55" s="353" t="s">
        <v>2210</v>
      </c>
      <c r="L55" s="22"/>
      <c r="M55" s="22"/>
      <c r="N55" s="22"/>
      <c r="O55" s="22"/>
      <c r="P55" s="22"/>
      <c r="Q55" s="22"/>
      <c r="R55" s="22"/>
      <c r="S55" s="22"/>
      <c r="T55" s="22"/>
      <c r="U55" s="22"/>
      <c r="V55" s="22"/>
      <c r="W55" s="22"/>
    </row>
    <row r="56" spans="1:23" customFormat="1" ht="14.25" customHeight="1" x14ac:dyDescent="0.3">
      <c r="A56" s="47">
        <v>48</v>
      </c>
      <c r="B56" s="23" t="s">
        <v>138</v>
      </c>
      <c r="C56" s="242">
        <v>75000000</v>
      </c>
      <c r="D56" s="56" t="s">
        <v>286</v>
      </c>
      <c r="E56" s="23" t="s">
        <v>151</v>
      </c>
      <c r="F56" s="23" t="s">
        <v>287</v>
      </c>
      <c r="G56" s="23" t="s">
        <v>288</v>
      </c>
      <c r="H56" s="23"/>
      <c r="I56" s="58" t="s">
        <v>289</v>
      </c>
      <c r="J56" s="246">
        <v>2022</v>
      </c>
      <c r="K56" s="7" t="s">
        <v>290</v>
      </c>
      <c r="L56" s="22"/>
      <c r="M56" s="22"/>
      <c r="N56" s="22"/>
      <c r="O56" s="22"/>
      <c r="P56" s="22"/>
      <c r="Q56" s="22"/>
      <c r="R56" s="22"/>
      <c r="S56" s="22"/>
      <c r="T56" s="22"/>
      <c r="U56" s="22"/>
      <c r="V56" s="22"/>
      <c r="W56" s="22"/>
    </row>
    <row r="57" spans="1:23" customFormat="1" ht="14.25" customHeight="1" x14ac:dyDescent="0.3">
      <c r="A57" s="47">
        <v>49</v>
      </c>
      <c r="B57" s="23" t="s">
        <v>138</v>
      </c>
      <c r="C57" s="242">
        <v>75000000</v>
      </c>
      <c r="D57" s="56" t="s">
        <v>291</v>
      </c>
      <c r="E57" s="23" t="s">
        <v>292</v>
      </c>
      <c r="F57" s="23" t="s">
        <v>140</v>
      </c>
      <c r="G57" s="23" t="s">
        <v>288</v>
      </c>
      <c r="H57" s="23"/>
      <c r="I57" s="58" t="s">
        <v>293</v>
      </c>
      <c r="J57" s="246">
        <v>2022</v>
      </c>
      <c r="K57" s="7" t="s">
        <v>294</v>
      </c>
      <c r="L57" s="22"/>
      <c r="M57" s="22"/>
      <c r="N57" s="22"/>
      <c r="O57" s="22"/>
      <c r="P57" s="22"/>
      <c r="Q57" s="22"/>
      <c r="R57" s="22"/>
      <c r="S57" s="22"/>
      <c r="T57" s="22"/>
      <c r="U57" s="22"/>
      <c r="V57" s="22"/>
      <c r="W57" s="22"/>
    </row>
    <row r="58" spans="1:23" customFormat="1" ht="14.25" customHeight="1" x14ac:dyDescent="0.3">
      <c r="A58" s="47">
        <v>50</v>
      </c>
      <c r="B58" s="23" t="s">
        <v>138</v>
      </c>
      <c r="C58" s="242">
        <v>75000000</v>
      </c>
      <c r="D58" s="56" t="s">
        <v>295</v>
      </c>
      <c r="E58" s="23" t="s">
        <v>171</v>
      </c>
      <c r="F58" s="23" t="s">
        <v>172</v>
      </c>
      <c r="G58" s="23" t="s">
        <v>296</v>
      </c>
      <c r="H58" s="23"/>
      <c r="I58" s="58" t="s">
        <v>147</v>
      </c>
      <c r="J58" s="246">
        <v>2022</v>
      </c>
      <c r="K58" s="7" t="s">
        <v>297</v>
      </c>
      <c r="L58" s="22"/>
      <c r="M58" s="22"/>
      <c r="N58" s="22"/>
      <c r="O58" s="22"/>
      <c r="P58" s="22"/>
      <c r="Q58" s="22"/>
      <c r="R58" s="22"/>
      <c r="S58" s="22"/>
      <c r="T58" s="22"/>
      <c r="U58" s="22"/>
      <c r="V58" s="22"/>
      <c r="W58" s="22"/>
    </row>
    <row r="59" spans="1:23" customFormat="1" ht="14.25" customHeight="1" x14ac:dyDescent="0.3">
      <c r="A59" s="47">
        <v>51</v>
      </c>
      <c r="B59" s="23" t="s">
        <v>184</v>
      </c>
      <c r="C59" s="242">
        <v>50000000</v>
      </c>
      <c r="D59" s="23" t="s">
        <v>207</v>
      </c>
      <c r="E59" s="23" t="s">
        <v>164</v>
      </c>
      <c r="F59" s="23"/>
      <c r="G59" s="57"/>
      <c r="H59" s="57"/>
      <c r="I59" s="54"/>
      <c r="J59" s="246">
        <v>2022</v>
      </c>
      <c r="K59" s="7" t="s">
        <v>2203</v>
      </c>
      <c r="L59" s="22"/>
      <c r="M59" s="22"/>
      <c r="N59" s="22"/>
      <c r="O59" s="22"/>
      <c r="P59" s="22"/>
      <c r="Q59" s="22"/>
      <c r="R59" s="22"/>
      <c r="S59" s="22"/>
      <c r="T59" s="22"/>
      <c r="U59" s="22"/>
      <c r="V59" s="22"/>
      <c r="W59" s="22"/>
    </row>
    <row r="60" spans="1:23" customFormat="1" ht="14.25" customHeight="1" x14ac:dyDescent="0.3">
      <c r="A60" s="47">
        <v>52</v>
      </c>
      <c r="B60" s="23" t="s">
        <v>184</v>
      </c>
      <c r="C60" s="242">
        <v>195000000</v>
      </c>
      <c r="D60" s="56" t="s">
        <v>298</v>
      </c>
      <c r="E60" s="23" t="s">
        <v>171</v>
      </c>
      <c r="F60" s="23" t="s">
        <v>172</v>
      </c>
      <c r="G60" s="23"/>
      <c r="H60" s="23"/>
      <c r="I60" s="58" t="s">
        <v>299</v>
      </c>
      <c r="J60" s="247">
        <v>2020</v>
      </c>
      <c r="K60" s="7" t="s">
        <v>300</v>
      </c>
      <c r="L60" s="22"/>
      <c r="M60" s="22"/>
      <c r="N60" s="22"/>
      <c r="O60" s="22"/>
      <c r="P60" s="22"/>
      <c r="Q60" s="22"/>
      <c r="R60" s="22"/>
      <c r="S60" s="22"/>
      <c r="T60" s="22"/>
      <c r="U60" s="22"/>
      <c r="V60" s="22"/>
      <c r="W60" s="22"/>
    </row>
    <row r="61" spans="1:23" customFormat="1" ht="14.25" customHeight="1" x14ac:dyDescent="0.3">
      <c r="A61" s="47">
        <v>53</v>
      </c>
      <c r="B61" s="23" t="s">
        <v>184</v>
      </c>
      <c r="C61" s="242">
        <v>50000000</v>
      </c>
      <c r="D61" s="56" t="s">
        <v>298</v>
      </c>
      <c r="E61" s="23" t="s">
        <v>171</v>
      </c>
      <c r="F61" s="23" t="s">
        <v>172</v>
      </c>
      <c r="G61" s="23"/>
      <c r="H61" s="23"/>
      <c r="I61" s="58" t="s">
        <v>299</v>
      </c>
      <c r="J61" s="247">
        <v>2021</v>
      </c>
      <c r="K61" s="7" t="s">
        <v>301</v>
      </c>
      <c r="L61" s="22"/>
      <c r="M61" s="22"/>
      <c r="N61" s="22"/>
      <c r="O61" s="22"/>
      <c r="P61" s="22"/>
      <c r="Q61" s="22"/>
      <c r="R61" s="22"/>
      <c r="S61" s="22"/>
      <c r="T61" s="22"/>
      <c r="U61" s="22"/>
      <c r="V61" s="22"/>
      <c r="W61" s="22"/>
    </row>
    <row r="62" spans="1:23" customFormat="1" ht="14.25" customHeight="1" x14ac:dyDescent="0.3">
      <c r="A62" s="47">
        <v>54</v>
      </c>
      <c r="B62" s="23" t="s">
        <v>184</v>
      </c>
      <c r="C62" s="242">
        <v>50000000</v>
      </c>
      <c r="D62" s="56" t="s">
        <v>302</v>
      </c>
      <c r="E62" s="23" t="s">
        <v>278</v>
      </c>
      <c r="F62" s="23" t="s">
        <v>150</v>
      </c>
      <c r="G62" s="23" t="s">
        <v>109</v>
      </c>
      <c r="H62" s="23"/>
      <c r="I62" s="58" t="s">
        <v>303</v>
      </c>
      <c r="J62" s="247">
        <v>2021</v>
      </c>
      <c r="K62" s="7" t="s">
        <v>304</v>
      </c>
      <c r="L62" s="22"/>
      <c r="M62" s="22"/>
      <c r="N62" s="22"/>
      <c r="O62" s="22"/>
      <c r="P62" s="22"/>
      <c r="Q62" s="22"/>
      <c r="R62" s="22"/>
      <c r="S62" s="22"/>
      <c r="T62" s="22"/>
      <c r="U62" s="22"/>
      <c r="V62" s="22"/>
      <c r="W62" s="22"/>
    </row>
    <row r="63" spans="1:23" customFormat="1" ht="14.25" customHeight="1" x14ac:dyDescent="0.3">
      <c r="A63" s="47">
        <v>55</v>
      </c>
      <c r="B63" s="23" t="s">
        <v>184</v>
      </c>
      <c r="C63" s="242">
        <v>106550000</v>
      </c>
      <c r="D63" s="56" t="s">
        <v>302</v>
      </c>
      <c r="E63" s="23" t="s">
        <v>278</v>
      </c>
      <c r="F63" s="23" t="s">
        <v>150</v>
      </c>
      <c r="G63" s="23" t="s">
        <v>109</v>
      </c>
      <c r="H63" s="23"/>
      <c r="I63" s="58" t="s">
        <v>303</v>
      </c>
      <c r="J63" s="247">
        <v>2022</v>
      </c>
      <c r="K63" s="7" t="s">
        <v>305</v>
      </c>
      <c r="L63" s="22"/>
      <c r="M63" s="22"/>
      <c r="N63" s="22"/>
      <c r="O63" s="22"/>
      <c r="P63" s="22"/>
      <c r="Q63" s="22"/>
      <c r="R63" s="22"/>
      <c r="S63" s="22"/>
      <c r="T63" s="22"/>
      <c r="U63" s="22"/>
      <c r="V63" s="22"/>
      <c r="W63" s="22"/>
    </row>
    <row r="64" spans="1:23" customFormat="1" ht="14.25" customHeight="1" x14ac:dyDescent="0.3">
      <c r="A64" s="47">
        <v>56</v>
      </c>
      <c r="B64" s="23" t="s">
        <v>184</v>
      </c>
      <c r="C64" s="242">
        <v>347200000</v>
      </c>
      <c r="D64" s="56" t="s">
        <v>302</v>
      </c>
      <c r="E64" s="23" t="s">
        <v>278</v>
      </c>
      <c r="F64" s="23" t="s">
        <v>150</v>
      </c>
      <c r="G64" s="23" t="s">
        <v>109</v>
      </c>
      <c r="H64" s="23"/>
      <c r="I64" s="58" t="s">
        <v>303</v>
      </c>
      <c r="J64" s="247">
        <v>2023</v>
      </c>
      <c r="K64" s="7" t="s">
        <v>306</v>
      </c>
      <c r="L64" s="22"/>
      <c r="M64" s="22"/>
      <c r="N64" s="22"/>
      <c r="O64" s="22"/>
      <c r="P64" s="22"/>
      <c r="Q64" s="22"/>
      <c r="R64" s="22"/>
      <c r="S64" s="22"/>
      <c r="T64" s="22"/>
      <c r="U64" s="22"/>
      <c r="V64" s="22"/>
      <c r="W64" s="22"/>
    </row>
    <row r="65" spans="1:23" customFormat="1" ht="14.25" customHeight="1" x14ac:dyDescent="0.3">
      <c r="A65" s="47">
        <v>57</v>
      </c>
      <c r="B65" s="55" t="s">
        <v>307</v>
      </c>
      <c r="C65" s="243">
        <v>25000000</v>
      </c>
      <c r="D65" s="55" t="s">
        <v>308</v>
      </c>
      <c r="E65" s="23" t="s">
        <v>141</v>
      </c>
      <c r="F65" s="55"/>
      <c r="G65" s="55"/>
      <c r="H65" s="55"/>
      <c r="I65" s="50" t="s">
        <v>309</v>
      </c>
      <c r="J65" s="248">
        <v>2020</v>
      </c>
      <c r="K65" s="7" t="s">
        <v>310</v>
      </c>
      <c r="L65" s="22"/>
      <c r="M65" s="22"/>
      <c r="N65" s="22"/>
      <c r="O65" s="22"/>
      <c r="P65" s="22"/>
      <c r="Q65" s="22"/>
      <c r="R65" s="22"/>
      <c r="S65" s="22"/>
      <c r="T65" s="22"/>
      <c r="U65" s="22"/>
      <c r="V65" s="22"/>
      <c r="W65" s="22"/>
    </row>
    <row r="66" spans="1:23" customFormat="1" ht="14.25" customHeight="1" x14ac:dyDescent="0.3">
      <c r="A66" s="47">
        <v>58</v>
      </c>
      <c r="B66" s="55" t="s">
        <v>307</v>
      </c>
      <c r="C66" s="243">
        <v>25000000</v>
      </c>
      <c r="D66" s="55" t="s">
        <v>311</v>
      </c>
      <c r="E66" s="55" t="s">
        <v>220</v>
      </c>
      <c r="F66" s="55"/>
      <c r="G66" s="55"/>
      <c r="H66" s="55"/>
      <c r="I66" s="50" t="s">
        <v>312</v>
      </c>
      <c r="J66" s="248">
        <v>2020</v>
      </c>
      <c r="K66" s="7" t="s">
        <v>313</v>
      </c>
      <c r="L66" s="22"/>
      <c r="M66" s="22"/>
      <c r="N66" s="22"/>
      <c r="O66" s="22"/>
      <c r="P66" s="22"/>
      <c r="Q66" s="22"/>
      <c r="R66" s="22"/>
      <c r="S66" s="22"/>
      <c r="T66" s="22"/>
      <c r="U66" s="22"/>
      <c r="V66" s="22"/>
      <c r="W66" s="22"/>
    </row>
    <row r="67" spans="1:23" customFormat="1" ht="14.25" customHeight="1" x14ac:dyDescent="0.3">
      <c r="A67" s="47">
        <v>59</v>
      </c>
      <c r="B67" s="55" t="s">
        <v>307</v>
      </c>
      <c r="C67" s="243">
        <v>25000000</v>
      </c>
      <c r="D67" s="55" t="s">
        <v>314</v>
      </c>
      <c r="E67" s="23" t="s">
        <v>171</v>
      </c>
      <c r="F67" s="55"/>
      <c r="G67" s="55"/>
      <c r="H67" s="55"/>
      <c r="I67" s="50" t="s">
        <v>315</v>
      </c>
      <c r="J67" s="248">
        <v>2020</v>
      </c>
      <c r="K67" s="7" t="s">
        <v>316</v>
      </c>
      <c r="L67" s="22"/>
      <c r="M67" s="22"/>
      <c r="N67" s="22"/>
      <c r="O67" s="22"/>
      <c r="P67" s="22"/>
      <c r="Q67" s="22"/>
      <c r="R67" s="22"/>
      <c r="S67" s="22"/>
      <c r="T67" s="22"/>
      <c r="U67" s="22"/>
      <c r="V67" s="22"/>
      <c r="W67" s="22"/>
    </row>
    <row r="68" spans="1:23" customFormat="1" ht="14.25" customHeight="1" x14ac:dyDescent="0.3">
      <c r="A68" s="47">
        <v>60</v>
      </c>
      <c r="B68" s="55" t="s">
        <v>307</v>
      </c>
      <c r="C68" s="243">
        <v>25000000</v>
      </c>
      <c r="D68" s="55" t="s">
        <v>317</v>
      </c>
      <c r="E68" s="23" t="s">
        <v>150</v>
      </c>
      <c r="F68" s="23"/>
      <c r="G68" s="23"/>
      <c r="H68" s="23"/>
      <c r="I68" s="50" t="s">
        <v>318</v>
      </c>
      <c r="J68" s="248">
        <v>2021</v>
      </c>
      <c r="K68" s="7" t="s">
        <v>319</v>
      </c>
      <c r="L68" s="22"/>
      <c r="M68" s="22"/>
      <c r="N68" s="22"/>
      <c r="O68" s="22"/>
      <c r="P68" s="22"/>
      <c r="Q68" s="22"/>
      <c r="R68" s="22"/>
      <c r="S68" s="22"/>
      <c r="T68" s="22"/>
      <c r="U68" s="22"/>
      <c r="V68" s="22"/>
      <c r="W68" s="22"/>
    </row>
    <row r="69" spans="1:23" customFormat="1" ht="14.25" customHeight="1" x14ac:dyDescent="0.3">
      <c r="A69" s="47">
        <v>61</v>
      </c>
      <c r="B69" s="55" t="s">
        <v>307</v>
      </c>
      <c r="C69" s="243">
        <v>25000000</v>
      </c>
      <c r="D69" s="55" t="s">
        <v>320</v>
      </c>
      <c r="E69" s="55" t="s">
        <v>321</v>
      </c>
      <c r="F69" s="55"/>
      <c r="G69" s="55"/>
      <c r="H69" s="55"/>
      <c r="I69" s="50" t="s">
        <v>322</v>
      </c>
      <c r="J69" s="248">
        <v>2021</v>
      </c>
      <c r="K69" s="7" t="s">
        <v>323</v>
      </c>
      <c r="L69" s="22"/>
      <c r="M69" s="22"/>
      <c r="N69" s="22"/>
      <c r="O69" s="22"/>
      <c r="P69" s="22"/>
      <c r="Q69" s="22"/>
      <c r="R69" s="22"/>
      <c r="S69" s="22"/>
      <c r="T69" s="22"/>
      <c r="U69" s="22"/>
      <c r="V69" s="22"/>
      <c r="W69" s="22"/>
    </row>
    <row r="70" spans="1:23" customFormat="1" ht="14.25" customHeight="1" x14ac:dyDescent="0.3">
      <c r="A70" s="47">
        <v>62</v>
      </c>
      <c r="B70" s="55" t="s">
        <v>307</v>
      </c>
      <c r="C70" s="243">
        <v>29890000</v>
      </c>
      <c r="D70" s="55" t="s">
        <v>324</v>
      </c>
      <c r="E70" s="55" t="s">
        <v>220</v>
      </c>
      <c r="F70" s="55"/>
      <c r="G70" s="55"/>
      <c r="H70" s="55"/>
      <c r="I70" s="50" t="s">
        <v>325</v>
      </c>
      <c r="J70" s="248">
        <v>2021</v>
      </c>
      <c r="K70" s="7" t="s">
        <v>326</v>
      </c>
      <c r="L70" s="22"/>
      <c r="M70" s="22"/>
      <c r="N70" s="22"/>
      <c r="O70" s="22"/>
      <c r="P70" s="22"/>
      <c r="Q70" s="22"/>
      <c r="R70" s="22"/>
      <c r="S70" s="22"/>
      <c r="T70" s="22"/>
      <c r="U70" s="22"/>
      <c r="V70" s="22"/>
      <c r="W70" s="22"/>
    </row>
    <row r="71" spans="1:23" customFormat="1" ht="14.25" customHeight="1" x14ac:dyDescent="0.3">
      <c r="A71" s="47">
        <v>63</v>
      </c>
      <c r="B71" s="55" t="s">
        <v>307</v>
      </c>
      <c r="C71" s="243">
        <v>50000000</v>
      </c>
      <c r="D71" s="55" t="s">
        <v>327</v>
      </c>
      <c r="E71" s="55" t="s">
        <v>220</v>
      </c>
      <c r="F71" s="55"/>
      <c r="G71" s="55"/>
      <c r="H71" s="55"/>
      <c r="I71" s="50" t="s">
        <v>328</v>
      </c>
      <c r="J71" s="248">
        <v>2022</v>
      </c>
      <c r="K71" s="7" t="s">
        <v>329</v>
      </c>
      <c r="L71" s="22"/>
      <c r="M71" s="22"/>
      <c r="N71" s="22"/>
      <c r="O71" s="22"/>
      <c r="P71" s="22"/>
      <c r="Q71" s="22"/>
      <c r="R71" s="22"/>
      <c r="S71" s="22"/>
      <c r="T71" s="22"/>
      <c r="U71" s="22"/>
      <c r="V71" s="22"/>
      <c r="W71" s="22"/>
    </row>
    <row r="72" spans="1:23" customFormat="1" ht="14.25" customHeight="1" x14ac:dyDescent="0.3">
      <c r="A72" s="47">
        <v>64</v>
      </c>
      <c r="B72" s="55" t="s">
        <v>307</v>
      </c>
      <c r="C72" s="243">
        <v>50000000</v>
      </c>
      <c r="D72" s="55" t="s">
        <v>330</v>
      </c>
      <c r="E72" s="55" t="s">
        <v>220</v>
      </c>
      <c r="F72" s="55"/>
      <c r="G72" s="55"/>
      <c r="H72" s="55"/>
      <c r="I72" s="50" t="s">
        <v>331</v>
      </c>
      <c r="J72" s="248">
        <v>2022</v>
      </c>
      <c r="K72" s="7" t="s">
        <v>332</v>
      </c>
      <c r="L72" s="22"/>
      <c r="M72" s="22"/>
      <c r="N72" s="22"/>
      <c r="O72" s="22"/>
      <c r="P72" s="22"/>
      <c r="Q72" s="22"/>
      <c r="R72" s="22"/>
      <c r="S72" s="22"/>
      <c r="T72" s="22"/>
      <c r="U72" s="22"/>
      <c r="V72" s="22"/>
      <c r="W72" s="22"/>
    </row>
    <row r="73" spans="1:23" customFormat="1" ht="14.25" customHeight="1" x14ac:dyDescent="0.3">
      <c r="A73" s="346">
        <v>65</v>
      </c>
      <c r="B73" s="354" t="s">
        <v>307</v>
      </c>
      <c r="C73" s="355">
        <v>50000000</v>
      </c>
      <c r="D73" s="354" t="s">
        <v>333</v>
      </c>
      <c r="E73" s="347" t="s">
        <v>150</v>
      </c>
      <c r="F73" s="347"/>
      <c r="G73" s="347"/>
      <c r="H73" s="347"/>
      <c r="I73" s="356" t="s">
        <v>334</v>
      </c>
      <c r="J73" s="357">
        <v>2022</v>
      </c>
      <c r="K73" s="353" t="s">
        <v>335</v>
      </c>
      <c r="L73" s="22"/>
      <c r="M73" s="22"/>
      <c r="N73" s="22"/>
      <c r="O73" s="22"/>
      <c r="P73" s="22"/>
      <c r="Q73" s="22"/>
      <c r="R73" s="22"/>
      <c r="S73" s="22"/>
      <c r="T73" s="22"/>
      <c r="U73" s="22"/>
      <c r="V73" s="22"/>
      <c r="W73" s="22"/>
    </row>
    <row r="74" spans="1:23" customFormat="1" ht="14.25" customHeight="1" x14ac:dyDescent="0.3">
      <c r="A74" s="47">
        <v>66</v>
      </c>
      <c r="B74" s="55" t="s">
        <v>307</v>
      </c>
      <c r="C74" s="243">
        <v>50000000</v>
      </c>
      <c r="D74" s="55" t="s">
        <v>336</v>
      </c>
      <c r="E74" s="23" t="s">
        <v>194</v>
      </c>
      <c r="F74" s="23"/>
      <c r="G74" s="23"/>
      <c r="H74" s="23"/>
      <c r="I74" s="50" t="s">
        <v>337</v>
      </c>
      <c r="J74" s="248">
        <v>2022</v>
      </c>
      <c r="K74" s="7" t="s">
        <v>338</v>
      </c>
      <c r="L74" s="22"/>
      <c r="M74" s="22"/>
      <c r="N74" s="22"/>
      <c r="O74" s="22"/>
      <c r="P74" s="22"/>
      <c r="Q74" s="22"/>
      <c r="R74" s="22"/>
      <c r="S74" s="22"/>
      <c r="T74" s="22"/>
      <c r="U74" s="22"/>
      <c r="V74" s="22"/>
      <c r="W74" s="22"/>
    </row>
    <row r="75" spans="1:23" customFormat="1" ht="14.25" customHeight="1" x14ac:dyDescent="0.3">
      <c r="A75" s="346">
        <v>67</v>
      </c>
      <c r="B75" s="354" t="s">
        <v>307</v>
      </c>
      <c r="C75" s="355">
        <v>50000000</v>
      </c>
      <c r="D75" s="354" t="s">
        <v>339</v>
      </c>
      <c r="E75" s="347" t="s">
        <v>164</v>
      </c>
      <c r="F75" s="350"/>
      <c r="G75" s="350"/>
      <c r="H75" s="350"/>
      <c r="I75" s="356" t="s">
        <v>340</v>
      </c>
      <c r="J75" s="357">
        <v>2022</v>
      </c>
      <c r="K75" s="353" t="s">
        <v>341</v>
      </c>
      <c r="L75" s="22"/>
      <c r="M75" s="22"/>
      <c r="N75" s="22"/>
      <c r="O75" s="22"/>
      <c r="P75" s="22"/>
      <c r="Q75" s="22"/>
      <c r="R75" s="22"/>
      <c r="S75" s="22"/>
      <c r="T75" s="22"/>
      <c r="U75" s="22"/>
      <c r="V75" s="22"/>
      <c r="W75" s="22"/>
    </row>
    <row r="76" spans="1:23" ht="14.25" customHeight="1" x14ac:dyDescent="0.3">
      <c r="A76" s="47">
        <v>68</v>
      </c>
      <c r="B76" s="55" t="s">
        <v>307</v>
      </c>
      <c r="C76" s="243">
        <v>50000000</v>
      </c>
      <c r="D76" s="55" t="s">
        <v>342</v>
      </c>
      <c r="E76" s="23" t="s">
        <v>167</v>
      </c>
      <c r="F76" s="23" t="s">
        <v>194</v>
      </c>
      <c r="G76" s="23" t="s">
        <v>146</v>
      </c>
      <c r="H76" s="23"/>
      <c r="I76" s="50" t="s">
        <v>147</v>
      </c>
      <c r="J76" s="248">
        <v>2022</v>
      </c>
      <c r="K76" s="7" t="s">
        <v>343</v>
      </c>
      <c r="L76" s="19"/>
      <c r="M76" s="19"/>
      <c r="N76" s="19"/>
      <c r="O76" s="19"/>
      <c r="P76" s="19"/>
      <c r="Q76" s="19"/>
      <c r="R76" s="19"/>
      <c r="S76" s="19"/>
      <c r="T76" s="19"/>
      <c r="U76" s="19"/>
      <c r="V76" s="19"/>
      <c r="W76" s="19"/>
    </row>
    <row r="77" spans="1:23" ht="14.25" customHeight="1" x14ac:dyDescent="0.3">
      <c r="A77" s="50">
        <v>69</v>
      </c>
      <c r="B77" s="55" t="s">
        <v>138</v>
      </c>
      <c r="C77" s="243">
        <v>75000000</v>
      </c>
      <c r="D77" s="55" t="s">
        <v>344</v>
      </c>
      <c r="E77" s="55" t="s">
        <v>150</v>
      </c>
      <c r="F77" s="55" t="s">
        <v>345</v>
      </c>
      <c r="G77" s="55"/>
      <c r="H77" s="55"/>
      <c r="I77" s="50"/>
      <c r="J77" s="248">
        <v>2022</v>
      </c>
      <c r="K77" s="123" t="s">
        <v>346</v>
      </c>
      <c r="L77" s="19"/>
      <c r="M77" s="19"/>
      <c r="N77" s="19"/>
      <c r="O77" s="19"/>
      <c r="P77" s="19"/>
      <c r="Q77" s="19"/>
      <c r="R77" s="19"/>
      <c r="S77" s="19"/>
      <c r="T77" s="19"/>
      <c r="U77" s="19"/>
      <c r="V77" s="19"/>
      <c r="W77" s="19"/>
    </row>
    <row r="78" spans="1:23" ht="14.25" customHeight="1" x14ac:dyDescent="0.3">
      <c r="A78" s="297">
        <v>70</v>
      </c>
      <c r="B78" s="55" t="s">
        <v>138</v>
      </c>
      <c r="C78" s="243">
        <v>75000000</v>
      </c>
      <c r="D78" s="55" t="s">
        <v>3901</v>
      </c>
      <c r="E78" s="12" t="s">
        <v>2359</v>
      </c>
      <c r="F78" s="55"/>
      <c r="G78" s="55"/>
      <c r="H78" s="55"/>
      <c r="I78" s="50"/>
      <c r="J78" s="248">
        <v>2022</v>
      </c>
      <c r="K78" s="7" t="s">
        <v>3904</v>
      </c>
      <c r="L78" s="19"/>
      <c r="M78" s="19"/>
      <c r="N78" s="19"/>
      <c r="O78" s="19"/>
      <c r="P78" s="19"/>
      <c r="Q78" s="19"/>
      <c r="R78" s="19"/>
      <c r="S78" s="19"/>
      <c r="T78" s="19"/>
      <c r="U78" s="19"/>
      <c r="V78" s="19"/>
      <c r="W78" s="19"/>
    </row>
    <row r="79" spans="1:23" ht="14.25" customHeight="1" x14ac:dyDescent="0.3">
      <c r="A79" s="298">
        <v>71</v>
      </c>
      <c r="B79" s="55" t="s">
        <v>138</v>
      </c>
      <c r="C79" s="243">
        <v>50000000</v>
      </c>
      <c r="D79" s="55" t="s">
        <v>2344</v>
      </c>
      <c r="E79" s="55" t="s">
        <v>2345</v>
      </c>
      <c r="F79" s="55"/>
      <c r="G79" s="55"/>
      <c r="H79" s="55"/>
      <c r="I79" s="50"/>
      <c r="J79" s="248">
        <v>2021</v>
      </c>
      <c r="K79" s="7" t="s">
        <v>3837</v>
      </c>
      <c r="L79" s="19"/>
      <c r="M79" s="19"/>
      <c r="N79" s="19"/>
      <c r="O79" s="19"/>
      <c r="P79" s="19"/>
      <c r="Q79" s="19"/>
      <c r="R79" s="19"/>
      <c r="S79" s="19"/>
      <c r="T79" s="19"/>
      <c r="U79" s="19"/>
      <c r="V79" s="19"/>
      <c r="W79" s="19"/>
    </row>
    <row r="80" spans="1:23" customFormat="1" ht="14.25" customHeight="1" x14ac:dyDescent="0.3">
      <c r="A80" s="298">
        <v>72</v>
      </c>
      <c r="B80" s="55" t="s">
        <v>138</v>
      </c>
      <c r="C80" s="243">
        <v>50000000</v>
      </c>
      <c r="D80" s="55" t="s">
        <v>3867</v>
      </c>
      <c r="E80" s="55" t="s">
        <v>2346</v>
      </c>
      <c r="F80" s="55"/>
      <c r="G80" s="55"/>
      <c r="H80" s="55"/>
      <c r="I80" s="50"/>
      <c r="J80" s="248">
        <v>2020</v>
      </c>
      <c r="K80" s="7" t="s">
        <v>3868</v>
      </c>
      <c r="L80" s="22"/>
      <c r="M80" s="22"/>
      <c r="N80" s="22"/>
      <c r="O80" s="22"/>
      <c r="P80" s="22"/>
      <c r="Q80" s="22"/>
      <c r="R80" s="22"/>
      <c r="S80" s="22"/>
      <c r="T80" s="22"/>
      <c r="U80" s="22"/>
      <c r="V80" s="22"/>
      <c r="W80" s="22"/>
    </row>
    <row r="81" spans="1:23" customFormat="1" ht="14.25" customHeight="1" x14ac:dyDescent="0.3">
      <c r="A81" s="297">
        <v>73</v>
      </c>
      <c r="B81" s="55" t="s">
        <v>138</v>
      </c>
      <c r="C81" s="243">
        <v>35000000</v>
      </c>
      <c r="D81" s="55" t="s">
        <v>2349</v>
      </c>
      <c r="E81" s="55" t="s">
        <v>260</v>
      </c>
      <c r="F81" s="55"/>
      <c r="G81" s="55"/>
      <c r="H81" s="55"/>
      <c r="I81" s="50"/>
      <c r="J81" s="248">
        <v>2023</v>
      </c>
      <c r="K81" s="7" t="s">
        <v>3898</v>
      </c>
      <c r="L81" s="22"/>
      <c r="M81" s="22"/>
      <c r="N81" s="22"/>
      <c r="O81" s="22"/>
      <c r="P81" s="22"/>
      <c r="Q81" s="22"/>
      <c r="R81" s="22"/>
      <c r="S81" s="22"/>
      <c r="T81" s="22"/>
      <c r="U81" s="22"/>
      <c r="V81" s="22"/>
      <c r="W81" s="22"/>
    </row>
    <row r="82" spans="1:23" s="255" customFormat="1" ht="14.25" customHeight="1" x14ac:dyDescent="0.3">
      <c r="A82" s="297">
        <v>74</v>
      </c>
      <c r="B82" s="55" t="s">
        <v>184</v>
      </c>
      <c r="C82" s="243">
        <v>1400000000</v>
      </c>
      <c r="D82" s="71" t="s">
        <v>449</v>
      </c>
      <c r="E82" s="72" t="s">
        <v>450</v>
      </c>
      <c r="F82" s="64" t="s">
        <v>451</v>
      </c>
      <c r="G82" s="64" t="s">
        <v>452</v>
      </c>
      <c r="H82" s="56"/>
      <c r="I82" s="70" t="s">
        <v>453</v>
      </c>
      <c r="J82" s="65">
        <v>2022</v>
      </c>
      <c r="K82" s="7" t="s">
        <v>3869</v>
      </c>
      <c r="L82" s="254"/>
      <c r="M82" s="254"/>
      <c r="N82" s="254"/>
      <c r="O82" s="254"/>
      <c r="P82" s="254"/>
      <c r="Q82" s="254"/>
      <c r="R82" s="254"/>
      <c r="S82" s="254"/>
      <c r="T82" s="254"/>
      <c r="U82" s="254"/>
      <c r="V82" s="254"/>
      <c r="W82" s="254"/>
    </row>
    <row r="83" spans="1:23" customFormat="1" ht="14.25" customHeight="1" x14ac:dyDescent="0.3">
      <c r="A83" s="298">
        <v>75</v>
      </c>
      <c r="B83" s="55" t="s">
        <v>138</v>
      </c>
      <c r="C83" s="243">
        <v>50000000</v>
      </c>
      <c r="D83" s="55" t="s">
        <v>2351</v>
      </c>
      <c r="E83" s="23" t="s">
        <v>185</v>
      </c>
      <c r="F83" s="55" t="s">
        <v>2345</v>
      </c>
      <c r="G83" s="55"/>
      <c r="H83" s="55"/>
      <c r="I83" s="50"/>
      <c r="J83" s="248">
        <v>2021</v>
      </c>
      <c r="K83" s="7" t="s">
        <v>2353</v>
      </c>
      <c r="L83" s="22"/>
      <c r="M83" s="22"/>
      <c r="N83" s="22"/>
      <c r="O83" s="22"/>
      <c r="P83" s="22"/>
      <c r="Q83" s="22"/>
      <c r="R83" s="22"/>
      <c r="S83" s="22"/>
      <c r="T83" s="22"/>
      <c r="U83" s="22"/>
      <c r="V83" s="22"/>
      <c r="W83" s="22"/>
    </row>
    <row r="84" spans="1:23" customFormat="1" ht="14.25" customHeight="1" x14ac:dyDescent="0.3">
      <c r="A84" s="298">
        <v>76</v>
      </c>
      <c r="B84" s="55" t="s">
        <v>138</v>
      </c>
      <c r="C84" s="243">
        <v>50000000</v>
      </c>
      <c r="D84" s="55" t="s">
        <v>3899</v>
      </c>
      <c r="E84" s="23" t="s">
        <v>2346</v>
      </c>
      <c r="F84" s="55"/>
      <c r="G84" s="23"/>
      <c r="H84" s="55"/>
      <c r="I84" s="50"/>
      <c r="J84" s="248">
        <v>2023</v>
      </c>
      <c r="K84" s="7" t="s">
        <v>3900</v>
      </c>
      <c r="L84" s="22"/>
      <c r="M84" s="22"/>
      <c r="N84" s="22"/>
      <c r="O84" s="22"/>
      <c r="P84" s="22"/>
      <c r="Q84" s="22"/>
      <c r="R84" s="22"/>
      <c r="S84" s="22"/>
      <c r="T84" s="22"/>
      <c r="U84" s="22"/>
      <c r="V84" s="22"/>
      <c r="W84" s="22"/>
    </row>
    <row r="85" spans="1:23" customFormat="1" ht="14.25" customHeight="1" x14ac:dyDescent="0.3">
      <c r="A85" s="219"/>
      <c r="B85" s="22"/>
      <c r="C85" s="22"/>
      <c r="E85" s="22"/>
      <c r="F85" s="22"/>
      <c r="G85" s="22"/>
      <c r="H85" s="22"/>
      <c r="I85" s="220"/>
      <c r="J85" s="219"/>
      <c r="K85" s="22"/>
      <c r="L85" s="22"/>
      <c r="M85" s="22"/>
      <c r="N85" s="22"/>
      <c r="O85" s="22"/>
      <c r="P85" s="22"/>
      <c r="Q85" s="22"/>
      <c r="R85" s="22"/>
      <c r="S85" s="22"/>
      <c r="T85" s="22"/>
      <c r="U85" s="22"/>
      <c r="V85" s="22"/>
      <c r="W85" s="22"/>
    </row>
    <row r="86" spans="1:23" customFormat="1" ht="14.25" customHeight="1" x14ac:dyDescent="0.3">
      <c r="A86" s="365" t="s">
        <v>2333</v>
      </c>
      <c r="B86" s="365"/>
      <c r="C86" s="365"/>
      <c r="D86" s="22"/>
      <c r="E86" s="22"/>
      <c r="F86" s="22"/>
      <c r="G86" s="22"/>
      <c r="H86" s="22"/>
      <c r="I86" s="220"/>
      <c r="J86" s="219"/>
      <c r="K86" s="22"/>
      <c r="L86" s="22"/>
      <c r="M86" s="22"/>
      <c r="N86" s="22"/>
      <c r="O86" s="22"/>
      <c r="P86" s="22"/>
      <c r="Q86" s="22"/>
      <c r="R86" s="22"/>
      <c r="S86" s="22"/>
      <c r="T86" s="22"/>
      <c r="U86" s="22"/>
      <c r="V86" s="22"/>
      <c r="W86" s="22"/>
    </row>
    <row r="87" spans="1:23" customFormat="1" ht="14.25" customHeight="1" x14ac:dyDescent="0.3">
      <c r="A87" s="240" t="s">
        <v>1551</v>
      </c>
      <c r="B87" s="366">
        <f>SUM(C9:C22,C60,C65,C66,C67,C79,C80,C83)</f>
        <v>1095000000</v>
      </c>
      <c r="C87" s="367">
        <f>SUM(C121,C122,C123,C124,C125,C126,C129,C130,C131,C132,C133,C134,C136,C155,C161)</f>
        <v>0</v>
      </c>
      <c r="E87" s="22"/>
      <c r="F87" s="22"/>
      <c r="G87" s="22"/>
      <c r="H87" s="22"/>
      <c r="I87" s="220"/>
      <c r="J87" s="219"/>
      <c r="K87" s="22"/>
      <c r="L87" s="22"/>
      <c r="M87" s="22"/>
      <c r="N87" s="22"/>
      <c r="O87" s="22"/>
      <c r="P87" s="22"/>
      <c r="Q87" s="22"/>
      <c r="R87" s="22"/>
      <c r="S87" s="22"/>
      <c r="T87" s="22"/>
      <c r="U87" s="22"/>
      <c r="V87" s="22"/>
      <c r="W87" s="22"/>
    </row>
    <row r="88" spans="1:23" customFormat="1" ht="14.25" customHeight="1" x14ac:dyDescent="0.3">
      <c r="A88" s="240" t="s">
        <v>1552</v>
      </c>
      <c r="B88" s="366">
        <f>SUM(C23:C40,C61,C62,C68,C69,C70,C78,C82)</f>
        <v>3034890000</v>
      </c>
      <c r="C88" s="367">
        <f>SUM(C122,C123,C124,C125,C126,C127,C130,C131,C132,C133,C134,C135,C137,C156,C162)</f>
        <v>0</v>
      </c>
      <c r="D88" s="22"/>
      <c r="E88" s="22"/>
      <c r="F88" s="22"/>
      <c r="G88" s="22"/>
      <c r="H88" s="22"/>
      <c r="I88" s="220"/>
      <c r="J88" s="219"/>
      <c r="K88" s="22"/>
      <c r="L88" s="22"/>
      <c r="M88" s="22"/>
      <c r="N88" s="22"/>
      <c r="O88" s="22"/>
      <c r="P88" s="22"/>
      <c r="Q88" s="22"/>
      <c r="R88" s="22"/>
      <c r="S88" s="22"/>
      <c r="T88" s="22"/>
      <c r="U88" s="22"/>
      <c r="V88" s="22"/>
      <c r="W88" s="22"/>
    </row>
    <row r="89" spans="1:23" ht="14.25" customHeight="1" x14ac:dyDescent="0.3">
      <c r="A89" s="240" t="s">
        <v>1553</v>
      </c>
      <c r="B89" s="366">
        <f>SUM(C41:C59,C63,C64,C71:C77,C81,C84)</f>
        <v>2078750000</v>
      </c>
      <c r="C89" s="367">
        <f>SUM(C123,C124,C125,C126,C127,C128,C131,C132,C133,C134,C135,C136,C138,C157,C163)</f>
        <v>0</v>
      </c>
      <c r="D89" s="19"/>
      <c r="E89" s="19"/>
      <c r="F89" s="19"/>
      <c r="G89" s="19"/>
      <c r="H89" s="19"/>
      <c r="I89" s="20"/>
      <c r="J89" s="244"/>
      <c r="K89" s="19"/>
      <c r="L89" s="19"/>
      <c r="M89" s="19"/>
      <c r="N89" s="19"/>
      <c r="O89" s="19"/>
      <c r="P89" s="19"/>
      <c r="Q89" s="19"/>
      <c r="R89" s="19"/>
      <c r="S89" s="19"/>
      <c r="T89" s="19"/>
      <c r="U89" s="19"/>
      <c r="V89" s="19"/>
      <c r="W89" s="19"/>
    </row>
    <row r="90" spans="1:23" ht="14.25" customHeight="1" x14ac:dyDescent="0.3">
      <c r="A90" s="19"/>
      <c r="B90" s="19"/>
      <c r="C90" s="19"/>
      <c r="D90" s="19"/>
      <c r="E90" s="19"/>
      <c r="F90" s="19"/>
      <c r="G90" s="19"/>
      <c r="H90" s="19"/>
      <c r="I90" s="20"/>
      <c r="J90" s="244"/>
      <c r="K90" s="19"/>
      <c r="L90" s="19"/>
      <c r="M90" s="19"/>
      <c r="N90" s="19"/>
      <c r="O90" s="19"/>
      <c r="P90" s="19"/>
      <c r="Q90" s="19"/>
      <c r="R90" s="19"/>
      <c r="S90" s="19"/>
      <c r="T90" s="19"/>
      <c r="U90" s="19"/>
      <c r="V90" s="19"/>
      <c r="W90" s="19"/>
    </row>
    <row r="91" spans="1:23" ht="14.25" customHeight="1" x14ac:dyDescent="0.3">
      <c r="A91" s="19"/>
      <c r="B91" s="19"/>
      <c r="C91" s="19"/>
      <c r="D91" s="19"/>
      <c r="E91" s="19"/>
      <c r="F91" s="19"/>
      <c r="G91" s="19"/>
      <c r="H91" s="19"/>
      <c r="I91" s="20"/>
      <c r="J91" s="244"/>
      <c r="K91" s="19"/>
      <c r="L91" s="19"/>
      <c r="M91" s="19"/>
      <c r="N91" s="19"/>
      <c r="O91" s="19"/>
      <c r="P91" s="19"/>
      <c r="Q91" s="19"/>
      <c r="R91" s="19"/>
      <c r="S91" s="19"/>
      <c r="T91" s="19"/>
      <c r="U91" s="19"/>
      <c r="V91" s="19"/>
      <c r="W91" s="19"/>
    </row>
    <row r="92" spans="1:23" ht="14.25" customHeight="1" x14ac:dyDescent="0.3">
      <c r="A92" s="19"/>
      <c r="B92" s="312" t="s">
        <v>4039</v>
      </c>
      <c r="C92" s="19"/>
      <c r="D92" s="19"/>
      <c r="E92" s="19"/>
      <c r="F92" s="19"/>
      <c r="G92" s="19"/>
      <c r="H92" s="19"/>
      <c r="I92" s="20"/>
      <c r="J92" s="244"/>
      <c r="K92" s="19"/>
      <c r="L92" s="19"/>
      <c r="M92" s="19"/>
      <c r="N92" s="19"/>
      <c r="O92" s="19"/>
      <c r="P92" s="19"/>
      <c r="Q92" s="19"/>
      <c r="R92" s="19"/>
      <c r="S92" s="19"/>
      <c r="T92" s="19"/>
      <c r="U92" s="19"/>
      <c r="V92" s="19"/>
      <c r="W92" s="19"/>
    </row>
    <row r="93" spans="1:23" ht="14.25" customHeight="1" x14ac:dyDescent="0.3">
      <c r="A93" s="19"/>
      <c r="B93" s="19"/>
      <c r="C93" s="19"/>
      <c r="D93" s="19"/>
      <c r="E93" s="19"/>
      <c r="F93" s="19"/>
      <c r="G93" s="19"/>
      <c r="H93" s="19"/>
      <c r="I93" s="20"/>
      <c r="J93" s="244"/>
      <c r="K93" s="19"/>
      <c r="L93" s="19"/>
      <c r="M93" s="19"/>
      <c r="N93" s="19"/>
      <c r="O93" s="19"/>
      <c r="P93" s="19"/>
      <c r="Q93" s="19"/>
      <c r="R93" s="19"/>
      <c r="S93" s="19"/>
      <c r="T93" s="19"/>
      <c r="U93" s="19"/>
      <c r="V93" s="19"/>
      <c r="W93" s="19"/>
    </row>
    <row r="94" spans="1:23" ht="14.25" customHeight="1" x14ac:dyDescent="0.3">
      <c r="A94" s="19"/>
      <c r="B94" s="19"/>
      <c r="C94" s="19"/>
      <c r="D94" s="19"/>
      <c r="E94" s="19"/>
      <c r="F94" s="19"/>
      <c r="G94" s="19"/>
      <c r="H94" s="19"/>
      <c r="I94" s="20"/>
      <c r="J94" s="244"/>
      <c r="K94" s="19"/>
      <c r="L94" s="19"/>
      <c r="M94" s="19"/>
      <c r="N94" s="19"/>
      <c r="O94" s="19"/>
      <c r="P94" s="19"/>
      <c r="Q94" s="19"/>
      <c r="R94" s="19"/>
      <c r="S94" s="19"/>
      <c r="T94" s="19"/>
      <c r="U94" s="19"/>
      <c r="V94" s="19"/>
      <c r="W94" s="19"/>
    </row>
    <row r="95" spans="1:23" ht="14.25" customHeight="1" x14ac:dyDescent="0.3">
      <c r="A95" s="19"/>
      <c r="B95" s="19"/>
      <c r="C95" s="19"/>
      <c r="D95" s="19"/>
      <c r="E95" s="19"/>
      <c r="F95" s="19"/>
      <c r="G95" s="19"/>
      <c r="H95" s="19"/>
      <c r="I95" s="20"/>
      <c r="J95" s="244"/>
      <c r="K95" s="19"/>
      <c r="L95" s="19"/>
      <c r="M95" s="19"/>
      <c r="N95" s="19"/>
      <c r="O95" s="19"/>
      <c r="P95" s="19"/>
      <c r="Q95" s="19"/>
      <c r="R95" s="19"/>
      <c r="S95" s="19"/>
      <c r="T95" s="19"/>
      <c r="U95" s="19"/>
      <c r="V95" s="19"/>
      <c r="W95" s="19"/>
    </row>
    <row r="96" spans="1:23" ht="14.25" customHeight="1" x14ac:dyDescent="0.3">
      <c r="A96" s="19"/>
      <c r="B96" s="19"/>
      <c r="C96" s="19"/>
      <c r="D96" s="19"/>
      <c r="E96" s="19"/>
      <c r="F96" s="19"/>
      <c r="G96" s="19"/>
      <c r="H96" s="19"/>
      <c r="I96" s="20"/>
      <c r="J96" s="244"/>
      <c r="K96" s="19"/>
      <c r="L96" s="19"/>
      <c r="M96" s="19"/>
      <c r="N96" s="19"/>
      <c r="O96" s="19"/>
      <c r="P96" s="19"/>
      <c r="Q96" s="19"/>
      <c r="R96" s="19"/>
      <c r="S96" s="19"/>
      <c r="T96" s="19"/>
      <c r="U96" s="19"/>
      <c r="V96" s="19"/>
      <c r="W96" s="19"/>
    </row>
    <row r="97" spans="1:23" ht="14.25" customHeight="1" x14ac:dyDescent="0.3">
      <c r="A97" s="19"/>
      <c r="B97" s="19"/>
      <c r="C97" s="19"/>
      <c r="D97" s="19"/>
      <c r="E97" s="19"/>
      <c r="F97" s="19"/>
      <c r="G97" s="19"/>
      <c r="H97" s="19"/>
      <c r="I97" s="20"/>
      <c r="J97" s="244"/>
      <c r="K97" s="19"/>
      <c r="L97" s="19"/>
      <c r="M97" s="19"/>
      <c r="N97" s="19"/>
      <c r="O97" s="19"/>
      <c r="P97" s="19"/>
      <c r="Q97" s="19"/>
      <c r="R97" s="19"/>
      <c r="S97" s="19"/>
      <c r="T97" s="19"/>
      <c r="U97" s="19"/>
      <c r="V97" s="19"/>
      <c r="W97" s="19"/>
    </row>
    <row r="98" spans="1:23" ht="14.25" customHeight="1" x14ac:dyDescent="0.3">
      <c r="A98" s="19"/>
      <c r="B98" s="19"/>
      <c r="C98" s="19"/>
      <c r="D98" s="19"/>
      <c r="E98" s="19"/>
      <c r="F98" s="19"/>
      <c r="G98" s="19"/>
      <c r="H98" s="19"/>
      <c r="I98" s="20"/>
      <c r="J98" s="244"/>
      <c r="K98" s="19"/>
      <c r="L98" s="19"/>
      <c r="M98" s="19"/>
      <c r="N98" s="19"/>
      <c r="O98" s="19"/>
      <c r="P98" s="19"/>
      <c r="Q98" s="19"/>
      <c r="R98" s="19"/>
      <c r="S98" s="19"/>
      <c r="T98" s="19"/>
      <c r="U98" s="19"/>
      <c r="V98" s="19"/>
      <c r="W98" s="19"/>
    </row>
    <row r="99" spans="1:23" ht="14.25" customHeight="1" x14ac:dyDescent="0.3">
      <c r="A99" s="19"/>
      <c r="B99" s="19"/>
      <c r="C99" s="19"/>
      <c r="D99" s="19"/>
      <c r="E99" s="19"/>
      <c r="F99" s="19"/>
      <c r="G99" s="19"/>
      <c r="H99" s="19"/>
      <c r="I99" s="20"/>
      <c r="J99" s="244"/>
      <c r="K99" s="19"/>
      <c r="L99" s="19"/>
      <c r="M99" s="19"/>
      <c r="N99" s="19"/>
      <c r="O99" s="19"/>
      <c r="P99" s="19"/>
      <c r="Q99" s="19"/>
      <c r="R99" s="19"/>
      <c r="S99" s="19"/>
      <c r="T99" s="19"/>
      <c r="U99" s="19"/>
      <c r="V99" s="19"/>
      <c r="W99" s="19"/>
    </row>
    <row r="100" spans="1:23" ht="14.25" customHeight="1" x14ac:dyDescent="0.3">
      <c r="A100" s="19"/>
      <c r="B100" s="19"/>
      <c r="C100" s="19"/>
      <c r="D100" s="19"/>
      <c r="E100" s="19"/>
      <c r="F100" s="19"/>
      <c r="G100" s="19"/>
      <c r="H100" s="19"/>
      <c r="I100" s="20"/>
      <c r="J100" s="244"/>
      <c r="K100" s="19"/>
      <c r="L100" s="19"/>
      <c r="M100" s="19"/>
      <c r="N100" s="19"/>
      <c r="O100" s="19"/>
      <c r="P100" s="19"/>
      <c r="Q100" s="19"/>
      <c r="R100" s="19"/>
      <c r="S100" s="19"/>
      <c r="T100" s="19"/>
      <c r="U100" s="19"/>
      <c r="V100" s="19"/>
      <c r="W100" s="19"/>
    </row>
    <row r="101" spans="1:23" ht="14.25" customHeight="1" x14ac:dyDescent="0.3">
      <c r="A101" s="19"/>
      <c r="B101" s="19"/>
      <c r="C101" s="19"/>
      <c r="D101" s="19"/>
      <c r="E101" s="19"/>
      <c r="F101" s="19"/>
      <c r="G101" s="19"/>
      <c r="H101" s="19"/>
      <c r="I101" s="20"/>
      <c r="J101" s="244"/>
      <c r="K101" s="19"/>
      <c r="L101" s="19"/>
      <c r="M101" s="19"/>
      <c r="N101" s="19"/>
      <c r="O101" s="19"/>
      <c r="P101" s="19"/>
      <c r="Q101" s="19"/>
      <c r="R101" s="19"/>
      <c r="S101" s="19"/>
      <c r="T101" s="19"/>
      <c r="U101" s="19"/>
      <c r="V101" s="19"/>
      <c r="W101" s="19"/>
    </row>
    <row r="102" spans="1:23" ht="14.25" customHeight="1" x14ac:dyDescent="0.3">
      <c r="A102" s="19"/>
      <c r="B102" s="19"/>
      <c r="C102" s="19"/>
      <c r="D102" s="19"/>
      <c r="E102" s="19"/>
      <c r="F102" s="19"/>
      <c r="G102" s="19"/>
      <c r="H102" s="19"/>
      <c r="I102" s="20"/>
      <c r="J102" s="244"/>
      <c r="K102" s="19"/>
      <c r="L102" s="19"/>
      <c r="M102" s="19"/>
      <c r="N102" s="19"/>
      <c r="O102" s="19"/>
      <c r="P102" s="19"/>
      <c r="Q102" s="19"/>
      <c r="R102" s="19"/>
      <c r="S102" s="19"/>
      <c r="T102" s="19"/>
      <c r="U102" s="19"/>
      <c r="V102" s="19"/>
      <c r="W102" s="19"/>
    </row>
    <row r="103" spans="1:23" ht="14.25" customHeight="1" x14ac:dyDescent="0.3">
      <c r="A103" s="19"/>
      <c r="B103" s="19"/>
      <c r="C103" s="19"/>
      <c r="D103" s="19"/>
      <c r="E103" s="19"/>
      <c r="F103" s="19"/>
      <c r="G103" s="19"/>
      <c r="H103" s="19"/>
      <c r="I103" s="20"/>
      <c r="J103" s="244"/>
      <c r="K103" s="19"/>
      <c r="L103" s="19"/>
      <c r="M103" s="19"/>
      <c r="N103" s="19"/>
      <c r="O103" s="19"/>
      <c r="P103" s="19"/>
      <c r="Q103" s="19"/>
      <c r="R103" s="19"/>
      <c r="S103" s="19"/>
      <c r="T103" s="19"/>
      <c r="U103" s="19"/>
      <c r="V103" s="19"/>
      <c r="W103" s="19"/>
    </row>
    <row r="104" spans="1:23" ht="14.25" customHeight="1" x14ac:dyDescent="0.3">
      <c r="A104" s="19"/>
      <c r="B104" s="19"/>
      <c r="C104" s="19"/>
      <c r="D104" s="19"/>
      <c r="E104" s="19"/>
      <c r="F104" s="19"/>
      <c r="G104" s="19"/>
      <c r="H104" s="19"/>
      <c r="I104" s="20"/>
      <c r="J104" s="244"/>
      <c r="K104" s="19"/>
      <c r="L104" s="19"/>
      <c r="M104" s="19"/>
      <c r="N104" s="19"/>
      <c r="O104" s="19"/>
      <c r="P104" s="19"/>
      <c r="Q104" s="19"/>
      <c r="R104" s="19"/>
      <c r="S104" s="19"/>
      <c r="T104" s="19"/>
      <c r="U104" s="19"/>
      <c r="V104" s="19"/>
      <c r="W104" s="19"/>
    </row>
    <row r="105" spans="1:23" ht="14.25" customHeight="1" x14ac:dyDescent="0.3">
      <c r="A105" s="19"/>
      <c r="B105" s="19"/>
      <c r="C105" s="19"/>
      <c r="D105" s="19"/>
      <c r="E105" s="19"/>
      <c r="F105" s="19"/>
      <c r="G105" s="19"/>
      <c r="H105" s="19"/>
      <c r="I105" s="20"/>
      <c r="J105" s="244"/>
      <c r="K105" s="19"/>
      <c r="L105" s="19"/>
      <c r="M105" s="19"/>
      <c r="N105" s="19"/>
      <c r="O105" s="19"/>
      <c r="P105" s="19"/>
      <c r="Q105" s="19"/>
      <c r="R105" s="19"/>
      <c r="S105" s="19"/>
      <c r="T105" s="19"/>
      <c r="U105" s="19"/>
      <c r="V105" s="19"/>
      <c r="W105" s="19"/>
    </row>
    <row r="106" spans="1:23" ht="14.25" customHeight="1" x14ac:dyDescent="0.3">
      <c r="A106" s="19"/>
      <c r="B106" s="19"/>
      <c r="C106" s="19"/>
      <c r="D106" s="19"/>
      <c r="E106" s="19"/>
      <c r="F106" s="19"/>
      <c r="G106" s="19"/>
      <c r="H106" s="19"/>
      <c r="I106" s="20"/>
      <c r="J106" s="244"/>
      <c r="K106" s="19"/>
      <c r="L106" s="19"/>
      <c r="M106" s="19"/>
      <c r="N106" s="19"/>
      <c r="O106" s="19"/>
      <c r="P106" s="19"/>
      <c r="Q106" s="19"/>
      <c r="R106" s="19"/>
      <c r="S106" s="19"/>
      <c r="T106" s="19"/>
      <c r="U106" s="19"/>
      <c r="V106" s="19"/>
      <c r="W106" s="19"/>
    </row>
    <row r="107" spans="1:23" ht="14.25" customHeight="1" x14ac:dyDescent="0.3">
      <c r="A107" s="19"/>
      <c r="B107" s="19"/>
      <c r="C107" s="19"/>
      <c r="D107" s="19"/>
      <c r="E107" s="19"/>
      <c r="F107" s="19"/>
      <c r="G107" s="19"/>
      <c r="H107" s="19"/>
      <c r="I107" s="20"/>
      <c r="J107" s="244"/>
      <c r="K107" s="19"/>
      <c r="L107" s="19"/>
      <c r="M107" s="19"/>
      <c r="N107" s="19"/>
      <c r="O107" s="19"/>
      <c r="P107" s="19"/>
      <c r="Q107" s="19"/>
      <c r="R107" s="19"/>
      <c r="S107" s="19"/>
      <c r="T107" s="19"/>
      <c r="U107" s="19"/>
      <c r="V107" s="19"/>
      <c r="W107" s="19"/>
    </row>
    <row r="108" spans="1:23" ht="14.25" customHeight="1" x14ac:dyDescent="0.3">
      <c r="A108" s="19"/>
      <c r="B108" s="19"/>
      <c r="C108" s="19"/>
      <c r="D108" s="19"/>
      <c r="E108" s="19"/>
      <c r="F108" s="19"/>
      <c r="G108" s="19"/>
      <c r="H108" s="19"/>
      <c r="I108" s="20"/>
      <c r="J108" s="244"/>
      <c r="K108" s="19"/>
      <c r="L108" s="19"/>
      <c r="M108" s="19"/>
      <c r="N108" s="19"/>
      <c r="O108" s="19"/>
      <c r="P108" s="19"/>
      <c r="Q108" s="19"/>
      <c r="R108" s="19"/>
      <c r="S108" s="19"/>
      <c r="T108" s="19"/>
      <c r="U108" s="19"/>
      <c r="V108" s="19"/>
      <c r="W108" s="19"/>
    </row>
    <row r="109" spans="1:23" ht="14.25" customHeight="1" x14ac:dyDescent="0.3">
      <c r="A109" s="19"/>
      <c r="B109" s="19"/>
      <c r="C109" s="19"/>
      <c r="D109" s="19"/>
      <c r="E109" s="19"/>
      <c r="F109" s="19"/>
      <c r="G109" s="19"/>
      <c r="H109" s="19"/>
      <c r="I109" s="20"/>
      <c r="J109" s="244"/>
      <c r="K109" s="19"/>
      <c r="L109" s="19"/>
      <c r="M109" s="19"/>
      <c r="N109" s="19"/>
      <c r="O109" s="19"/>
      <c r="P109" s="19"/>
      <c r="Q109" s="19"/>
      <c r="R109" s="19"/>
      <c r="S109" s="19"/>
      <c r="T109" s="19"/>
      <c r="U109" s="19"/>
      <c r="V109" s="19"/>
      <c r="W109" s="19"/>
    </row>
    <row r="110" spans="1:23" ht="14.25" customHeight="1" x14ac:dyDescent="0.3">
      <c r="A110" s="19"/>
      <c r="B110" s="19"/>
      <c r="C110" s="19"/>
      <c r="D110" s="19"/>
      <c r="E110" s="19"/>
      <c r="F110" s="19"/>
      <c r="G110" s="19"/>
      <c r="H110" s="19"/>
      <c r="I110" s="20"/>
      <c r="J110" s="244"/>
      <c r="K110" s="19"/>
      <c r="L110" s="19"/>
      <c r="M110" s="19"/>
      <c r="N110" s="19"/>
      <c r="O110" s="19"/>
      <c r="P110" s="19"/>
      <c r="Q110" s="19"/>
      <c r="R110" s="19"/>
      <c r="S110" s="19"/>
      <c r="T110" s="19"/>
      <c r="U110" s="19"/>
      <c r="V110" s="19"/>
      <c r="W110" s="19"/>
    </row>
    <row r="111" spans="1:23" ht="14.25" customHeight="1" x14ac:dyDescent="0.3">
      <c r="A111" s="19"/>
      <c r="B111" s="19"/>
      <c r="C111" s="19"/>
      <c r="D111" s="19"/>
      <c r="E111" s="19"/>
      <c r="F111" s="19"/>
      <c r="G111" s="19"/>
      <c r="H111" s="19"/>
      <c r="I111" s="20"/>
      <c r="J111" s="244"/>
      <c r="K111" s="19"/>
      <c r="L111" s="19"/>
      <c r="M111" s="19"/>
      <c r="N111" s="19"/>
      <c r="O111" s="19"/>
      <c r="P111" s="19"/>
      <c r="Q111" s="19"/>
      <c r="R111" s="19"/>
      <c r="S111" s="19"/>
      <c r="T111" s="19"/>
      <c r="U111" s="19"/>
      <c r="V111" s="19"/>
      <c r="W111" s="19"/>
    </row>
    <row r="112" spans="1:23" ht="14.25" customHeight="1" x14ac:dyDescent="0.3">
      <c r="A112" s="19"/>
      <c r="B112" s="19"/>
      <c r="C112" s="19"/>
      <c r="D112" s="19"/>
      <c r="E112" s="19"/>
      <c r="F112" s="19"/>
      <c r="G112" s="19"/>
      <c r="H112" s="19"/>
      <c r="I112" s="20"/>
      <c r="J112" s="244"/>
      <c r="K112" s="19"/>
      <c r="L112" s="19"/>
      <c r="M112" s="19"/>
      <c r="N112" s="19"/>
      <c r="O112" s="19"/>
      <c r="P112" s="19"/>
      <c r="Q112" s="19"/>
      <c r="R112" s="19"/>
      <c r="S112" s="19"/>
      <c r="T112" s="19"/>
      <c r="U112" s="19"/>
      <c r="V112" s="19"/>
      <c r="W112" s="19"/>
    </row>
    <row r="113" spans="1:23" ht="14.25" customHeight="1" x14ac:dyDescent="0.3">
      <c r="A113" s="19"/>
      <c r="B113" s="19"/>
      <c r="C113" s="19"/>
      <c r="D113" s="19"/>
      <c r="E113" s="19"/>
      <c r="F113" s="19"/>
      <c r="G113" s="19"/>
      <c r="H113" s="19"/>
      <c r="I113" s="20"/>
      <c r="J113" s="244"/>
      <c r="K113" s="19"/>
      <c r="L113" s="19"/>
      <c r="M113" s="19"/>
      <c r="N113" s="19"/>
      <c r="O113" s="19"/>
      <c r="P113" s="19"/>
      <c r="Q113" s="19"/>
      <c r="R113" s="19"/>
      <c r="S113" s="19"/>
      <c r="T113" s="19"/>
      <c r="U113" s="19"/>
      <c r="V113" s="19"/>
      <c r="W113" s="19"/>
    </row>
    <row r="114" spans="1:23" ht="14.25" customHeight="1" x14ac:dyDescent="0.3">
      <c r="A114" s="19"/>
      <c r="B114" s="19"/>
      <c r="C114" s="19"/>
      <c r="D114" s="19"/>
      <c r="E114" s="19"/>
      <c r="F114" s="19"/>
      <c r="G114" s="19"/>
      <c r="H114" s="19"/>
      <c r="I114" s="20"/>
      <c r="J114" s="244"/>
      <c r="K114" s="19"/>
      <c r="L114" s="19"/>
      <c r="M114" s="19"/>
      <c r="N114" s="19"/>
      <c r="O114" s="19"/>
      <c r="P114" s="19"/>
      <c r="Q114" s="19"/>
      <c r="R114" s="19"/>
      <c r="S114" s="19"/>
      <c r="T114" s="19"/>
      <c r="U114" s="19"/>
      <c r="V114" s="19"/>
      <c r="W114" s="19"/>
    </row>
    <row r="115" spans="1:23" ht="14.25" customHeight="1" x14ac:dyDescent="0.3">
      <c r="A115" s="19"/>
      <c r="B115" s="19"/>
      <c r="C115" s="19"/>
      <c r="D115" s="19"/>
      <c r="E115" s="19"/>
      <c r="F115" s="19"/>
      <c r="G115" s="19"/>
      <c r="H115" s="19"/>
      <c r="I115" s="20"/>
      <c r="J115" s="244"/>
      <c r="K115" s="19"/>
      <c r="L115" s="19"/>
      <c r="M115" s="19"/>
      <c r="N115" s="19"/>
      <c r="O115" s="19"/>
      <c r="P115" s="19"/>
      <c r="Q115" s="19"/>
      <c r="R115" s="19"/>
      <c r="S115" s="19"/>
      <c r="T115" s="19"/>
      <c r="U115" s="19"/>
      <c r="V115" s="19"/>
      <c r="W115" s="19"/>
    </row>
    <row r="116" spans="1:23" ht="14.25" customHeight="1" x14ac:dyDescent="0.3">
      <c r="A116" s="19"/>
      <c r="B116" s="19"/>
      <c r="C116" s="19"/>
      <c r="D116" s="19"/>
      <c r="E116" s="19"/>
      <c r="F116" s="19"/>
      <c r="G116" s="19"/>
      <c r="H116" s="19"/>
      <c r="I116" s="20"/>
      <c r="J116" s="244"/>
      <c r="K116" s="19"/>
      <c r="L116" s="19"/>
      <c r="M116" s="19"/>
      <c r="N116" s="19"/>
      <c r="O116" s="19"/>
      <c r="P116" s="19"/>
      <c r="Q116" s="19"/>
      <c r="R116" s="19"/>
      <c r="S116" s="19"/>
      <c r="T116" s="19"/>
      <c r="U116" s="19"/>
      <c r="V116" s="19"/>
      <c r="W116" s="19"/>
    </row>
    <row r="117" spans="1:23" ht="14.25" customHeight="1" x14ac:dyDescent="0.3">
      <c r="A117" s="19"/>
      <c r="B117" s="19"/>
      <c r="C117" s="19"/>
      <c r="D117" s="19"/>
      <c r="E117" s="19"/>
      <c r="F117" s="19"/>
      <c r="G117" s="19"/>
      <c r="H117" s="19"/>
      <c r="I117" s="20"/>
      <c r="J117" s="244"/>
      <c r="K117" s="19"/>
      <c r="L117" s="19"/>
      <c r="M117" s="19"/>
      <c r="N117" s="19"/>
      <c r="O117" s="19"/>
      <c r="P117" s="19"/>
      <c r="Q117" s="19"/>
      <c r="R117" s="19"/>
      <c r="S117" s="19"/>
      <c r="T117" s="19"/>
      <c r="U117" s="19"/>
      <c r="V117" s="19"/>
      <c r="W117" s="19"/>
    </row>
    <row r="118" spans="1:23" ht="14.25" customHeight="1" x14ac:dyDescent="0.3">
      <c r="A118" s="19"/>
      <c r="B118" s="19"/>
      <c r="C118" s="19"/>
      <c r="D118" s="19"/>
      <c r="E118" s="19"/>
      <c r="F118" s="19"/>
      <c r="G118" s="19"/>
      <c r="H118" s="19"/>
      <c r="I118" s="20"/>
      <c r="J118" s="244"/>
      <c r="K118" s="19"/>
      <c r="L118" s="19"/>
      <c r="M118" s="19"/>
      <c r="N118" s="19"/>
      <c r="O118" s="19"/>
      <c r="P118" s="19"/>
      <c r="Q118" s="19"/>
      <c r="R118" s="19"/>
      <c r="S118" s="19"/>
      <c r="T118" s="19"/>
      <c r="U118" s="19"/>
      <c r="V118" s="19"/>
      <c r="W118" s="19"/>
    </row>
    <row r="119" spans="1:23" ht="14.25" customHeight="1" x14ac:dyDescent="0.3">
      <c r="A119" s="19"/>
      <c r="B119" s="19"/>
      <c r="C119" s="19"/>
      <c r="D119" s="19"/>
      <c r="E119" s="19"/>
      <c r="F119" s="19"/>
      <c r="G119" s="19"/>
      <c r="H119" s="19"/>
      <c r="I119" s="20"/>
      <c r="J119" s="244"/>
      <c r="K119" s="19"/>
      <c r="L119" s="19"/>
      <c r="M119" s="19"/>
      <c r="N119" s="19"/>
      <c r="O119" s="19"/>
      <c r="P119" s="19"/>
      <c r="Q119" s="19"/>
      <c r="R119" s="19"/>
      <c r="S119" s="19"/>
      <c r="T119" s="19"/>
      <c r="U119" s="19"/>
      <c r="V119" s="19"/>
      <c r="W119" s="19"/>
    </row>
    <row r="120" spans="1:23" ht="14.25" customHeight="1" x14ac:dyDescent="0.3">
      <c r="A120" s="19"/>
      <c r="B120" s="19"/>
      <c r="C120" s="19"/>
      <c r="D120" s="19"/>
      <c r="E120" s="19"/>
      <c r="F120" s="19"/>
      <c r="G120" s="19"/>
      <c r="H120" s="19"/>
      <c r="I120" s="20"/>
      <c r="J120" s="244"/>
      <c r="K120" s="19"/>
      <c r="L120" s="19"/>
      <c r="M120" s="19"/>
      <c r="N120" s="19"/>
      <c r="O120" s="19"/>
      <c r="P120" s="19"/>
      <c r="Q120" s="19"/>
      <c r="R120" s="19"/>
      <c r="S120" s="19"/>
      <c r="T120" s="19"/>
      <c r="U120" s="19"/>
      <c r="V120" s="19"/>
      <c r="W120" s="19"/>
    </row>
    <row r="121" spans="1:23" ht="14.25" customHeight="1" x14ac:dyDescent="0.3">
      <c r="A121" s="19"/>
      <c r="B121" s="19"/>
      <c r="C121" s="19"/>
      <c r="D121" s="19"/>
      <c r="E121" s="19"/>
      <c r="F121" s="19"/>
      <c r="G121" s="19"/>
      <c r="H121" s="19"/>
      <c r="I121" s="20"/>
      <c r="J121" s="244"/>
      <c r="K121" s="19"/>
      <c r="L121" s="19"/>
      <c r="M121" s="19"/>
      <c r="N121" s="19"/>
      <c r="O121" s="19"/>
      <c r="P121" s="19"/>
      <c r="Q121" s="19"/>
      <c r="R121" s="19"/>
      <c r="S121" s="19"/>
      <c r="T121" s="19"/>
      <c r="U121" s="19"/>
      <c r="V121" s="19"/>
      <c r="W121" s="19"/>
    </row>
    <row r="122" spans="1:23" ht="14.25" customHeight="1" x14ac:dyDescent="0.3">
      <c r="A122" s="19"/>
      <c r="B122" s="19"/>
      <c r="C122" s="19"/>
      <c r="D122" s="19"/>
      <c r="E122" s="19"/>
      <c r="F122" s="19"/>
      <c r="G122" s="19"/>
      <c r="H122" s="19"/>
      <c r="I122" s="20"/>
      <c r="J122" s="244"/>
      <c r="K122" s="19"/>
      <c r="L122" s="19"/>
      <c r="M122" s="19"/>
      <c r="N122" s="19"/>
      <c r="O122" s="19"/>
      <c r="P122" s="19"/>
      <c r="Q122" s="19"/>
      <c r="R122" s="19"/>
      <c r="S122" s="19"/>
      <c r="T122" s="19"/>
      <c r="U122" s="19"/>
      <c r="V122" s="19"/>
      <c r="W122" s="19"/>
    </row>
    <row r="123" spans="1:23" ht="14.25" customHeight="1" x14ac:dyDescent="0.3">
      <c r="A123" s="19"/>
      <c r="B123" s="19"/>
      <c r="C123" s="19"/>
      <c r="D123" s="19"/>
      <c r="E123" s="19"/>
      <c r="F123" s="19"/>
      <c r="G123" s="19"/>
      <c r="H123" s="19"/>
      <c r="I123" s="20"/>
      <c r="J123" s="244"/>
      <c r="K123" s="19"/>
      <c r="L123" s="19"/>
      <c r="M123" s="19"/>
      <c r="N123" s="19"/>
      <c r="O123" s="19"/>
      <c r="P123" s="19"/>
      <c r="Q123" s="19"/>
      <c r="R123" s="19"/>
      <c r="S123" s="19"/>
      <c r="T123" s="19"/>
      <c r="U123" s="19"/>
      <c r="V123" s="19"/>
      <c r="W123" s="19"/>
    </row>
    <row r="124" spans="1:23" ht="14.25" customHeight="1" x14ac:dyDescent="0.3">
      <c r="A124" s="19"/>
      <c r="B124" s="19"/>
      <c r="C124" s="19"/>
      <c r="D124" s="19"/>
      <c r="E124" s="19"/>
      <c r="F124" s="19"/>
      <c r="G124" s="19"/>
      <c r="H124" s="19"/>
      <c r="I124" s="20"/>
      <c r="J124" s="244"/>
      <c r="K124" s="19"/>
      <c r="L124" s="19"/>
      <c r="M124" s="19"/>
      <c r="N124" s="19"/>
      <c r="O124" s="19"/>
      <c r="P124" s="19"/>
      <c r="Q124" s="19"/>
      <c r="R124" s="19"/>
      <c r="S124" s="19"/>
      <c r="T124" s="19"/>
      <c r="U124" s="19"/>
      <c r="V124" s="19"/>
      <c r="W124" s="19"/>
    </row>
    <row r="125" spans="1:23" ht="14.25" customHeight="1" x14ac:dyDescent="0.3">
      <c r="A125" s="19"/>
      <c r="B125" s="19"/>
      <c r="C125" s="19"/>
      <c r="D125" s="19"/>
      <c r="E125" s="19"/>
      <c r="F125" s="19"/>
      <c r="G125" s="19"/>
      <c r="H125" s="19"/>
      <c r="I125" s="20"/>
      <c r="J125" s="244"/>
      <c r="K125" s="19"/>
      <c r="L125" s="19"/>
      <c r="M125" s="19"/>
      <c r="N125" s="19"/>
      <c r="O125" s="19"/>
      <c r="P125" s="19"/>
      <c r="Q125" s="19"/>
      <c r="R125" s="19"/>
      <c r="S125" s="19"/>
      <c r="T125" s="19"/>
      <c r="U125" s="19"/>
      <c r="V125" s="19"/>
      <c r="W125" s="19"/>
    </row>
    <row r="126" spans="1:23" ht="14.25" customHeight="1" x14ac:dyDescent="0.3">
      <c r="A126" s="19"/>
      <c r="B126" s="19"/>
      <c r="C126" s="19"/>
      <c r="D126" s="19"/>
      <c r="E126" s="19"/>
      <c r="F126" s="19"/>
      <c r="G126" s="19"/>
      <c r="H126" s="19"/>
      <c r="I126" s="20"/>
      <c r="J126" s="244"/>
      <c r="K126" s="19"/>
      <c r="L126" s="19"/>
      <c r="M126" s="19"/>
      <c r="N126" s="19"/>
      <c r="O126" s="19"/>
      <c r="P126" s="19"/>
      <c r="Q126" s="19"/>
      <c r="R126" s="19"/>
      <c r="S126" s="19"/>
      <c r="T126" s="19"/>
      <c r="U126" s="19"/>
      <c r="V126" s="19"/>
      <c r="W126" s="19"/>
    </row>
    <row r="127" spans="1:23" ht="14.25" customHeight="1" x14ac:dyDescent="0.3">
      <c r="A127" s="19"/>
      <c r="B127" s="19"/>
      <c r="C127" s="19"/>
      <c r="D127" s="19"/>
      <c r="E127" s="19"/>
      <c r="F127" s="19"/>
      <c r="G127" s="19"/>
      <c r="H127" s="19"/>
      <c r="I127" s="20"/>
      <c r="J127" s="244"/>
      <c r="K127" s="19"/>
      <c r="L127" s="19"/>
      <c r="M127" s="19"/>
      <c r="N127" s="19"/>
      <c r="O127" s="19"/>
      <c r="P127" s="19"/>
      <c r="Q127" s="19"/>
      <c r="R127" s="19"/>
      <c r="S127" s="19"/>
      <c r="T127" s="19"/>
      <c r="U127" s="19"/>
      <c r="V127" s="19"/>
      <c r="W127" s="19"/>
    </row>
    <row r="128" spans="1:23" ht="14.25" customHeight="1" x14ac:dyDescent="0.3">
      <c r="A128" s="19"/>
      <c r="B128" s="19"/>
      <c r="C128" s="19"/>
      <c r="D128" s="19"/>
      <c r="E128" s="19"/>
      <c r="F128" s="19"/>
      <c r="G128" s="19"/>
      <c r="H128" s="19"/>
      <c r="I128" s="20"/>
      <c r="J128" s="244"/>
      <c r="K128" s="19"/>
      <c r="L128" s="19"/>
      <c r="M128" s="19"/>
      <c r="N128" s="19"/>
      <c r="O128" s="19"/>
      <c r="P128" s="19"/>
      <c r="Q128" s="19"/>
      <c r="R128" s="19"/>
      <c r="S128" s="19"/>
      <c r="T128" s="19"/>
      <c r="U128" s="19"/>
      <c r="V128" s="19"/>
      <c r="W128" s="19"/>
    </row>
    <row r="129" spans="1:23" ht="14.25" customHeight="1" x14ac:dyDescent="0.3">
      <c r="A129" s="19"/>
      <c r="B129" s="19"/>
      <c r="C129" s="19"/>
      <c r="D129" s="19"/>
      <c r="E129" s="19"/>
      <c r="F129" s="19"/>
      <c r="G129" s="19"/>
      <c r="H129" s="19"/>
      <c r="I129" s="20"/>
      <c r="J129" s="244"/>
      <c r="K129" s="19"/>
      <c r="L129" s="19"/>
      <c r="M129" s="19"/>
      <c r="N129" s="19"/>
      <c r="O129" s="19"/>
      <c r="P129" s="19"/>
      <c r="Q129" s="19"/>
      <c r="R129" s="19"/>
      <c r="S129" s="19"/>
      <c r="T129" s="19"/>
      <c r="U129" s="19"/>
      <c r="V129" s="19"/>
      <c r="W129" s="19"/>
    </row>
    <row r="130" spans="1:23" ht="14.25" customHeight="1" x14ac:dyDescent="0.3">
      <c r="A130" s="19"/>
      <c r="B130" s="19"/>
      <c r="C130" s="19"/>
      <c r="D130" s="19"/>
      <c r="E130" s="19"/>
      <c r="F130" s="19"/>
      <c r="G130" s="19"/>
      <c r="H130" s="19"/>
      <c r="I130" s="20"/>
      <c r="J130" s="244"/>
      <c r="K130" s="19"/>
      <c r="L130" s="19"/>
      <c r="M130" s="19"/>
      <c r="N130" s="19"/>
      <c r="O130" s="19"/>
      <c r="P130" s="19"/>
      <c r="Q130" s="19"/>
      <c r="R130" s="19"/>
      <c r="S130" s="19"/>
      <c r="T130" s="19"/>
      <c r="U130" s="19"/>
      <c r="V130" s="19"/>
      <c r="W130" s="19"/>
    </row>
    <row r="131" spans="1:23" ht="14.25" customHeight="1" x14ac:dyDescent="0.3">
      <c r="A131" s="19"/>
      <c r="B131" s="19"/>
      <c r="C131" s="19"/>
      <c r="D131" s="19"/>
      <c r="E131" s="19"/>
      <c r="F131" s="19"/>
      <c r="G131" s="19"/>
      <c r="H131" s="19"/>
      <c r="I131" s="20"/>
      <c r="J131" s="244"/>
      <c r="K131" s="19"/>
      <c r="L131" s="19"/>
      <c r="M131" s="19"/>
      <c r="N131" s="19"/>
      <c r="O131" s="19"/>
      <c r="P131" s="19"/>
      <c r="Q131" s="19"/>
      <c r="R131" s="19"/>
      <c r="S131" s="19"/>
      <c r="T131" s="19"/>
      <c r="U131" s="19"/>
      <c r="V131" s="19"/>
      <c r="W131" s="19"/>
    </row>
    <row r="132" spans="1:23" ht="14.25" customHeight="1" x14ac:dyDescent="0.3">
      <c r="A132" s="19"/>
      <c r="B132" s="19"/>
      <c r="C132" s="19"/>
      <c r="D132" s="19"/>
      <c r="E132" s="19"/>
      <c r="F132" s="19"/>
      <c r="G132" s="19"/>
      <c r="H132" s="19"/>
      <c r="I132" s="20"/>
      <c r="J132" s="244"/>
      <c r="K132" s="19"/>
      <c r="L132" s="19"/>
      <c r="M132" s="19"/>
      <c r="N132" s="19"/>
      <c r="O132" s="19"/>
      <c r="P132" s="19"/>
      <c r="Q132" s="19"/>
      <c r="R132" s="19"/>
      <c r="S132" s="19"/>
      <c r="T132" s="19"/>
      <c r="U132" s="19"/>
      <c r="V132" s="19"/>
      <c r="W132" s="19"/>
    </row>
    <row r="133" spans="1:23" ht="14.25" customHeight="1" x14ac:dyDescent="0.3">
      <c r="A133" s="19"/>
      <c r="B133" s="19"/>
      <c r="C133" s="19"/>
      <c r="D133" s="19"/>
      <c r="E133" s="19"/>
      <c r="F133" s="19"/>
      <c r="G133" s="19"/>
      <c r="H133" s="19"/>
      <c r="I133" s="20"/>
      <c r="J133" s="244"/>
      <c r="K133" s="19"/>
      <c r="L133" s="19"/>
      <c r="M133" s="19"/>
      <c r="N133" s="19"/>
      <c r="O133" s="19"/>
      <c r="P133" s="19"/>
      <c r="Q133" s="19"/>
      <c r="R133" s="19"/>
      <c r="S133" s="19"/>
      <c r="T133" s="19"/>
      <c r="U133" s="19"/>
      <c r="V133" s="19"/>
      <c r="W133" s="19"/>
    </row>
    <row r="134" spans="1:23" ht="14.25" customHeight="1" x14ac:dyDescent="0.3">
      <c r="A134" s="19"/>
      <c r="B134" s="19"/>
      <c r="C134" s="19"/>
      <c r="D134" s="19"/>
      <c r="E134" s="19"/>
      <c r="F134" s="19"/>
      <c r="G134" s="19"/>
      <c r="H134" s="19"/>
      <c r="I134" s="20"/>
      <c r="J134" s="244"/>
      <c r="K134" s="19"/>
      <c r="L134" s="19"/>
      <c r="M134" s="19"/>
      <c r="N134" s="19"/>
      <c r="O134" s="19"/>
      <c r="P134" s="19"/>
      <c r="Q134" s="19"/>
      <c r="R134" s="19"/>
      <c r="S134" s="19"/>
      <c r="T134" s="19"/>
      <c r="U134" s="19"/>
      <c r="V134" s="19"/>
      <c r="W134" s="19"/>
    </row>
    <row r="135" spans="1:23" ht="14.25" customHeight="1" x14ac:dyDescent="0.3">
      <c r="A135" s="19"/>
      <c r="B135" s="19"/>
      <c r="C135" s="19"/>
      <c r="D135" s="19"/>
      <c r="E135" s="19"/>
      <c r="F135" s="19"/>
      <c r="G135" s="19"/>
      <c r="H135" s="19"/>
      <c r="I135" s="20"/>
      <c r="J135" s="244"/>
      <c r="K135" s="19"/>
      <c r="L135" s="19"/>
      <c r="M135" s="19"/>
      <c r="N135" s="19"/>
      <c r="O135" s="19"/>
      <c r="P135" s="19"/>
      <c r="Q135" s="19"/>
      <c r="R135" s="19"/>
      <c r="S135" s="19"/>
      <c r="T135" s="19"/>
      <c r="U135" s="19"/>
      <c r="V135" s="19"/>
      <c r="W135" s="19"/>
    </row>
    <row r="136" spans="1:23" ht="14.25" customHeight="1" x14ac:dyDescent="0.3">
      <c r="A136" s="19"/>
      <c r="B136" s="19"/>
      <c r="C136" s="19"/>
      <c r="D136" s="19"/>
      <c r="E136" s="19"/>
      <c r="F136" s="19"/>
      <c r="G136" s="19"/>
      <c r="H136" s="19"/>
      <c r="I136" s="20"/>
      <c r="J136" s="244"/>
      <c r="K136" s="19"/>
      <c r="L136" s="19"/>
      <c r="M136" s="19"/>
      <c r="N136" s="19"/>
      <c r="O136" s="19"/>
      <c r="P136" s="19"/>
      <c r="Q136" s="19"/>
      <c r="R136" s="19"/>
      <c r="S136" s="19"/>
      <c r="T136" s="19"/>
      <c r="U136" s="19"/>
      <c r="V136" s="19"/>
      <c r="W136" s="19"/>
    </row>
    <row r="137" spans="1:23" ht="14.25" customHeight="1" x14ac:dyDescent="0.3">
      <c r="A137" s="19"/>
      <c r="B137" s="19"/>
      <c r="C137" s="19"/>
      <c r="D137" s="19"/>
      <c r="E137" s="19"/>
      <c r="F137" s="19"/>
      <c r="G137" s="19"/>
      <c r="H137" s="19"/>
      <c r="I137" s="20"/>
      <c r="J137" s="244"/>
      <c r="K137" s="19"/>
      <c r="L137" s="19"/>
      <c r="M137" s="19"/>
      <c r="N137" s="19"/>
      <c r="O137" s="19"/>
      <c r="P137" s="19"/>
      <c r="Q137" s="19"/>
      <c r="R137" s="19"/>
      <c r="S137" s="19"/>
      <c r="T137" s="19"/>
      <c r="U137" s="19"/>
      <c r="V137" s="19"/>
      <c r="W137" s="19"/>
    </row>
    <row r="138" spans="1:23" ht="14.25" customHeight="1" x14ac:dyDescent="0.3">
      <c r="A138" s="19"/>
      <c r="B138" s="19"/>
      <c r="C138" s="19"/>
      <c r="D138" s="19"/>
      <c r="E138" s="19"/>
      <c r="F138" s="19"/>
      <c r="G138" s="19"/>
      <c r="H138" s="19"/>
      <c r="I138" s="20"/>
      <c r="J138" s="244"/>
      <c r="K138" s="19"/>
      <c r="L138" s="19"/>
      <c r="M138" s="19"/>
      <c r="N138" s="19"/>
      <c r="O138" s="19"/>
      <c r="P138" s="19"/>
      <c r="Q138" s="19"/>
      <c r="R138" s="19"/>
      <c r="S138" s="19"/>
      <c r="T138" s="19"/>
      <c r="U138" s="19"/>
      <c r="V138" s="19"/>
      <c r="W138" s="19"/>
    </row>
    <row r="139" spans="1:23" ht="14.25" customHeight="1" x14ac:dyDescent="0.3">
      <c r="A139" s="19"/>
      <c r="B139" s="19"/>
      <c r="C139" s="19"/>
      <c r="D139" s="19"/>
      <c r="E139" s="19"/>
      <c r="F139" s="19"/>
      <c r="G139" s="19"/>
      <c r="H139" s="19"/>
      <c r="I139" s="20"/>
      <c r="J139" s="244"/>
      <c r="K139" s="19"/>
      <c r="L139" s="19"/>
      <c r="M139" s="19"/>
      <c r="N139" s="19"/>
      <c r="O139" s="19"/>
      <c r="P139" s="19"/>
      <c r="Q139" s="19"/>
      <c r="R139" s="19"/>
      <c r="S139" s="19"/>
      <c r="T139" s="19"/>
      <c r="U139" s="19"/>
      <c r="V139" s="19"/>
      <c r="W139" s="19"/>
    </row>
    <row r="140" spans="1:23" ht="14.25" customHeight="1" x14ac:dyDescent="0.3">
      <c r="A140" s="19"/>
      <c r="B140" s="19"/>
      <c r="C140" s="19"/>
      <c r="D140" s="19"/>
      <c r="E140" s="19"/>
      <c r="F140" s="19"/>
      <c r="G140" s="19"/>
      <c r="H140" s="19"/>
      <c r="I140" s="20"/>
      <c r="J140" s="244"/>
      <c r="K140" s="19"/>
      <c r="L140" s="19"/>
      <c r="M140" s="19"/>
      <c r="N140" s="19"/>
      <c r="O140" s="19"/>
      <c r="P140" s="19"/>
      <c r="Q140" s="19"/>
      <c r="R140" s="19"/>
      <c r="S140" s="19"/>
      <c r="T140" s="19"/>
      <c r="U140" s="19"/>
      <c r="V140" s="19"/>
      <c r="W140" s="19"/>
    </row>
    <row r="141" spans="1:23" ht="14.25" customHeight="1" x14ac:dyDescent="0.3">
      <c r="A141" s="19"/>
      <c r="B141" s="19"/>
      <c r="C141" s="19"/>
      <c r="D141" s="19"/>
      <c r="E141" s="19"/>
      <c r="F141" s="19"/>
      <c r="G141" s="19"/>
      <c r="H141" s="19"/>
      <c r="I141" s="20"/>
      <c r="J141" s="244"/>
      <c r="K141" s="19"/>
      <c r="L141" s="19"/>
      <c r="M141" s="19"/>
      <c r="N141" s="19"/>
      <c r="O141" s="19"/>
      <c r="P141" s="19"/>
      <c r="Q141" s="19"/>
      <c r="R141" s="19"/>
      <c r="S141" s="19"/>
      <c r="T141" s="19"/>
      <c r="U141" s="19"/>
      <c r="V141" s="19"/>
      <c r="W141" s="19"/>
    </row>
    <row r="142" spans="1:23" ht="14.25" customHeight="1" x14ac:dyDescent="0.3">
      <c r="A142" s="19"/>
      <c r="B142" s="19"/>
      <c r="C142" s="19"/>
      <c r="D142" s="19"/>
      <c r="E142" s="19"/>
      <c r="F142" s="19"/>
      <c r="G142" s="19"/>
      <c r="H142" s="19"/>
      <c r="I142" s="20"/>
      <c r="J142" s="244"/>
      <c r="K142" s="19"/>
      <c r="L142" s="19"/>
      <c r="M142" s="19"/>
      <c r="N142" s="19"/>
      <c r="O142" s="19"/>
      <c r="P142" s="19"/>
      <c r="Q142" s="19"/>
      <c r="R142" s="19"/>
      <c r="S142" s="19"/>
      <c r="T142" s="19"/>
      <c r="U142" s="19"/>
      <c r="V142" s="19"/>
      <c r="W142" s="19"/>
    </row>
    <row r="143" spans="1:23" ht="14.25" customHeight="1" x14ac:dyDescent="0.3">
      <c r="A143" s="19"/>
      <c r="B143" s="19"/>
      <c r="C143" s="19"/>
      <c r="D143" s="19"/>
      <c r="E143" s="19"/>
      <c r="F143" s="19"/>
      <c r="G143" s="19"/>
      <c r="H143" s="19"/>
      <c r="I143" s="20"/>
      <c r="J143" s="244"/>
      <c r="K143" s="19"/>
      <c r="L143" s="19"/>
      <c r="M143" s="19"/>
      <c r="N143" s="19"/>
      <c r="O143" s="19"/>
      <c r="P143" s="19"/>
      <c r="Q143" s="19"/>
      <c r="R143" s="19"/>
      <c r="S143" s="19"/>
      <c r="T143" s="19"/>
      <c r="U143" s="19"/>
      <c r="V143" s="19"/>
      <c r="W143" s="19"/>
    </row>
    <row r="144" spans="1:23" ht="14.25" customHeight="1" x14ac:dyDescent="0.3">
      <c r="A144" s="19"/>
      <c r="B144" s="19"/>
      <c r="C144" s="19"/>
      <c r="D144" s="19"/>
      <c r="E144" s="19"/>
      <c r="F144" s="19"/>
      <c r="G144" s="19"/>
      <c r="H144" s="19"/>
      <c r="I144" s="20"/>
      <c r="J144" s="244"/>
      <c r="K144" s="19"/>
      <c r="L144" s="19"/>
      <c r="M144" s="19"/>
      <c r="N144" s="19"/>
      <c r="O144" s="19"/>
      <c r="P144" s="19"/>
      <c r="Q144" s="19"/>
      <c r="R144" s="19"/>
      <c r="S144" s="19"/>
      <c r="T144" s="19"/>
      <c r="U144" s="19"/>
      <c r="V144" s="19"/>
      <c r="W144" s="19"/>
    </row>
    <row r="145" spans="1:23" ht="14.25" customHeight="1" x14ac:dyDescent="0.3">
      <c r="A145" s="19"/>
      <c r="B145" s="19"/>
      <c r="C145" s="19"/>
      <c r="D145" s="19"/>
      <c r="E145" s="19"/>
      <c r="F145" s="19"/>
      <c r="G145" s="19"/>
      <c r="H145" s="19"/>
      <c r="I145" s="20"/>
      <c r="J145" s="244"/>
      <c r="K145" s="19"/>
      <c r="L145" s="19"/>
      <c r="M145" s="19"/>
      <c r="N145" s="19"/>
      <c r="O145" s="19"/>
      <c r="P145" s="19"/>
      <c r="Q145" s="19"/>
      <c r="R145" s="19"/>
      <c r="S145" s="19"/>
      <c r="T145" s="19"/>
      <c r="U145" s="19"/>
      <c r="V145" s="19"/>
      <c r="W145" s="19"/>
    </row>
    <row r="146" spans="1:23" ht="14.25" customHeight="1" x14ac:dyDescent="0.3">
      <c r="A146" s="19"/>
      <c r="B146" s="19"/>
      <c r="C146" s="19"/>
      <c r="D146" s="19"/>
      <c r="E146" s="19"/>
      <c r="F146" s="19"/>
      <c r="G146" s="19"/>
      <c r="H146" s="19"/>
      <c r="I146" s="20"/>
      <c r="J146" s="244"/>
      <c r="K146" s="19"/>
      <c r="L146" s="19"/>
      <c r="M146" s="19"/>
      <c r="N146" s="19"/>
      <c r="O146" s="19"/>
      <c r="P146" s="19"/>
      <c r="Q146" s="19"/>
      <c r="R146" s="19"/>
      <c r="S146" s="19"/>
      <c r="T146" s="19"/>
      <c r="U146" s="19"/>
      <c r="V146" s="19"/>
      <c r="W146" s="19"/>
    </row>
    <row r="147" spans="1:23" ht="14.25" customHeight="1" x14ac:dyDescent="0.3">
      <c r="A147" s="19"/>
      <c r="B147" s="19"/>
      <c r="C147" s="19"/>
      <c r="D147" s="19"/>
      <c r="E147" s="19"/>
      <c r="F147" s="19"/>
      <c r="G147" s="19"/>
      <c r="H147" s="19"/>
      <c r="I147" s="20"/>
      <c r="J147" s="244"/>
      <c r="K147" s="19"/>
      <c r="L147" s="19"/>
      <c r="M147" s="19"/>
      <c r="N147" s="19"/>
      <c r="O147" s="19"/>
      <c r="P147" s="19"/>
      <c r="Q147" s="19"/>
      <c r="R147" s="19"/>
      <c r="S147" s="19"/>
      <c r="T147" s="19"/>
      <c r="U147" s="19"/>
      <c r="V147" s="19"/>
      <c r="W147" s="19"/>
    </row>
    <row r="148" spans="1:23" ht="14.25" customHeight="1" x14ac:dyDescent="0.3">
      <c r="A148" s="19"/>
      <c r="B148" s="19"/>
      <c r="C148" s="19"/>
      <c r="D148" s="19"/>
      <c r="E148" s="19"/>
      <c r="F148" s="19"/>
      <c r="G148" s="19"/>
      <c r="H148" s="19"/>
      <c r="I148" s="20"/>
      <c r="J148" s="244"/>
      <c r="K148" s="19"/>
      <c r="L148" s="19"/>
      <c r="M148" s="19"/>
      <c r="N148" s="19"/>
      <c r="O148" s="19"/>
      <c r="P148" s="19"/>
      <c r="Q148" s="19"/>
      <c r="R148" s="19"/>
      <c r="S148" s="19"/>
      <c r="T148" s="19"/>
      <c r="U148" s="19"/>
      <c r="V148" s="19"/>
      <c r="W148" s="19"/>
    </row>
    <row r="149" spans="1:23" ht="14.25" customHeight="1" x14ac:dyDescent="0.3">
      <c r="A149" s="19"/>
      <c r="B149" s="19"/>
      <c r="C149" s="19"/>
      <c r="D149" s="19"/>
      <c r="E149" s="19"/>
      <c r="F149" s="19"/>
      <c r="G149" s="19"/>
      <c r="H149" s="19"/>
      <c r="I149" s="20"/>
      <c r="J149" s="244"/>
      <c r="K149" s="19"/>
      <c r="L149" s="19"/>
      <c r="M149" s="19"/>
      <c r="N149" s="19"/>
      <c r="O149" s="19"/>
      <c r="P149" s="19"/>
      <c r="Q149" s="19"/>
      <c r="R149" s="19"/>
      <c r="S149" s="19"/>
      <c r="T149" s="19"/>
      <c r="U149" s="19"/>
      <c r="V149" s="19"/>
      <c r="W149" s="19"/>
    </row>
    <row r="150" spans="1:23" ht="14.25" customHeight="1" x14ac:dyDescent="0.3">
      <c r="A150" s="19"/>
      <c r="B150" s="19"/>
      <c r="C150" s="19"/>
      <c r="D150" s="19"/>
      <c r="E150" s="19"/>
      <c r="F150" s="19"/>
      <c r="G150" s="19"/>
      <c r="H150" s="19"/>
      <c r="I150" s="20"/>
      <c r="J150" s="244"/>
      <c r="K150" s="19"/>
      <c r="L150" s="19"/>
      <c r="M150" s="19"/>
      <c r="N150" s="19"/>
      <c r="O150" s="19"/>
      <c r="P150" s="19"/>
      <c r="Q150" s="19"/>
      <c r="R150" s="19"/>
      <c r="S150" s="19"/>
      <c r="T150" s="19"/>
      <c r="U150" s="19"/>
      <c r="V150" s="19"/>
      <c r="W150" s="19"/>
    </row>
    <row r="151" spans="1:23" ht="14.25" customHeight="1" x14ac:dyDescent="0.3">
      <c r="A151" s="19"/>
      <c r="B151" s="19"/>
      <c r="C151" s="19"/>
      <c r="D151" s="19"/>
      <c r="E151" s="19"/>
      <c r="F151" s="19"/>
      <c r="G151" s="19"/>
      <c r="H151" s="19"/>
      <c r="I151" s="20"/>
      <c r="J151" s="244"/>
      <c r="K151" s="19"/>
      <c r="L151" s="19"/>
      <c r="M151" s="19"/>
      <c r="N151" s="19"/>
      <c r="O151" s="19"/>
      <c r="P151" s="19"/>
      <c r="Q151" s="19"/>
      <c r="R151" s="19"/>
      <c r="S151" s="19"/>
      <c r="T151" s="19"/>
      <c r="U151" s="19"/>
      <c r="V151" s="19"/>
      <c r="W151" s="19"/>
    </row>
    <row r="152" spans="1:23" ht="14.25" customHeight="1" x14ac:dyDescent="0.3">
      <c r="A152" s="19"/>
      <c r="B152" s="19"/>
      <c r="C152" s="19"/>
      <c r="D152" s="19"/>
      <c r="E152" s="19"/>
      <c r="F152" s="19"/>
      <c r="G152" s="19"/>
      <c r="H152" s="19"/>
      <c r="I152" s="20"/>
      <c r="J152" s="244"/>
      <c r="K152" s="19"/>
      <c r="L152" s="19"/>
      <c r="M152" s="19"/>
      <c r="N152" s="19"/>
      <c r="O152" s="19"/>
      <c r="P152" s="19"/>
      <c r="Q152" s="19"/>
      <c r="R152" s="19"/>
      <c r="S152" s="19"/>
      <c r="T152" s="19"/>
      <c r="U152" s="19"/>
      <c r="V152" s="19"/>
      <c r="W152" s="19"/>
    </row>
    <row r="153" spans="1:23" ht="14.25" customHeight="1" x14ac:dyDescent="0.3">
      <c r="A153" s="19"/>
      <c r="B153" s="19"/>
      <c r="C153" s="19"/>
      <c r="D153" s="19"/>
      <c r="E153" s="19"/>
      <c r="F153" s="19"/>
      <c r="G153" s="19"/>
      <c r="H153" s="19"/>
      <c r="I153" s="20"/>
      <c r="J153" s="244"/>
      <c r="K153" s="19"/>
      <c r="L153" s="19"/>
      <c r="M153" s="19"/>
      <c r="N153" s="19"/>
      <c r="O153" s="19"/>
      <c r="P153" s="19"/>
      <c r="Q153" s="19"/>
      <c r="R153" s="19"/>
      <c r="S153" s="19"/>
      <c r="T153" s="19"/>
      <c r="U153" s="19"/>
      <c r="V153" s="19"/>
      <c r="W153" s="19"/>
    </row>
    <row r="154" spans="1:23" ht="14.25" customHeight="1" x14ac:dyDescent="0.3">
      <c r="A154" s="19"/>
      <c r="B154" s="19"/>
      <c r="C154" s="19"/>
      <c r="D154" s="19"/>
      <c r="E154" s="19"/>
      <c r="F154" s="19"/>
      <c r="G154" s="19"/>
      <c r="H154" s="19"/>
      <c r="I154" s="20"/>
      <c r="J154" s="244"/>
      <c r="K154" s="19"/>
      <c r="L154" s="19"/>
      <c r="M154" s="19"/>
      <c r="N154" s="19"/>
      <c r="O154" s="19"/>
      <c r="P154" s="19"/>
      <c r="Q154" s="19"/>
      <c r="R154" s="19"/>
      <c r="S154" s="19"/>
      <c r="T154" s="19"/>
      <c r="U154" s="19"/>
      <c r="V154" s="19"/>
      <c r="W154" s="19"/>
    </row>
    <row r="155" spans="1:23" ht="14.25" customHeight="1" x14ac:dyDescent="0.3">
      <c r="A155" s="19"/>
      <c r="B155" s="19"/>
      <c r="C155" s="19"/>
      <c r="D155" s="19"/>
      <c r="E155" s="19"/>
      <c r="F155" s="19"/>
      <c r="G155" s="19"/>
      <c r="H155" s="19"/>
      <c r="I155" s="20"/>
      <c r="J155" s="244"/>
      <c r="K155" s="19"/>
      <c r="L155" s="19"/>
      <c r="M155" s="19"/>
      <c r="N155" s="19"/>
      <c r="O155" s="19"/>
      <c r="P155" s="19"/>
      <c r="Q155" s="19"/>
      <c r="R155" s="19"/>
      <c r="S155" s="19"/>
      <c r="T155" s="19"/>
      <c r="U155" s="19"/>
      <c r="V155" s="19"/>
      <c r="W155" s="19"/>
    </row>
    <row r="156" spans="1:23" ht="14.25" customHeight="1" x14ac:dyDescent="0.3">
      <c r="A156" s="19"/>
      <c r="B156" s="19"/>
      <c r="C156" s="19"/>
      <c r="D156" s="19"/>
      <c r="E156" s="19"/>
      <c r="F156" s="19"/>
      <c r="G156" s="19"/>
      <c r="H156" s="19"/>
      <c r="I156" s="20"/>
      <c r="J156" s="244"/>
      <c r="K156" s="19"/>
      <c r="L156" s="19"/>
      <c r="M156" s="19"/>
      <c r="N156" s="19"/>
      <c r="O156" s="19"/>
      <c r="P156" s="19"/>
      <c r="Q156" s="19"/>
      <c r="R156" s="19"/>
      <c r="S156" s="19"/>
      <c r="T156" s="19"/>
      <c r="U156" s="19"/>
      <c r="V156" s="19"/>
      <c r="W156" s="19"/>
    </row>
    <row r="157" spans="1:23" ht="14.25" customHeight="1" x14ac:dyDescent="0.3">
      <c r="A157" s="19"/>
      <c r="B157" s="19"/>
      <c r="C157" s="19"/>
      <c r="D157" s="19"/>
      <c r="E157" s="19"/>
      <c r="F157" s="19"/>
      <c r="G157" s="19"/>
      <c r="H157" s="19"/>
      <c r="I157" s="20"/>
      <c r="J157" s="244"/>
      <c r="K157" s="19"/>
      <c r="L157" s="19"/>
      <c r="M157" s="19"/>
      <c r="N157" s="19"/>
      <c r="O157" s="19"/>
      <c r="P157" s="19"/>
      <c r="Q157" s="19"/>
      <c r="R157" s="19"/>
      <c r="S157" s="19"/>
      <c r="T157" s="19"/>
      <c r="U157" s="19"/>
      <c r="V157" s="19"/>
      <c r="W157" s="19"/>
    </row>
    <row r="158" spans="1:23" ht="14.25" customHeight="1" x14ac:dyDescent="0.3">
      <c r="A158" s="19"/>
      <c r="B158" s="19"/>
      <c r="C158" s="19"/>
      <c r="D158" s="19"/>
      <c r="E158" s="19"/>
      <c r="F158" s="19"/>
      <c r="G158" s="19"/>
      <c r="H158" s="19"/>
      <c r="I158" s="20"/>
      <c r="J158" s="244"/>
      <c r="K158" s="19"/>
      <c r="L158" s="19"/>
      <c r="M158" s="19"/>
      <c r="N158" s="19"/>
      <c r="O158" s="19"/>
      <c r="P158" s="19"/>
      <c r="Q158" s="19"/>
      <c r="R158" s="19"/>
      <c r="S158" s="19"/>
      <c r="T158" s="19"/>
      <c r="U158" s="19"/>
      <c r="V158" s="19"/>
      <c r="W158" s="19"/>
    </row>
    <row r="159" spans="1:23" ht="14.25" customHeight="1" x14ac:dyDescent="0.3">
      <c r="A159" s="19"/>
      <c r="B159" s="19"/>
      <c r="C159" s="19"/>
      <c r="D159" s="19"/>
      <c r="E159" s="19"/>
      <c r="F159" s="19"/>
      <c r="G159" s="19"/>
      <c r="H159" s="19"/>
      <c r="I159" s="20"/>
      <c r="J159" s="244"/>
      <c r="K159" s="19"/>
      <c r="L159" s="19"/>
      <c r="M159" s="19"/>
      <c r="N159" s="19"/>
      <c r="O159" s="19"/>
      <c r="P159" s="19"/>
      <c r="Q159" s="19"/>
      <c r="R159" s="19"/>
      <c r="S159" s="19"/>
      <c r="T159" s="19"/>
      <c r="U159" s="19"/>
      <c r="V159" s="19"/>
      <c r="W159" s="19"/>
    </row>
    <row r="160" spans="1:23" ht="14.25" customHeight="1" x14ac:dyDescent="0.3">
      <c r="A160" s="19"/>
      <c r="B160" s="19"/>
      <c r="C160" s="19"/>
      <c r="D160" s="19"/>
      <c r="E160" s="19"/>
      <c r="F160" s="19"/>
      <c r="G160" s="19"/>
      <c r="H160" s="19"/>
      <c r="I160" s="20"/>
      <c r="J160" s="244"/>
      <c r="K160" s="19"/>
      <c r="L160" s="19"/>
      <c r="M160" s="19"/>
      <c r="N160" s="19"/>
      <c r="O160" s="19"/>
      <c r="P160" s="19"/>
      <c r="Q160" s="19"/>
      <c r="R160" s="19"/>
      <c r="S160" s="19"/>
      <c r="T160" s="19"/>
      <c r="U160" s="19"/>
      <c r="V160" s="19"/>
      <c r="W160" s="19"/>
    </row>
    <row r="161" spans="1:23" ht="14.25" customHeight="1" x14ac:dyDescent="0.3">
      <c r="A161" s="19"/>
      <c r="B161" s="19"/>
      <c r="C161" s="19"/>
      <c r="D161" s="19"/>
      <c r="E161" s="19"/>
      <c r="F161" s="19"/>
      <c r="G161" s="19"/>
      <c r="H161" s="19"/>
      <c r="I161" s="20"/>
      <c r="J161" s="244"/>
      <c r="K161" s="19"/>
      <c r="L161" s="19"/>
      <c r="M161" s="19"/>
      <c r="N161" s="19"/>
      <c r="O161" s="19"/>
      <c r="P161" s="19"/>
      <c r="Q161" s="19"/>
      <c r="R161" s="19"/>
      <c r="S161" s="19"/>
      <c r="T161" s="19"/>
      <c r="U161" s="19"/>
      <c r="V161" s="19"/>
      <c r="W161" s="19"/>
    </row>
    <row r="162" spans="1:23" ht="14.25" customHeight="1" x14ac:dyDescent="0.3">
      <c r="A162" s="19"/>
      <c r="B162" s="19"/>
      <c r="C162" s="19"/>
      <c r="D162" s="19"/>
      <c r="E162" s="19"/>
      <c r="F162" s="19"/>
      <c r="G162" s="19"/>
      <c r="H162" s="19"/>
      <c r="I162" s="20"/>
      <c r="J162" s="244"/>
      <c r="K162" s="19"/>
      <c r="L162" s="19"/>
      <c r="M162" s="19"/>
      <c r="N162" s="19"/>
      <c r="O162" s="19"/>
      <c r="P162" s="19"/>
      <c r="Q162" s="19"/>
      <c r="R162" s="19"/>
      <c r="S162" s="19"/>
      <c r="T162" s="19"/>
      <c r="U162" s="19"/>
      <c r="V162" s="19"/>
      <c r="W162" s="19"/>
    </row>
    <row r="163" spans="1:23" ht="14.25" customHeight="1" x14ac:dyDescent="0.3">
      <c r="A163" s="19"/>
      <c r="B163" s="19"/>
      <c r="C163" s="19"/>
      <c r="D163" s="19"/>
      <c r="E163" s="19"/>
      <c r="F163" s="19"/>
      <c r="G163" s="19"/>
      <c r="H163" s="19"/>
      <c r="I163" s="20"/>
      <c r="J163" s="244"/>
      <c r="K163" s="19"/>
      <c r="L163" s="19"/>
      <c r="M163" s="19"/>
      <c r="N163" s="19"/>
      <c r="O163" s="19"/>
      <c r="P163" s="19"/>
      <c r="Q163" s="19"/>
      <c r="R163" s="19"/>
      <c r="S163" s="19"/>
      <c r="T163" s="19"/>
      <c r="U163" s="19"/>
      <c r="V163" s="19"/>
      <c r="W163" s="19"/>
    </row>
    <row r="164" spans="1:23" ht="14.25" customHeight="1" x14ac:dyDescent="0.3">
      <c r="A164" s="19"/>
      <c r="B164" s="19"/>
      <c r="C164" s="19"/>
      <c r="D164" s="19"/>
      <c r="E164" s="19"/>
      <c r="F164" s="19"/>
      <c r="G164" s="19"/>
      <c r="H164" s="19"/>
      <c r="I164" s="20"/>
      <c r="J164" s="244"/>
      <c r="K164" s="19"/>
      <c r="L164" s="19"/>
      <c r="M164" s="19"/>
      <c r="N164" s="19"/>
      <c r="O164" s="19"/>
      <c r="P164" s="19"/>
      <c r="Q164" s="19"/>
      <c r="R164" s="19"/>
      <c r="S164" s="19"/>
      <c r="T164" s="19"/>
      <c r="U164" s="19"/>
      <c r="V164" s="19"/>
      <c r="W164" s="19"/>
    </row>
    <row r="165" spans="1:23" ht="14.25" customHeight="1" x14ac:dyDescent="0.3">
      <c r="A165" s="19"/>
      <c r="B165" s="19"/>
      <c r="C165" s="19"/>
      <c r="D165" s="19"/>
      <c r="E165" s="19"/>
      <c r="F165" s="19"/>
      <c r="G165" s="19"/>
      <c r="H165" s="19"/>
      <c r="I165" s="20"/>
      <c r="J165" s="244"/>
      <c r="K165" s="19"/>
      <c r="L165" s="19"/>
      <c r="M165" s="19"/>
      <c r="N165" s="19"/>
      <c r="O165" s="19"/>
      <c r="P165" s="19"/>
      <c r="Q165" s="19"/>
      <c r="R165" s="19"/>
      <c r="S165" s="19"/>
      <c r="T165" s="19"/>
      <c r="U165" s="19"/>
      <c r="V165" s="19"/>
      <c r="W165" s="19"/>
    </row>
    <row r="166" spans="1:23" ht="14.25" customHeight="1" x14ac:dyDescent="0.3">
      <c r="A166" s="19"/>
      <c r="B166" s="19"/>
      <c r="C166" s="19"/>
      <c r="D166" s="19"/>
      <c r="E166" s="19"/>
      <c r="F166" s="19"/>
      <c r="G166" s="19"/>
      <c r="H166" s="19"/>
      <c r="I166" s="20"/>
      <c r="J166" s="244"/>
      <c r="K166" s="19"/>
      <c r="L166" s="19"/>
      <c r="M166" s="19"/>
      <c r="N166" s="19"/>
      <c r="O166" s="19"/>
      <c r="P166" s="19"/>
      <c r="Q166" s="19"/>
      <c r="R166" s="19"/>
      <c r="S166" s="19"/>
      <c r="T166" s="19"/>
      <c r="U166" s="19"/>
      <c r="V166" s="19"/>
      <c r="W166" s="19"/>
    </row>
    <row r="167" spans="1:23" ht="14.25" customHeight="1" x14ac:dyDescent="0.3">
      <c r="A167" s="19"/>
      <c r="B167" s="19"/>
      <c r="C167" s="19"/>
      <c r="D167" s="19"/>
      <c r="E167" s="19"/>
      <c r="F167" s="19"/>
      <c r="G167" s="19"/>
      <c r="H167" s="19"/>
      <c r="I167" s="20"/>
      <c r="J167" s="244"/>
      <c r="K167" s="19"/>
      <c r="L167" s="19"/>
      <c r="M167" s="19"/>
      <c r="N167" s="19"/>
      <c r="O167" s="19"/>
      <c r="P167" s="19"/>
      <c r="Q167" s="19"/>
      <c r="R167" s="19"/>
      <c r="S167" s="19"/>
      <c r="T167" s="19"/>
      <c r="U167" s="19"/>
      <c r="V167" s="19"/>
      <c r="W167" s="19"/>
    </row>
    <row r="168" spans="1:23" ht="14.25" customHeight="1" x14ac:dyDescent="0.3">
      <c r="A168" s="19"/>
      <c r="B168" s="19"/>
      <c r="C168" s="19"/>
      <c r="D168" s="19"/>
      <c r="E168" s="19"/>
      <c r="F168" s="19"/>
      <c r="G168" s="19"/>
      <c r="H168" s="19"/>
      <c r="I168" s="20"/>
      <c r="J168" s="244"/>
      <c r="K168" s="19"/>
      <c r="L168" s="19"/>
      <c r="M168" s="19"/>
      <c r="N168" s="19"/>
      <c r="O168" s="19"/>
      <c r="P168" s="19"/>
      <c r="Q168" s="19"/>
      <c r="R168" s="19"/>
      <c r="S168" s="19"/>
      <c r="T168" s="19"/>
      <c r="U168" s="19"/>
      <c r="V168" s="19"/>
      <c r="W168" s="19"/>
    </row>
    <row r="169" spans="1:23" ht="14.25" customHeight="1" x14ac:dyDescent="0.3">
      <c r="A169" s="19"/>
      <c r="B169" s="19"/>
      <c r="C169" s="19"/>
      <c r="D169" s="19"/>
      <c r="E169" s="19"/>
      <c r="F169" s="19"/>
      <c r="G169" s="19"/>
      <c r="H169" s="19"/>
      <c r="I169" s="20"/>
      <c r="J169" s="244"/>
      <c r="K169" s="19"/>
      <c r="L169" s="19"/>
      <c r="M169" s="19"/>
      <c r="N169" s="19"/>
      <c r="O169" s="19"/>
      <c r="P169" s="19"/>
      <c r="Q169" s="19"/>
      <c r="R169" s="19"/>
      <c r="S169" s="19"/>
      <c r="T169" s="19"/>
      <c r="U169" s="19"/>
      <c r="V169" s="19"/>
      <c r="W169" s="19"/>
    </row>
    <row r="170" spans="1:23" ht="14.25" customHeight="1" x14ac:dyDescent="0.3">
      <c r="A170" s="19"/>
      <c r="B170" s="19"/>
      <c r="C170" s="19"/>
      <c r="D170" s="19"/>
      <c r="E170" s="19"/>
      <c r="F170" s="19"/>
      <c r="G170" s="19"/>
      <c r="H170" s="19"/>
      <c r="I170" s="20"/>
      <c r="J170" s="244"/>
      <c r="K170" s="19"/>
      <c r="L170" s="19"/>
      <c r="M170" s="19"/>
      <c r="N170" s="19"/>
      <c r="O170" s="19"/>
      <c r="P170" s="19"/>
      <c r="Q170" s="19"/>
      <c r="R170" s="19"/>
      <c r="S170" s="19"/>
      <c r="T170" s="19"/>
      <c r="U170" s="19"/>
      <c r="V170" s="19"/>
      <c r="W170" s="19"/>
    </row>
    <row r="171" spans="1:23" ht="14.25" customHeight="1" x14ac:dyDescent="0.3">
      <c r="A171" s="19"/>
      <c r="B171" s="19"/>
      <c r="C171" s="19"/>
      <c r="D171" s="19"/>
      <c r="E171" s="19"/>
      <c r="F171" s="19"/>
      <c r="G171" s="19"/>
      <c r="H171" s="19"/>
      <c r="I171" s="20"/>
      <c r="J171" s="244"/>
      <c r="K171" s="19"/>
      <c r="L171" s="19"/>
      <c r="M171" s="19"/>
      <c r="N171" s="19"/>
      <c r="O171" s="19"/>
      <c r="P171" s="19"/>
      <c r="Q171" s="19"/>
      <c r="R171" s="19"/>
      <c r="S171" s="19"/>
      <c r="T171" s="19"/>
      <c r="U171" s="19"/>
      <c r="V171" s="19"/>
      <c r="W171" s="19"/>
    </row>
    <row r="172" spans="1:23" ht="14.25" customHeight="1" x14ac:dyDescent="0.3">
      <c r="A172" s="19"/>
      <c r="B172" s="19"/>
      <c r="C172" s="19"/>
      <c r="D172" s="19"/>
      <c r="E172" s="19"/>
      <c r="F172" s="19"/>
      <c r="G172" s="19"/>
      <c r="H172" s="19"/>
      <c r="I172" s="20"/>
      <c r="J172" s="244"/>
      <c r="K172" s="19"/>
      <c r="L172" s="19"/>
      <c r="M172" s="19"/>
      <c r="N172" s="19"/>
      <c r="O172" s="19"/>
      <c r="P172" s="19"/>
      <c r="Q172" s="19"/>
      <c r="R172" s="19"/>
      <c r="S172" s="19"/>
      <c r="T172" s="19"/>
      <c r="U172" s="19"/>
      <c r="V172" s="19"/>
      <c r="W172" s="19"/>
    </row>
    <row r="173" spans="1:23" ht="14.25" customHeight="1" x14ac:dyDescent="0.3">
      <c r="A173" s="19"/>
      <c r="B173" s="19"/>
      <c r="C173" s="19"/>
      <c r="D173" s="19"/>
      <c r="E173" s="19"/>
      <c r="F173" s="19"/>
      <c r="G173" s="19"/>
      <c r="H173" s="19"/>
      <c r="I173" s="20"/>
      <c r="J173" s="244"/>
      <c r="K173" s="19"/>
      <c r="L173" s="19"/>
      <c r="M173" s="19"/>
      <c r="N173" s="19"/>
      <c r="O173" s="19"/>
      <c r="P173" s="19"/>
      <c r="Q173" s="19"/>
      <c r="R173" s="19"/>
      <c r="S173" s="19"/>
      <c r="T173" s="19"/>
      <c r="U173" s="19"/>
      <c r="V173" s="19"/>
      <c r="W173" s="19"/>
    </row>
    <row r="174" spans="1:23" ht="14.25" customHeight="1" x14ac:dyDescent="0.3">
      <c r="A174" s="19"/>
      <c r="B174" s="19"/>
      <c r="C174" s="19"/>
      <c r="D174" s="19"/>
      <c r="E174" s="19"/>
      <c r="F174" s="19"/>
      <c r="G174" s="19"/>
      <c r="H174" s="19"/>
      <c r="I174" s="20"/>
      <c r="J174" s="244"/>
      <c r="K174" s="19"/>
      <c r="L174" s="19"/>
      <c r="M174" s="19"/>
      <c r="N174" s="19"/>
      <c r="O174" s="19"/>
      <c r="P174" s="19"/>
      <c r="Q174" s="19"/>
      <c r="R174" s="19"/>
      <c r="S174" s="19"/>
      <c r="T174" s="19"/>
      <c r="U174" s="19"/>
      <c r="V174" s="19"/>
      <c r="W174" s="19"/>
    </row>
    <row r="175" spans="1:23" ht="14.25" customHeight="1" x14ac:dyDescent="0.3">
      <c r="A175" s="19"/>
      <c r="B175" s="19"/>
      <c r="C175" s="19"/>
      <c r="D175" s="19"/>
      <c r="E175" s="19"/>
      <c r="F175" s="19"/>
      <c r="G175" s="19"/>
      <c r="H175" s="19"/>
      <c r="I175" s="20"/>
      <c r="J175" s="244"/>
      <c r="K175" s="19"/>
      <c r="L175" s="19"/>
      <c r="M175" s="19"/>
      <c r="N175" s="19"/>
      <c r="O175" s="19"/>
      <c r="P175" s="19"/>
      <c r="Q175" s="19"/>
      <c r="R175" s="19"/>
      <c r="S175" s="19"/>
      <c r="T175" s="19"/>
      <c r="U175" s="19"/>
      <c r="V175" s="19"/>
      <c r="W175" s="19"/>
    </row>
    <row r="176" spans="1:23" ht="14.25" customHeight="1" x14ac:dyDescent="0.3">
      <c r="A176" s="19"/>
      <c r="B176" s="19"/>
      <c r="C176" s="19"/>
      <c r="D176" s="19"/>
      <c r="E176" s="19"/>
      <c r="F176" s="19"/>
      <c r="G176" s="19"/>
      <c r="H176" s="19"/>
      <c r="I176" s="20"/>
      <c r="J176" s="244"/>
      <c r="K176" s="19"/>
      <c r="L176" s="19"/>
      <c r="M176" s="19"/>
      <c r="N176" s="19"/>
      <c r="O176" s="19"/>
      <c r="P176" s="19"/>
      <c r="Q176" s="19"/>
      <c r="R176" s="19"/>
      <c r="S176" s="19"/>
      <c r="T176" s="19"/>
      <c r="U176" s="19"/>
      <c r="V176" s="19"/>
      <c r="W176" s="19"/>
    </row>
    <row r="177" spans="1:23" ht="14.25" customHeight="1" x14ac:dyDescent="0.3">
      <c r="A177" s="19"/>
      <c r="B177" s="19"/>
      <c r="C177" s="19"/>
      <c r="D177" s="19"/>
      <c r="E177" s="19"/>
      <c r="F177" s="19"/>
      <c r="G177" s="19"/>
      <c r="H177" s="19"/>
      <c r="I177" s="20"/>
      <c r="J177" s="244"/>
      <c r="K177" s="19"/>
      <c r="L177" s="19"/>
      <c r="M177" s="19"/>
      <c r="N177" s="19"/>
      <c r="O177" s="19"/>
      <c r="P177" s="19"/>
      <c r="Q177" s="19"/>
      <c r="R177" s="19"/>
      <c r="S177" s="19"/>
      <c r="T177" s="19"/>
      <c r="U177" s="19"/>
      <c r="V177" s="19"/>
      <c r="W177" s="19"/>
    </row>
    <row r="178" spans="1:23" ht="14.25" customHeight="1" x14ac:dyDescent="0.3">
      <c r="A178" s="19"/>
      <c r="B178" s="19"/>
      <c r="C178" s="19"/>
      <c r="D178" s="19"/>
      <c r="E178" s="19"/>
      <c r="F178" s="19"/>
      <c r="G178" s="19"/>
      <c r="H178" s="19"/>
      <c r="I178" s="20"/>
      <c r="J178" s="244"/>
      <c r="K178" s="19"/>
      <c r="L178" s="19"/>
      <c r="M178" s="19"/>
      <c r="N178" s="19"/>
      <c r="O178" s="19"/>
      <c r="P178" s="19"/>
      <c r="Q178" s="19"/>
      <c r="R178" s="19"/>
      <c r="S178" s="19"/>
      <c r="T178" s="19"/>
      <c r="U178" s="19"/>
      <c r="V178" s="19"/>
      <c r="W178" s="19"/>
    </row>
    <row r="179" spans="1:23" ht="14.25" customHeight="1" x14ac:dyDescent="0.3">
      <c r="A179" s="19"/>
      <c r="B179" s="19"/>
      <c r="C179" s="19"/>
      <c r="D179" s="19"/>
      <c r="E179" s="19"/>
      <c r="F179" s="19"/>
      <c r="G179" s="19"/>
      <c r="H179" s="19"/>
      <c r="I179" s="20"/>
      <c r="J179" s="244"/>
      <c r="K179" s="19"/>
      <c r="L179" s="19"/>
      <c r="M179" s="19"/>
      <c r="N179" s="19"/>
      <c r="O179" s="19"/>
      <c r="P179" s="19"/>
      <c r="Q179" s="19"/>
      <c r="R179" s="19"/>
      <c r="S179" s="19"/>
      <c r="T179" s="19"/>
      <c r="U179" s="19"/>
      <c r="V179" s="19"/>
      <c r="W179" s="19"/>
    </row>
    <row r="180" spans="1:23" ht="14.25" customHeight="1" x14ac:dyDescent="0.3">
      <c r="A180" s="19"/>
      <c r="B180" s="19"/>
      <c r="C180" s="19"/>
      <c r="D180" s="19"/>
      <c r="E180" s="19"/>
      <c r="F180" s="19"/>
      <c r="G180" s="19"/>
      <c r="H180" s="19"/>
      <c r="I180" s="20"/>
      <c r="J180" s="244"/>
      <c r="K180" s="19"/>
      <c r="L180" s="19"/>
      <c r="M180" s="19"/>
      <c r="N180" s="19"/>
      <c r="O180" s="19"/>
      <c r="P180" s="19"/>
      <c r="Q180" s="19"/>
      <c r="R180" s="19"/>
      <c r="S180" s="19"/>
      <c r="T180" s="19"/>
      <c r="U180" s="19"/>
      <c r="V180" s="19"/>
      <c r="W180" s="19"/>
    </row>
    <row r="181" spans="1:23" ht="14.25" customHeight="1" x14ac:dyDescent="0.3">
      <c r="A181" s="19"/>
      <c r="B181" s="19"/>
      <c r="C181" s="19"/>
      <c r="D181" s="19"/>
      <c r="E181" s="19"/>
      <c r="F181" s="19"/>
      <c r="G181" s="19"/>
      <c r="H181" s="19"/>
      <c r="I181" s="20"/>
      <c r="J181" s="244"/>
      <c r="K181" s="19"/>
      <c r="L181" s="19"/>
      <c r="M181" s="19"/>
      <c r="N181" s="19"/>
      <c r="O181" s="19"/>
      <c r="P181" s="19"/>
      <c r="Q181" s="19"/>
      <c r="R181" s="19"/>
      <c r="S181" s="19"/>
      <c r="T181" s="19"/>
      <c r="U181" s="19"/>
      <c r="V181" s="19"/>
      <c r="W181" s="19"/>
    </row>
    <row r="182" spans="1:23" ht="14.25" customHeight="1" x14ac:dyDescent="0.3">
      <c r="A182" s="19"/>
      <c r="B182" s="19"/>
      <c r="C182" s="19"/>
      <c r="D182" s="19"/>
      <c r="E182" s="19"/>
      <c r="F182" s="19"/>
      <c r="G182" s="19"/>
      <c r="H182" s="19"/>
      <c r="I182" s="20"/>
      <c r="J182" s="244"/>
      <c r="K182" s="19"/>
      <c r="L182" s="19"/>
      <c r="M182" s="19"/>
      <c r="N182" s="19"/>
      <c r="O182" s="19"/>
      <c r="P182" s="19"/>
      <c r="Q182" s="19"/>
      <c r="R182" s="19"/>
      <c r="S182" s="19"/>
      <c r="T182" s="19"/>
      <c r="U182" s="19"/>
      <c r="V182" s="19"/>
      <c r="W182" s="19"/>
    </row>
    <row r="183" spans="1:23" ht="14.25" customHeight="1" x14ac:dyDescent="0.3">
      <c r="A183" s="19"/>
      <c r="B183" s="19"/>
      <c r="C183" s="19"/>
      <c r="D183" s="19"/>
      <c r="E183" s="19"/>
      <c r="F183" s="19"/>
      <c r="G183" s="19"/>
      <c r="H183" s="19"/>
      <c r="I183" s="20"/>
      <c r="J183" s="244"/>
      <c r="K183" s="19"/>
      <c r="L183" s="19"/>
      <c r="M183" s="19"/>
      <c r="N183" s="19"/>
      <c r="O183" s="19"/>
      <c r="P183" s="19"/>
      <c r="Q183" s="19"/>
      <c r="R183" s="19"/>
      <c r="S183" s="19"/>
      <c r="T183" s="19"/>
      <c r="U183" s="19"/>
      <c r="V183" s="19"/>
      <c r="W183" s="19"/>
    </row>
    <row r="184" spans="1:23" ht="14.25" customHeight="1" x14ac:dyDescent="0.3">
      <c r="A184" s="19"/>
      <c r="B184" s="19"/>
      <c r="C184" s="19"/>
      <c r="D184" s="19"/>
      <c r="E184" s="19"/>
      <c r="F184" s="19"/>
      <c r="G184" s="19"/>
      <c r="H184" s="19"/>
      <c r="I184" s="20"/>
      <c r="J184" s="244"/>
      <c r="K184" s="19"/>
      <c r="L184" s="19"/>
      <c r="M184" s="19"/>
      <c r="N184" s="19"/>
      <c r="O184" s="19"/>
      <c r="P184" s="19"/>
      <c r="Q184" s="19"/>
      <c r="R184" s="19"/>
      <c r="S184" s="19"/>
      <c r="T184" s="19"/>
      <c r="U184" s="19"/>
      <c r="V184" s="19"/>
      <c r="W184" s="19"/>
    </row>
    <row r="185" spans="1:23" ht="14.25" customHeight="1" x14ac:dyDescent="0.3">
      <c r="A185" s="19"/>
      <c r="B185" s="19"/>
      <c r="C185" s="19"/>
      <c r="D185" s="19"/>
      <c r="E185" s="19"/>
      <c r="F185" s="19"/>
      <c r="G185" s="19"/>
      <c r="H185" s="19"/>
      <c r="I185" s="20"/>
      <c r="J185" s="244"/>
      <c r="K185" s="19"/>
      <c r="L185" s="19"/>
      <c r="M185" s="19"/>
      <c r="N185" s="19"/>
      <c r="O185" s="19"/>
      <c r="P185" s="19"/>
      <c r="Q185" s="19"/>
      <c r="R185" s="19"/>
      <c r="S185" s="19"/>
      <c r="T185" s="19"/>
      <c r="U185" s="19"/>
      <c r="V185" s="19"/>
      <c r="W185" s="19"/>
    </row>
    <row r="186" spans="1:23" ht="14.25" customHeight="1" x14ac:dyDescent="0.3">
      <c r="A186" s="19"/>
      <c r="B186" s="19"/>
      <c r="C186" s="19"/>
      <c r="D186" s="19"/>
      <c r="E186" s="19"/>
      <c r="F186" s="19"/>
      <c r="G186" s="19"/>
      <c r="H186" s="19"/>
      <c r="I186" s="20"/>
      <c r="J186" s="244"/>
      <c r="K186" s="19"/>
      <c r="L186" s="19"/>
      <c r="M186" s="19"/>
      <c r="N186" s="19"/>
      <c r="O186" s="19"/>
      <c r="P186" s="19"/>
      <c r="Q186" s="19"/>
      <c r="R186" s="19"/>
      <c r="S186" s="19"/>
      <c r="T186" s="19"/>
      <c r="U186" s="19"/>
      <c r="V186" s="19"/>
      <c r="W186" s="19"/>
    </row>
    <row r="187" spans="1:23" ht="14.25" customHeight="1" x14ac:dyDescent="0.3">
      <c r="A187" s="19"/>
      <c r="B187" s="19"/>
      <c r="C187" s="19"/>
      <c r="D187" s="19"/>
      <c r="E187" s="19"/>
      <c r="F187" s="19"/>
      <c r="G187" s="19"/>
      <c r="H187" s="19"/>
      <c r="I187" s="20"/>
      <c r="J187" s="244"/>
      <c r="K187" s="19"/>
      <c r="L187" s="19"/>
      <c r="M187" s="19"/>
      <c r="N187" s="19"/>
      <c r="O187" s="19"/>
      <c r="P187" s="19"/>
      <c r="Q187" s="19"/>
      <c r="R187" s="19"/>
      <c r="S187" s="19"/>
      <c r="T187" s="19"/>
      <c r="U187" s="19"/>
      <c r="V187" s="19"/>
      <c r="W187" s="19"/>
    </row>
    <row r="188" spans="1:23" ht="14.25" customHeight="1" x14ac:dyDescent="0.3">
      <c r="A188" s="19"/>
      <c r="B188" s="19"/>
      <c r="C188" s="19"/>
      <c r="D188" s="19"/>
      <c r="E188" s="19"/>
      <c r="F188" s="19"/>
      <c r="G188" s="19"/>
      <c r="H188" s="19"/>
      <c r="I188" s="20"/>
      <c r="J188" s="244"/>
      <c r="K188" s="19"/>
      <c r="L188" s="19"/>
      <c r="M188" s="19"/>
      <c r="N188" s="19"/>
      <c r="O188" s="19"/>
      <c r="P188" s="19"/>
      <c r="Q188" s="19"/>
      <c r="R188" s="19"/>
      <c r="S188" s="19"/>
      <c r="T188" s="19"/>
      <c r="U188" s="19"/>
      <c r="V188" s="19"/>
      <c r="W188" s="19"/>
    </row>
    <row r="189" spans="1:23" ht="14.25" customHeight="1" x14ac:dyDescent="0.3">
      <c r="A189" s="19"/>
      <c r="B189" s="19"/>
      <c r="C189" s="19"/>
      <c r="D189" s="19"/>
      <c r="E189" s="19"/>
      <c r="F189" s="19"/>
      <c r="G189" s="19"/>
      <c r="H189" s="19"/>
      <c r="I189" s="20"/>
      <c r="J189" s="244"/>
      <c r="K189" s="19"/>
      <c r="L189" s="19"/>
      <c r="M189" s="19"/>
      <c r="N189" s="19"/>
      <c r="O189" s="19"/>
      <c r="P189" s="19"/>
      <c r="Q189" s="19"/>
      <c r="R189" s="19"/>
      <c r="S189" s="19"/>
      <c r="T189" s="19"/>
      <c r="U189" s="19"/>
      <c r="V189" s="19"/>
      <c r="W189" s="19"/>
    </row>
    <row r="190" spans="1:23" ht="14.25" customHeight="1" x14ac:dyDescent="0.3">
      <c r="A190" s="19"/>
      <c r="B190" s="19"/>
      <c r="C190" s="19"/>
      <c r="D190" s="19"/>
      <c r="E190" s="19"/>
      <c r="F190" s="19"/>
      <c r="G190" s="19"/>
      <c r="H190" s="19"/>
      <c r="I190" s="20"/>
      <c r="J190" s="244"/>
      <c r="K190" s="19"/>
      <c r="L190" s="19"/>
      <c r="M190" s="19"/>
      <c r="N190" s="19"/>
      <c r="O190" s="19"/>
      <c r="P190" s="19"/>
      <c r="Q190" s="19"/>
      <c r="R190" s="19"/>
      <c r="S190" s="19"/>
      <c r="T190" s="19"/>
      <c r="U190" s="19"/>
      <c r="V190" s="19"/>
      <c r="W190" s="19"/>
    </row>
    <row r="191" spans="1:23" ht="14.25" customHeight="1" x14ac:dyDescent="0.3">
      <c r="A191" s="19"/>
      <c r="B191" s="19"/>
      <c r="C191" s="19"/>
      <c r="D191" s="19"/>
      <c r="E191" s="19"/>
      <c r="F191" s="19"/>
      <c r="G191" s="19"/>
      <c r="H191" s="19"/>
      <c r="I191" s="20"/>
      <c r="J191" s="244"/>
      <c r="K191" s="19"/>
      <c r="L191" s="19"/>
      <c r="M191" s="19"/>
      <c r="N191" s="19"/>
      <c r="O191" s="19"/>
      <c r="P191" s="19"/>
      <c r="Q191" s="19"/>
      <c r="R191" s="19"/>
      <c r="S191" s="19"/>
      <c r="T191" s="19"/>
      <c r="U191" s="19"/>
      <c r="V191" s="19"/>
      <c r="W191" s="19"/>
    </row>
    <row r="192" spans="1:23" ht="14.25" customHeight="1" x14ac:dyDescent="0.3">
      <c r="A192" s="19"/>
      <c r="B192" s="19"/>
      <c r="C192" s="19"/>
      <c r="D192" s="19"/>
      <c r="E192" s="19"/>
      <c r="F192" s="19"/>
      <c r="G192" s="19"/>
      <c r="H192" s="19"/>
      <c r="I192" s="20"/>
      <c r="J192" s="244"/>
      <c r="K192" s="19"/>
      <c r="L192" s="19"/>
      <c r="M192" s="19"/>
      <c r="N192" s="19"/>
      <c r="O192" s="19"/>
      <c r="P192" s="19"/>
      <c r="Q192" s="19"/>
      <c r="R192" s="19"/>
      <c r="S192" s="19"/>
      <c r="T192" s="19"/>
      <c r="U192" s="19"/>
      <c r="V192" s="19"/>
      <c r="W192" s="19"/>
    </row>
    <row r="193" spans="1:23" ht="14.25" customHeight="1" x14ac:dyDescent="0.3">
      <c r="A193" s="19"/>
      <c r="B193" s="19"/>
      <c r="C193" s="19"/>
      <c r="D193" s="19"/>
      <c r="E193" s="19"/>
      <c r="F193" s="19"/>
      <c r="G193" s="19"/>
      <c r="H193" s="19"/>
      <c r="I193" s="20"/>
      <c r="J193" s="244"/>
      <c r="K193" s="19"/>
      <c r="L193" s="19"/>
      <c r="M193" s="19"/>
      <c r="N193" s="19"/>
      <c r="O193" s="19"/>
      <c r="P193" s="19"/>
      <c r="Q193" s="19"/>
      <c r="R193" s="19"/>
      <c r="S193" s="19"/>
      <c r="T193" s="19"/>
      <c r="U193" s="19"/>
      <c r="V193" s="19"/>
      <c r="W193" s="19"/>
    </row>
    <row r="194" spans="1:23" ht="14.25" customHeight="1" x14ac:dyDescent="0.3">
      <c r="A194" s="19"/>
      <c r="B194" s="19"/>
      <c r="C194" s="19"/>
      <c r="D194" s="19"/>
      <c r="E194" s="19"/>
      <c r="F194" s="19"/>
      <c r="G194" s="19"/>
      <c r="H194" s="19"/>
      <c r="I194" s="20"/>
      <c r="J194" s="244"/>
      <c r="K194" s="19"/>
      <c r="L194" s="19"/>
      <c r="M194" s="19"/>
      <c r="N194" s="19"/>
      <c r="O194" s="19"/>
      <c r="P194" s="19"/>
      <c r="Q194" s="19"/>
      <c r="R194" s="19"/>
      <c r="S194" s="19"/>
      <c r="T194" s="19"/>
      <c r="U194" s="19"/>
      <c r="V194" s="19"/>
      <c r="W194" s="19"/>
    </row>
    <row r="195" spans="1:23" ht="14.25" customHeight="1" x14ac:dyDescent="0.3">
      <c r="A195" s="19"/>
      <c r="B195" s="19"/>
      <c r="C195" s="19"/>
      <c r="D195" s="19"/>
      <c r="E195" s="19"/>
      <c r="F195" s="19"/>
      <c r="G195" s="19"/>
      <c r="H195" s="19"/>
      <c r="I195" s="20"/>
      <c r="J195" s="244"/>
      <c r="K195" s="19"/>
      <c r="L195" s="19"/>
      <c r="M195" s="19"/>
      <c r="N195" s="19"/>
      <c r="O195" s="19"/>
      <c r="P195" s="19"/>
      <c r="Q195" s="19"/>
      <c r="R195" s="19"/>
      <c r="S195" s="19"/>
      <c r="T195" s="19"/>
      <c r="U195" s="19"/>
      <c r="V195" s="19"/>
      <c r="W195" s="19"/>
    </row>
    <row r="196" spans="1:23" ht="14.25" customHeight="1" x14ac:dyDescent="0.3">
      <c r="A196" s="19"/>
      <c r="B196" s="19"/>
      <c r="C196" s="19"/>
      <c r="D196" s="19"/>
      <c r="E196" s="19"/>
      <c r="F196" s="19"/>
      <c r="G196" s="19"/>
      <c r="H196" s="19"/>
      <c r="I196" s="20"/>
      <c r="J196" s="244"/>
      <c r="K196" s="19"/>
      <c r="L196" s="19"/>
      <c r="M196" s="19"/>
      <c r="N196" s="19"/>
      <c r="O196" s="19"/>
      <c r="P196" s="19"/>
      <c r="Q196" s="19"/>
      <c r="R196" s="19"/>
      <c r="S196" s="19"/>
      <c r="T196" s="19"/>
      <c r="U196" s="19"/>
      <c r="V196" s="19"/>
      <c r="W196" s="19"/>
    </row>
    <row r="197" spans="1:23" ht="14.25" customHeight="1" x14ac:dyDescent="0.3">
      <c r="A197" s="19"/>
      <c r="B197" s="19"/>
      <c r="C197" s="19"/>
      <c r="D197" s="19"/>
      <c r="E197" s="19"/>
      <c r="F197" s="19"/>
      <c r="G197" s="19"/>
      <c r="H197" s="19"/>
      <c r="I197" s="20"/>
      <c r="J197" s="244"/>
      <c r="K197" s="19"/>
      <c r="L197" s="19"/>
      <c r="M197" s="19"/>
      <c r="N197" s="19"/>
      <c r="O197" s="19"/>
      <c r="P197" s="19"/>
      <c r="Q197" s="19"/>
      <c r="R197" s="19"/>
      <c r="S197" s="19"/>
      <c r="T197" s="19"/>
      <c r="U197" s="19"/>
      <c r="V197" s="19"/>
      <c r="W197" s="19"/>
    </row>
    <row r="198" spans="1:23" ht="14.25" customHeight="1" x14ac:dyDescent="0.3">
      <c r="A198" s="19"/>
      <c r="B198" s="19"/>
      <c r="C198" s="19"/>
      <c r="D198" s="19"/>
      <c r="E198" s="19"/>
      <c r="F198" s="19"/>
      <c r="G198" s="19"/>
      <c r="H198" s="19"/>
      <c r="I198" s="20"/>
      <c r="J198" s="244"/>
      <c r="K198" s="19"/>
      <c r="L198" s="19"/>
      <c r="M198" s="19"/>
      <c r="N198" s="19"/>
      <c r="O198" s="19"/>
      <c r="P198" s="19"/>
      <c r="Q198" s="19"/>
      <c r="R198" s="19"/>
      <c r="S198" s="19"/>
      <c r="T198" s="19"/>
      <c r="U198" s="19"/>
      <c r="V198" s="19"/>
      <c r="W198" s="19"/>
    </row>
    <row r="199" spans="1:23" ht="14.25" customHeight="1" x14ac:dyDescent="0.3">
      <c r="A199" s="19"/>
      <c r="B199" s="19"/>
      <c r="C199" s="19"/>
      <c r="D199" s="19"/>
      <c r="E199" s="19"/>
      <c r="F199" s="19"/>
      <c r="G199" s="19"/>
      <c r="H199" s="19"/>
      <c r="I199" s="20"/>
      <c r="J199" s="244"/>
      <c r="K199" s="19"/>
      <c r="L199" s="19"/>
      <c r="M199" s="19"/>
      <c r="N199" s="19"/>
      <c r="O199" s="19"/>
      <c r="P199" s="19"/>
      <c r="Q199" s="19"/>
      <c r="R199" s="19"/>
      <c r="S199" s="19"/>
      <c r="T199" s="19"/>
      <c r="U199" s="19"/>
      <c r="V199" s="19"/>
      <c r="W199" s="19"/>
    </row>
    <row r="200" spans="1:23" ht="14.25" customHeight="1" x14ac:dyDescent="0.3">
      <c r="A200" s="19"/>
      <c r="B200" s="19"/>
      <c r="C200" s="19"/>
      <c r="D200" s="19"/>
      <c r="E200" s="19"/>
      <c r="F200" s="19"/>
      <c r="G200" s="19"/>
      <c r="H200" s="19"/>
      <c r="I200" s="20"/>
      <c r="J200" s="244"/>
      <c r="K200" s="19"/>
      <c r="L200" s="19"/>
      <c r="M200" s="19"/>
      <c r="N200" s="19"/>
      <c r="O200" s="19"/>
      <c r="P200" s="19"/>
      <c r="Q200" s="19"/>
      <c r="R200" s="19"/>
      <c r="S200" s="19"/>
      <c r="T200" s="19"/>
      <c r="U200" s="19"/>
      <c r="V200" s="19"/>
      <c r="W200" s="19"/>
    </row>
    <row r="201" spans="1:23" ht="14.25" customHeight="1" x14ac:dyDescent="0.3">
      <c r="A201" s="19"/>
      <c r="B201" s="19"/>
      <c r="C201" s="19"/>
      <c r="D201" s="19"/>
      <c r="E201" s="19"/>
      <c r="F201" s="19"/>
      <c r="G201" s="19"/>
      <c r="H201" s="19"/>
      <c r="I201" s="20"/>
      <c r="J201" s="244"/>
      <c r="K201" s="19"/>
      <c r="L201" s="19"/>
      <c r="M201" s="19"/>
      <c r="N201" s="19"/>
      <c r="O201" s="19"/>
      <c r="P201" s="19"/>
      <c r="Q201" s="19"/>
      <c r="R201" s="19"/>
      <c r="S201" s="19"/>
      <c r="T201" s="19"/>
      <c r="U201" s="19"/>
      <c r="V201" s="19"/>
      <c r="W201" s="19"/>
    </row>
    <row r="202" spans="1:23" ht="14.25" customHeight="1" x14ac:dyDescent="0.3">
      <c r="A202" s="19"/>
      <c r="B202" s="19"/>
      <c r="C202" s="19"/>
      <c r="D202" s="19"/>
      <c r="E202" s="19"/>
      <c r="F202" s="19"/>
      <c r="G202" s="19"/>
      <c r="H202" s="19"/>
      <c r="I202" s="20"/>
      <c r="J202" s="244"/>
      <c r="K202" s="19"/>
      <c r="L202" s="19"/>
      <c r="M202" s="19"/>
      <c r="N202" s="19"/>
      <c r="O202" s="19"/>
      <c r="P202" s="19"/>
      <c r="Q202" s="19"/>
      <c r="R202" s="19"/>
      <c r="S202" s="19"/>
      <c r="T202" s="19"/>
      <c r="U202" s="19"/>
      <c r="V202" s="19"/>
      <c r="W202" s="19"/>
    </row>
    <row r="203" spans="1:23" ht="14.25" customHeight="1" x14ac:dyDescent="0.3">
      <c r="A203" s="19"/>
      <c r="B203" s="19"/>
      <c r="C203" s="19"/>
      <c r="D203" s="19"/>
      <c r="E203" s="19"/>
      <c r="F203" s="19"/>
      <c r="G203" s="19"/>
      <c r="H203" s="19"/>
      <c r="I203" s="20"/>
      <c r="J203" s="244"/>
      <c r="K203" s="19"/>
      <c r="L203" s="19"/>
      <c r="M203" s="19"/>
      <c r="N203" s="19"/>
      <c r="O203" s="19"/>
      <c r="P203" s="19"/>
      <c r="Q203" s="19"/>
      <c r="R203" s="19"/>
      <c r="S203" s="19"/>
      <c r="T203" s="19"/>
      <c r="U203" s="19"/>
      <c r="V203" s="19"/>
      <c r="W203" s="19"/>
    </row>
    <row r="204" spans="1:23" ht="14.25" customHeight="1" x14ac:dyDescent="0.3">
      <c r="A204" s="19"/>
      <c r="B204" s="19"/>
      <c r="C204" s="19"/>
      <c r="D204" s="19"/>
      <c r="E204" s="19"/>
      <c r="F204" s="19"/>
      <c r="G204" s="19"/>
      <c r="H204" s="19"/>
      <c r="I204" s="20"/>
      <c r="J204" s="244"/>
      <c r="K204" s="19"/>
      <c r="L204" s="19"/>
      <c r="M204" s="19"/>
      <c r="N204" s="19"/>
      <c r="O204" s="19"/>
      <c r="P204" s="19"/>
      <c r="Q204" s="19"/>
      <c r="R204" s="19"/>
      <c r="S204" s="19"/>
      <c r="T204" s="19"/>
      <c r="U204" s="19"/>
      <c r="V204" s="19"/>
      <c r="W204" s="19"/>
    </row>
    <row r="205" spans="1:23" ht="14.25" customHeight="1" x14ac:dyDescent="0.3">
      <c r="A205" s="19"/>
      <c r="B205" s="19"/>
      <c r="C205" s="19"/>
      <c r="D205" s="19"/>
      <c r="E205" s="19"/>
      <c r="F205" s="19"/>
      <c r="G205" s="19"/>
      <c r="H205" s="19"/>
      <c r="I205" s="20"/>
      <c r="J205" s="244"/>
      <c r="K205" s="19"/>
      <c r="L205" s="19"/>
      <c r="M205" s="19"/>
      <c r="N205" s="19"/>
      <c r="O205" s="19"/>
      <c r="P205" s="19"/>
      <c r="Q205" s="19"/>
      <c r="R205" s="19"/>
      <c r="S205" s="19"/>
      <c r="T205" s="19"/>
      <c r="U205" s="19"/>
      <c r="V205" s="19"/>
      <c r="W205" s="19"/>
    </row>
    <row r="206" spans="1:23" ht="14.25" customHeight="1" x14ac:dyDescent="0.3">
      <c r="A206" s="19"/>
      <c r="B206" s="19"/>
      <c r="C206" s="19"/>
      <c r="D206" s="19"/>
      <c r="E206" s="19"/>
      <c r="F206" s="19"/>
      <c r="G206" s="19"/>
      <c r="H206" s="19"/>
      <c r="I206" s="20"/>
      <c r="J206" s="244"/>
      <c r="K206" s="19"/>
      <c r="L206" s="19"/>
      <c r="M206" s="19"/>
      <c r="N206" s="19"/>
      <c r="O206" s="19"/>
      <c r="P206" s="19"/>
      <c r="Q206" s="19"/>
      <c r="R206" s="19"/>
      <c r="S206" s="19"/>
      <c r="T206" s="19"/>
      <c r="U206" s="19"/>
      <c r="V206" s="19"/>
      <c r="W206" s="19"/>
    </row>
    <row r="207" spans="1:23" ht="14.25" customHeight="1" x14ac:dyDescent="0.3">
      <c r="A207" s="19"/>
      <c r="B207" s="19"/>
      <c r="C207" s="19"/>
      <c r="D207" s="19"/>
      <c r="E207" s="19"/>
      <c r="F207" s="19"/>
      <c r="G207" s="19"/>
      <c r="H207" s="19"/>
      <c r="I207" s="20"/>
      <c r="J207" s="244"/>
      <c r="K207" s="19"/>
      <c r="L207" s="19"/>
      <c r="M207" s="19"/>
      <c r="N207" s="19"/>
      <c r="O207" s="19"/>
      <c r="P207" s="19"/>
      <c r="Q207" s="19"/>
      <c r="R207" s="19"/>
      <c r="S207" s="19"/>
      <c r="T207" s="19"/>
      <c r="U207" s="19"/>
      <c r="V207" s="19"/>
      <c r="W207" s="19"/>
    </row>
    <row r="208" spans="1:23" ht="14.25" customHeight="1" x14ac:dyDescent="0.3">
      <c r="A208" s="19"/>
      <c r="B208" s="19"/>
      <c r="C208" s="19"/>
      <c r="D208" s="19"/>
      <c r="E208" s="19"/>
      <c r="F208" s="19"/>
      <c r="G208" s="19"/>
      <c r="H208" s="19"/>
      <c r="I208" s="20"/>
      <c r="J208" s="244"/>
      <c r="K208" s="19"/>
      <c r="L208" s="19"/>
      <c r="M208" s="19"/>
      <c r="N208" s="19"/>
      <c r="O208" s="19"/>
      <c r="P208" s="19"/>
      <c r="Q208" s="19"/>
      <c r="R208" s="19"/>
      <c r="S208" s="19"/>
      <c r="T208" s="19"/>
      <c r="U208" s="19"/>
      <c r="V208" s="19"/>
      <c r="W208" s="19"/>
    </row>
    <row r="209" spans="1:23" ht="14.25" customHeight="1" x14ac:dyDescent="0.3">
      <c r="A209" s="19"/>
      <c r="B209" s="19"/>
      <c r="C209" s="19"/>
      <c r="D209" s="19"/>
      <c r="E209" s="19"/>
      <c r="F209" s="19"/>
      <c r="G209" s="19"/>
      <c r="H209" s="19"/>
      <c r="I209" s="20"/>
      <c r="J209" s="244"/>
      <c r="K209" s="19"/>
      <c r="L209" s="19"/>
      <c r="M209" s="19"/>
      <c r="N209" s="19"/>
      <c r="O209" s="19"/>
      <c r="P209" s="19"/>
      <c r="Q209" s="19"/>
      <c r="R209" s="19"/>
      <c r="S209" s="19"/>
      <c r="T209" s="19"/>
      <c r="U209" s="19"/>
      <c r="V209" s="19"/>
      <c r="W209" s="19"/>
    </row>
    <row r="210" spans="1:23" ht="14.25" customHeight="1" x14ac:dyDescent="0.3">
      <c r="A210" s="19"/>
      <c r="B210" s="19"/>
      <c r="C210" s="19"/>
      <c r="D210" s="19"/>
      <c r="E210" s="19"/>
      <c r="F210" s="19"/>
      <c r="G210" s="19"/>
      <c r="H210" s="19"/>
      <c r="I210" s="20"/>
      <c r="J210" s="244"/>
      <c r="K210" s="19"/>
      <c r="L210" s="19"/>
      <c r="M210" s="19"/>
      <c r="N210" s="19"/>
      <c r="O210" s="19"/>
      <c r="P210" s="19"/>
      <c r="Q210" s="19"/>
      <c r="R210" s="19"/>
      <c r="S210" s="19"/>
      <c r="T210" s="19"/>
      <c r="U210" s="19"/>
      <c r="V210" s="19"/>
      <c r="W210" s="19"/>
    </row>
    <row r="211" spans="1:23" ht="14.25" customHeight="1" x14ac:dyDescent="0.3">
      <c r="A211" s="19"/>
      <c r="B211" s="19"/>
      <c r="C211" s="19"/>
      <c r="D211" s="19"/>
      <c r="E211" s="19"/>
      <c r="F211" s="19"/>
      <c r="G211" s="19"/>
      <c r="H211" s="19"/>
      <c r="I211" s="20"/>
      <c r="J211" s="244"/>
      <c r="K211" s="19"/>
      <c r="L211" s="19"/>
      <c r="M211" s="19"/>
      <c r="N211" s="19"/>
      <c r="O211" s="19"/>
      <c r="P211" s="19"/>
      <c r="Q211" s="19"/>
      <c r="R211" s="19"/>
      <c r="S211" s="19"/>
      <c r="T211" s="19"/>
      <c r="U211" s="19"/>
      <c r="V211" s="19"/>
      <c r="W211" s="19"/>
    </row>
    <row r="212" spans="1:23" ht="14.25" customHeight="1" x14ac:dyDescent="0.3">
      <c r="A212" s="19"/>
      <c r="B212" s="19"/>
      <c r="C212" s="19"/>
      <c r="D212" s="19"/>
      <c r="E212" s="19"/>
      <c r="F212" s="19"/>
      <c r="G212" s="19"/>
      <c r="H212" s="19"/>
      <c r="I212" s="20"/>
      <c r="J212" s="244"/>
      <c r="K212" s="19"/>
      <c r="L212" s="19"/>
      <c r="M212" s="19"/>
      <c r="N212" s="19"/>
      <c r="O212" s="19"/>
      <c r="P212" s="19"/>
      <c r="Q212" s="19"/>
      <c r="R212" s="19"/>
      <c r="S212" s="19"/>
      <c r="T212" s="19"/>
      <c r="U212" s="19"/>
      <c r="V212" s="19"/>
      <c r="W212" s="19"/>
    </row>
    <row r="213" spans="1:23" ht="14.25" customHeight="1" x14ac:dyDescent="0.3">
      <c r="A213" s="19"/>
      <c r="B213" s="19"/>
      <c r="C213" s="19"/>
      <c r="D213" s="19"/>
      <c r="E213" s="19"/>
      <c r="F213" s="19"/>
      <c r="G213" s="19"/>
      <c r="H213" s="19"/>
      <c r="I213" s="20"/>
      <c r="J213" s="244"/>
      <c r="K213" s="19"/>
      <c r="L213" s="19"/>
      <c r="M213" s="19"/>
      <c r="N213" s="19"/>
      <c r="O213" s="19"/>
      <c r="P213" s="19"/>
      <c r="Q213" s="19"/>
      <c r="R213" s="19"/>
      <c r="S213" s="19"/>
      <c r="T213" s="19"/>
      <c r="U213" s="19"/>
      <c r="V213" s="19"/>
      <c r="W213" s="19"/>
    </row>
    <row r="214" spans="1:23" ht="14.25" customHeight="1" x14ac:dyDescent="0.3">
      <c r="A214" s="19"/>
      <c r="B214" s="19"/>
      <c r="C214" s="19"/>
      <c r="D214" s="19"/>
      <c r="E214" s="19"/>
      <c r="F214" s="19"/>
      <c r="G214" s="19"/>
      <c r="H214" s="19"/>
      <c r="I214" s="20"/>
      <c r="J214" s="244"/>
      <c r="K214" s="19"/>
      <c r="L214" s="19"/>
      <c r="M214" s="19"/>
      <c r="N214" s="19"/>
      <c r="O214" s="19"/>
      <c r="P214" s="19"/>
      <c r="Q214" s="19"/>
      <c r="R214" s="19"/>
      <c r="S214" s="19"/>
      <c r="T214" s="19"/>
      <c r="U214" s="19"/>
      <c r="V214" s="19"/>
      <c r="W214" s="19"/>
    </row>
    <row r="215" spans="1:23" ht="14.25" customHeight="1" x14ac:dyDescent="0.3">
      <c r="A215" s="19"/>
      <c r="B215" s="19"/>
      <c r="C215" s="19"/>
      <c r="D215" s="19"/>
      <c r="E215" s="19"/>
      <c r="F215" s="19"/>
      <c r="G215" s="19"/>
      <c r="H215" s="19"/>
      <c r="I215" s="20"/>
      <c r="J215" s="244"/>
      <c r="K215" s="19"/>
      <c r="L215" s="19"/>
      <c r="M215" s="19"/>
      <c r="N215" s="19"/>
      <c r="O215" s="19"/>
      <c r="P215" s="19"/>
      <c r="Q215" s="19"/>
      <c r="R215" s="19"/>
      <c r="S215" s="19"/>
      <c r="T215" s="19"/>
      <c r="U215" s="19"/>
      <c r="V215" s="19"/>
      <c r="W215" s="19"/>
    </row>
    <row r="216" spans="1:23" ht="14.25" customHeight="1" x14ac:dyDescent="0.3">
      <c r="A216" s="19"/>
      <c r="B216" s="19"/>
      <c r="C216" s="19"/>
      <c r="D216" s="19"/>
      <c r="E216" s="19"/>
      <c r="F216" s="19"/>
      <c r="G216" s="19"/>
      <c r="H216" s="19"/>
      <c r="I216" s="20"/>
      <c r="J216" s="244"/>
      <c r="K216" s="19"/>
      <c r="L216" s="19"/>
      <c r="M216" s="19"/>
      <c r="N216" s="19"/>
      <c r="O216" s="19"/>
      <c r="P216" s="19"/>
      <c r="Q216" s="19"/>
      <c r="R216" s="19"/>
      <c r="S216" s="19"/>
      <c r="T216" s="19"/>
      <c r="U216" s="19"/>
      <c r="V216" s="19"/>
      <c r="W216" s="19"/>
    </row>
    <row r="217" spans="1:23" ht="14.25" customHeight="1" x14ac:dyDescent="0.3">
      <c r="A217" s="19"/>
      <c r="B217" s="19"/>
      <c r="C217" s="19"/>
      <c r="D217" s="19"/>
      <c r="E217" s="19"/>
      <c r="F217" s="19"/>
      <c r="G217" s="19"/>
      <c r="H217" s="19"/>
      <c r="I217" s="20"/>
      <c r="J217" s="244"/>
      <c r="K217" s="19"/>
      <c r="L217" s="19"/>
      <c r="M217" s="19"/>
      <c r="N217" s="19"/>
      <c r="O217" s="19"/>
      <c r="P217" s="19"/>
      <c r="Q217" s="19"/>
      <c r="R217" s="19"/>
      <c r="S217" s="19"/>
      <c r="T217" s="19"/>
      <c r="U217" s="19"/>
      <c r="V217" s="19"/>
      <c r="W217" s="19"/>
    </row>
    <row r="218" spans="1:23" ht="14.25" customHeight="1" x14ac:dyDescent="0.3">
      <c r="A218" s="19"/>
      <c r="B218" s="19"/>
      <c r="C218" s="19"/>
      <c r="D218" s="19"/>
      <c r="E218" s="19"/>
      <c r="F218" s="19"/>
      <c r="G218" s="19"/>
      <c r="H218" s="19"/>
      <c r="I218" s="20"/>
      <c r="J218" s="244"/>
      <c r="K218" s="19"/>
      <c r="L218" s="19"/>
      <c r="M218" s="19"/>
      <c r="N218" s="19"/>
      <c r="O218" s="19"/>
      <c r="P218" s="19"/>
      <c r="Q218" s="19"/>
      <c r="R218" s="19"/>
      <c r="S218" s="19"/>
      <c r="T218" s="19"/>
      <c r="U218" s="19"/>
      <c r="V218" s="19"/>
      <c r="W218" s="19"/>
    </row>
    <row r="219" spans="1:23" ht="14.25" customHeight="1" x14ac:dyDescent="0.3">
      <c r="A219" s="19"/>
      <c r="B219" s="19"/>
      <c r="C219" s="19"/>
      <c r="D219" s="19"/>
      <c r="E219" s="19"/>
      <c r="F219" s="19"/>
      <c r="G219" s="19"/>
      <c r="H219" s="19"/>
      <c r="I219" s="20"/>
      <c r="J219" s="244"/>
      <c r="K219" s="19"/>
      <c r="L219" s="19"/>
      <c r="M219" s="19"/>
      <c r="N219" s="19"/>
      <c r="O219" s="19"/>
      <c r="P219" s="19"/>
      <c r="Q219" s="19"/>
      <c r="R219" s="19"/>
      <c r="S219" s="19"/>
      <c r="T219" s="19"/>
      <c r="U219" s="19"/>
      <c r="V219" s="19"/>
      <c r="W219" s="19"/>
    </row>
    <row r="220" spans="1:23" ht="14.25" customHeight="1" x14ac:dyDescent="0.3">
      <c r="A220" s="19"/>
      <c r="B220" s="19"/>
      <c r="C220" s="19"/>
      <c r="D220" s="19"/>
      <c r="E220" s="19"/>
      <c r="F220" s="19"/>
      <c r="G220" s="19"/>
      <c r="H220" s="19"/>
      <c r="I220" s="20"/>
      <c r="J220" s="244"/>
      <c r="K220" s="19"/>
      <c r="L220" s="19"/>
      <c r="M220" s="19"/>
      <c r="N220" s="19"/>
      <c r="O220" s="19"/>
      <c r="P220" s="19"/>
      <c r="Q220" s="19"/>
      <c r="R220" s="19"/>
      <c r="S220" s="19"/>
      <c r="T220" s="19"/>
      <c r="U220" s="19"/>
      <c r="V220" s="19"/>
      <c r="W220" s="19"/>
    </row>
    <row r="221" spans="1:23" ht="14.25" customHeight="1" x14ac:dyDescent="0.3">
      <c r="A221" s="19"/>
      <c r="B221" s="19"/>
      <c r="C221" s="19"/>
      <c r="D221" s="19"/>
      <c r="E221" s="19"/>
      <c r="F221" s="19"/>
      <c r="G221" s="19"/>
      <c r="H221" s="19"/>
      <c r="I221" s="20"/>
      <c r="J221" s="244"/>
      <c r="K221" s="19"/>
      <c r="L221" s="19"/>
      <c r="M221" s="19"/>
      <c r="N221" s="19"/>
      <c r="O221" s="19"/>
      <c r="P221" s="19"/>
      <c r="Q221" s="19"/>
      <c r="R221" s="19"/>
      <c r="S221" s="19"/>
      <c r="T221" s="19"/>
      <c r="U221" s="19"/>
      <c r="V221" s="19"/>
      <c r="W221" s="19"/>
    </row>
    <row r="222" spans="1:23" ht="14.25" customHeight="1" x14ac:dyDescent="0.3">
      <c r="A222" s="19"/>
      <c r="B222" s="19"/>
      <c r="C222" s="19"/>
      <c r="D222" s="19"/>
      <c r="E222" s="19"/>
      <c r="F222" s="19"/>
      <c r="G222" s="19"/>
      <c r="H222" s="19"/>
      <c r="I222" s="20"/>
      <c r="J222" s="244"/>
      <c r="K222" s="19"/>
      <c r="L222" s="19"/>
      <c r="M222" s="19"/>
      <c r="N222" s="19"/>
      <c r="O222" s="19"/>
      <c r="P222" s="19"/>
      <c r="Q222" s="19"/>
      <c r="R222" s="19"/>
      <c r="S222" s="19"/>
      <c r="T222" s="19"/>
      <c r="U222" s="19"/>
      <c r="V222" s="19"/>
      <c r="W222" s="19"/>
    </row>
    <row r="223" spans="1:23" ht="14.25" customHeight="1" x14ac:dyDescent="0.3">
      <c r="A223" s="19"/>
      <c r="B223" s="19"/>
      <c r="C223" s="19"/>
      <c r="D223" s="19"/>
      <c r="E223" s="19"/>
      <c r="F223" s="19"/>
      <c r="G223" s="19"/>
      <c r="H223" s="19"/>
      <c r="I223" s="20"/>
      <c r="J223" s="244"/>
      <c r="K223" s="19"/>
      <c r="L223" s="19"/>
      <c r="M223" s="19"/>
      <c r="N223" s="19"/>
      <c r="O223" s="19"/>
      <c r="P223" s="19"/>
      <c r="Q223" s="19"/>
      <c r="R223" s="19"/>
      <c r="S223" s="19"/>
      <c r="T223" s="19"/>
      <c r="U223" s="19"/>
      <c r="V223" s="19"/>
      <c r="W223" s="19"/>
    </row>
    <row r="224" spans="1:23" ht="14.25" customHeight="1" x14ac:dyDescent="0.3">
      <c r="A224" s="19"/>
      <c r="B224" s="19"/>
      <c r="C224" s="19"/>
      <c r="D224" s="19"/>
      <c r="E224" s="19"/>
      <c r="F224" s="19"/>
      <c r="G224" s="19"/>
      <c r="H224" s="19"/>
      <c r="I224" s="20"/>
      <c r="J224" s="244"/>
      <c r="K224" s="19"/>
      <c r="L224" s="19"/>
      <c r="M224" s="19"/>
      <c r="N224" s="19"/>
      <c r="O224" s="19"/>
      <c r="P224" s="19"/>
      <c r="Q224" s="19"/>
      <c r="R224" s="19"/>
      <c r="S224" s="19"/>
      <c r="T224" s="19"/>
      <c r="U224" s="19"/>
      <c r="V224" s="19"/>
      <c r="W224" s="19"/>
    </row>
    <row r="225" spans="1:23" ht="14.25" customHeight="1" x14ac:dyDescent="0.3">
      <c r="A225" s="19"/>
      <c r="B225" s="19"/>
      <c r="C225" s="19"/>
      <c r="D225" s="19"/>
      <c r="E225" s="19"/>
      <c r="F225" s="19"/>
      <c r="G225" s="19"/>
      <c r="H225" s="19"/>
      <c r="I225" s="20"/>
      <c r="J225" s="244"/>
      <c r="K225" s="19"/>
      <c r="L225" s="19"/>
      <c r="M225" s="19"/>
      <c r="N225" s="19"/>
      <c r="O225" s="19"/>
      <c r="P225" s="19"/>
      <c r="Q225" s="19"/>
      <c r="R225" s="19"/>
      <c r="S225" s="19"/>
      <c r="T225" s="19"/>
      <c r="U225" s="19"/>
      <c r="V225" s="19"/>
      <c r="W225" s="19"/>
    </row>
    <row r="226" spans="1:23" ht="14.25" customHeight="1" x14ac:dyDescent="0.3">
      <c r="A226" s="19"/>
      <c r="B226" s="19"/>
      <c r="C226" s="19"/>
      <c r="D226" s="19"/>
      <c r="E226" s="19"/>
      <c r="F226" s="19"/>
      <c r="G226" s="19"/>
      <c r="H226" s="19"/>
      <c r="I226" s="20"/>
      <c r="J226" s="244"/>
      <c r="K226" s="19"/>
      <c r="L226" s="19"/>
      <c r="M226" s="19"/>
      <c r="N226" s="19"/>
      <c r="O226" s="19"/>
      <c r="P226" s="19"/>
      <c r="Q226" s="19"/>
      <c r="R226" s="19"/>
      <c r="S226" s="19"/>
      <c r="T226" s="19"/>
      <c r="U226" s="19"/>
      <c r="V226" s="19"/>
      <c r="W226" s="19"/>
    </row>
    <row r="227" spans="1:23" ht="14.25" customHeight="1" x14ac:dyDescent="0.3">
      <c r="A227" s="19"/>
      <c r="B227" s="19"/>
      <c r="C227" s="19"/>
      <c r="D227" s="19"/>
      <c r="E227" s="19"/>
      <c r="F227" s="19"/>
      <c r="G227" s="19"/>
      <c r="H227" s="19"/>
      <c r="I227" s="20"/>
      <c r="J227" s="244"/>
      <c r="K227" s="19"/>
      <c r="L227" s="19"/>
      <c r="M227" s="19"/>
      <c r="N227" s="19"/>
      <c r="O227" s="19"/>
      <c r="P227" s="19"/>
      <c r="Q227" s="19"/>
      <c r="R227" s="19"/>
      <c r="S227" s="19"/>
      <c r="T227" s="19"/>
      <c r="U227" s="19"/>
      <c r="V227" s="19"/>
      <c r="W227" s="19"/>
    </row>
    <row r="228" spans="1:23" ht="14.25" customHeight="1" x14ac:dyDescent="0.3">
      <c r="A228" s="19"/>
      <c r="B228" s="19"/>
      <c r="C228" s="19"/>
      <c r="D228" s="19"/>
      <c r="E228" s="19"/>
      <c r="F228" s="19"/>
      <c r="G228" s="19"/>
      <c r="H228" s="19"/>
      <c r="I228" s="20"/>
      <c r="J228" s="244"/>
      <c r="K228" s="19"/>
      <c r="L228" s="19"/>
      <c r="M228" s="19"/>
      <c r="N228" s="19"/>
      <c r="O228" s="19"/>
      <c r="P228" s="19"/>
      <c r="Q228" s="19"/>
      <c r="R228" s="19"/>
      <c r="S228" s="19"/>
      <c r="T228" s="19"/>
      <c r="U228" s="19"/>
      <c r="V228" s="19"/>
      <c r="W228" s="19"/>
    </row>
    <row r="229" spans="1:23" ht="14.25" customHeight="1" x14ac:dyDescent="0.3">
      <c r="A229" s="19"/>
      <c r="B229" s="19"/>
      <c r="C229" s="19"/>
      <c r="D229" s="19"/>
      <c r="E229" s="19"/>
      <c r="F229" s="19"/>
      <c r="G229" s="19"/>
      <c r="H229" s="19"/>
      <c r="I229" s="20"/>
      <c r="J229" s="244"/>
      <c r="K229" s="19"/>
      <c r="L229" s="19"/>
      <c r="M229" s="19"/>
      <c r="N229" s="19"/>
      <c r="O229" s="19"/>
      <c r="P229" s="19"/>
      <c r="Q229" s="19"/>
      <c r="R229" s="19"/>
      <c r="S229" s="19"/>
      <c r="T229" s="19"/>
      <c r="U229" s="19"/>
      <c r="V229" s="19"/>
      <c r="W229" s="19"/>
    </row>
    <row r="230" spans="1:23" ht="14.25" customHeight="1" x14ac:dyDescent="0.3">
      <c r="A230" s="19"/>
      <c r="B230" s="19"/>
      <c r="C230" s="19"/>
      <c r="D230" s="19"/>
      <c r="E230" s="19"/>
      <c r="F230" s="19"/>
      <c r="G230" s="19"/>
      <c r="H230" s="19"/>
      <c r="I230" s="20"/>
      <c r="J230" s="244"/>
      <c r="K230" s="19"/>
      <c r="L230" s="19"/>
      <c r="M230" s="19"/>
      <c r="N230" s="19"/>
      <c r="O230" s="19"/>
      <c r="P230" s="19"/>
      <c r="Q230" s="19"/>
      <c r="R230" s="19"/>
      <c r="S230" s="19"/>
      <c r="T230" s="19"/>
      <c r="U230" s="19"/>
      <c r="V230" s="19"/>
      <c r="W230" s="19"/>
    </row>
    <row r="231" spans="1:23" ht="14.25" customHeight="1" x14ac:dyDescent="0.3">
      <c r="A231" s="19"/>
      <c r="B231" s="19"/>
      <c r="C231" s="19"/>
      <c r="D231" s="19"/>
      <c r="E231" s="19"/>
      <c r="F231" s="19"/>
      <c r="G231" s="19"/>
      <c r="H231" s="19"/>
      <c r="I231" s="20"/>
      <c r="J231" s="244"/>
      <c r="K231" s="19"/>
      <c r="L231" s="19"/>
      <c r="M231" s="19"/>
      <c r="N231" s="19"/>
      <c r="O231" s="19"/>
      <c r="P231" s="19"/>
      <c r="Q231" s="19"/>
      <c r="R231" s="19"/>
      <c r="S231" s="19"/>
      <c r="T231" s="19"/>
      <c r="U231" s="19"/>
      <c r="V231" s="19"/>
      <c r="W231" s="19"/>
    </row>
    <row r="232" spans="1:23" ht="14.25" customHeight="1" x14ac:dyDescent="0.3">
      <c r="A232" s="19"/>
      <c r="B232" s="19"/>
      <c r="C232" s="19"/>
      <c r="D232" s="19"/>
      <c r="E232" s="19"/>
      <c r="F232" s="19"/>
      <c r="G232" s="19"/>
      <c r="H232" s="19"/>
      <c r="I232" s="20"/>
      <c r="J232" s="244"/>
      <c r="K232" s="19"/>
      <c r="L232" s="19"/>
      <c r="M232" s="19"/>
      <c r="N232" s="19"/>
      <c r="O232" s="19"/>
      <c r="P232" s="19"/>
      <c r="Q232" s="19"/>
      <c r="R232" s="19"/>
      <c r="S232" s="19"/>
      <c r="T232" s="19"/>
      <c r="U232" s="19"/>
      <c r="V232" s="19"/>
      <c r="W232" s="19"/>
    </row>
    <row r="233" spans="1:23" ht="14.25" customHeight="1" x14ac:dyDescent="0.3">
      <c r="A233" s="19"/>
      <c r="B233" s="19"/>
      <c r="C233" s="19"/>
      <c r="D233" s="19"/>
      <c r="E233" s="19"/>
      <c r="F233" s="19"/>
      <c r="G233" s="19"/>
      <c r="H233" s="19"/>
      <c r="I233" s="20"/>
      <c r="J233" s="244"/>
      <c r="K233" s="19"/>
      <c r="L233" s="19"/>
      <c r="M233" s="19"/>
      <c r="N233" s="19"/>
      <c r="O233" s="19"/>
      <c r="P233" s="19"/>
      <c r="Q233" s="19"/>
      <c r="R233" s="19"/>
      <c r="S233" s="19"/>
      <c r="T233" s="19"/>
      <c r="U233" s="19"/>
      <c r="V233" s="19"/>
      <c r="W233" s="19"/>
    </row>
    <row r="234" spans="1:23" ht="14.25" customHeight="1" x14ac:dyDescent="0.3">
      <c r="A234" s="19"/>
      <c r="B234" s="19"/>
      <c r="C234" s="19"/>
      <c r="D234" s="19"/>
      <c r="E234" s="19"/>
      <c r="F234" s="19"/>
      <c r="G234" s="19"/>
      <c r="H234" s="19"/>
      <c r="I234" s="20"/>
      <c r="J234" s="244"/>
      <c r="K234" s="19"/>
      <c r="L234" s="19"/>
      <c r="M234" s="19"/>
      <c r="N234" s="19"/>
      <c r="O234" s="19"/>
      <c r="P234" s="19"/>
      <c r="Q234" s="19"/>
      <c r="R234" s="19"/>
      <c r="S234" s="19"/>
      <c r="T234" s="19"/>
      <c r="U234" s="19"/>
      <c r="V234" s="19"/>
      <c r="W234" s="19"/>
    </row>
    <row r="235" spans="1:23" ht="14.25" customHeight="1" x14ac:dyDescent="0.3">
      <c r="A235" s="19"/>
      <c r="B235" s="19"/>
      <c r="C235" s="19"/>
      <c r="D235" s="19"/>
      <c r="E235" s="19"/>
      <c r="F235" s="19"/>
      <c r="G235" s="19"/>
      <c r="H235" s="19"/>
      <c r="I235" s="20"/>
      <c r="J235" s="244"/>
      <c r="K235" s="19"/>
      <c r="L235" s="19"/>
      <c r="M235" s="19"/>
      <c r="N235" s="19"/>
      <c r="O235" s="19"/>
      <c r="P235" s="19"/>
      <c r="Q235" s="19"/>
      <c r="R235" s="19"/>
      <c r="S235" s="19"/>
      <c r="T235" s="19"/>
      <c r="U235" s="19"/>
      <c r="V235" s="19"/>
      <c r="W235" s="19"/>
    </row>
    <row r="236" spans="1:23" ht="14.25" customHeight="1" x14ac:dyDescent="0.3">
      <c r="A236" s="19"/>
      <c r="B236" s="19"/>
      <c r="C236" s="19"/>
      <c r="D236" s="19"/>
      <c r="E236" s="19"/>
      <c r="F236" s="19"/>
      <c r="G236" s="19"/>
      <c r="H236" s="19"/>
      <c r="I236" s="20"/>
      <c r="J236" s="244"/>
      <c r="K236" s="19"/>
      <c r="L236" s="19"/>
      <c r="M236" s="19"/>
      <c r="N236" s="19"/>
      <c r="O236" s="19"/>
      <c r="P236" s="19"/>
      <c r="Q236" s="19"/>
      <c r="R236" s="19"/>
      <c r="S236" s="19"/>
      <c r="T236" s="19"/>
      <c r="U236" s="19"/>
      <c r="V236" s="19"/>
      <c r="W236" s="19"/>
    </row>
    <row r="237" spans="1:23" ht="14.25" customHeight="1" x14ac:dyDescent="0.3">
      <c r="A237" s="19"/>
      <c r="B237" s="19"/>
      <c r="C237" s="19"/>
      <c r="D237" s="19"/>
      <c r="E237" s="19"/>
      <c r="F237" s="19"/>
      <c r="G237" s="19"/>
      <c r="H237" s="19"/>
      <c r="I237" s="20"/>
      <c r="J237" s="244"/>
      <c r="K237" s="19"/>
      <c r="L237" s="19"/>
      <c r="M237" s="19"/>
      <c r="N237" s="19"/>
      <c r="O237" s="19"/>
      <c r="P237" s="19"/>
      <c r="Q237" s="19"/>
      <c r="R237" s="19"/>
      <c r="S237" s="19"/>
      <c r="T237" s="19"/>
      <c r="U237" s="19"/>
      <c r="V237" s="19"/>
      <c r="W237" s="19"/>
    </row>
    <row r="238" spans="1:23" ht="14.25" customHeight="1" x14ac:dyDescent="0.3">
      <c r="A238" s="19"/>
      <c r="B238" s="19"/>
      <c r="C238" s="19"/>
      <c r="D238" s="19"/>
      <c r="E238" s="19"/>
      <c r="F238" s="19"/>
      <c r="G238" s="19"/>
      <c r="H238" s="19"/>
      <c r="I238" s="20"/>
      <c r="J238" s="244"/>
      <c r="K238" s="19"/>
      <c r="L238" s="19"/>
      <c r="M238" s="19"/>
      <c r="N238" s="19"/>
      <c r="O238" s="19"/>
      <c r="P238" s="19"/>
      <c r="Q238" s="19"/>
      <c r="R238" s="19"/>
      <c r="S238" s="19"/>
      <c r="T238" s="19"/>
      <c r="U238" s="19"/>
      <c r="V238" s="19"/>
      <c r="W238" s="19"/>
    </row>
    <row r="239" spans="1:23" ht="14.25" customHeight="1" x14ac:dyDescent="0.3">
      <c r="A239" s="19"/>
      <c r="B239" s="19"/>
      <c r="C239" s="19"/>
      <c r="D239" s="19"/>
      <c r="E239" s="19"/>
      <c r="F239" s="19"/>
      <c r="G239" s="19"/>
      <c r="H239" s="19"/>
      <c r="I239" s="20"/>
      <c r="J239" s="244"/>
      <c r="K239" s="19"/>
      <c r="L239" s="19"/>
      <c r="M239" s="19"/>
      <c r="N239" s="19"/>
      <c r="O239" s="19"/>
      <c r="P239" s="19"/>
      <c r="Q239" s="19"/>
      <c r="R239" s="19"/>
      <c r="S239" s="19"/>
      <c r="T239" s="19"/>
      <c r="U239" s="19"/>
      <c r="V239" s="19"/>
      <c r="W239" s="19"/>
    </row>
    <row r="240" spans="1:23" ht="14.25" customHeight="1" x14ac:dyDescent="0.3">
      <c r="A240" s="19"/>
      <c r="B240" s="19"/>
      <c r="C240" s="19"/>
      <c r="D240" s="19"/>
      <c r="E240" s="19"/>
      <c r="F240" s="19"/>
      <c r="G240" s="19"/>
      <c r="H240" s="19"/>
      <c r="I240" s="20"/>
      <c r="J240" s="244"/>
      <c r="K240" s="19"/>
      <c r="L240" s="19"/>
      <c r="M240" s="19"/>
      <c r="N240" s="19"/>
      <c r="O240" s="19"/>
      <c r="P240" s="19"/>
      <c r="Q240" s="19"/>
      <c r="R240" s="19"/>
      <c r="S240" s="19"/>
      <c r="T240" s="19"/>
      <c r="U240" s="19"/>
      <c r="V240" s="19"/>
      <c r="W240" s="19"/>
    </row>
    <row r="241" spans="1:23" ht="14.25" customHeight="1" x14ac:dyDescent="0.3">
      <c r="A241" s="19"/>
      <c r="B241" s="19"/>
      <c r="C241" s="19"/>
      <c r="D241" s="19"/>
      <c r="E241" s="19"/>
      <c r="F241" s="19"/>
      <c r="G241" s="19"/>
      <c r="H241" s="19"/>
      <c r="I241" s="20"/>
      <c r="J241" s="244"/>
      <c r="K241" s="19"/>
      <c r="L241" s="19"/>
      <c r="M241" s="19"/>
      <c r="N241" s="19"/>
      <c r="O241" s="19"/>
      <c r="P241" s="19"/>
      <c r="Q241" s="19"/>
      <c r="R241" s="19"/>
      <c r="S241" s="19"/>
      <c r="T241" s="19"/>
      <c r="U241" s="19"/>
      <c r="V241" s="19"/>
      <c r="W241" s="19"/>
    </row>
    <row r="242" spans="1:23" ht="14.25" customHeight="1" x14ac:dyDescent="0.3">
      <c r="A242" s="19"/>
      <c r="B242" s="19"/>
      <c r="C242" s="19"/>
      <c r="D242" s="19"/>
      <c r="E242" s="19"/>
      <c r="F242" s="19"/>
      <c r="G242" s="19"/>
      <c r="H242" s="19"/>
      <c r="I242" s="20"/>
      <c r="J242" s="244"/>
      <c r="K242" s="19"/>
      <c r="L242" s="19"/>
      <c r="M242" s="19"/>
      <c r="N242" s="19"/>
      <c r="O242" s="19"/>
      <c r="P242" s="19"/>
      <c r="Q242" s="19"/>
      <c r="R242" s="19"/>
      <c r="S242" s="19"/>
      <c r="T242" s="19"/>
      <c r="U242" s="19"/>
      <c r="V242" s="19"/>
      <c r="W242" s="19"/>
    </row>
    <row r="243" spans="1:23" ht="14.25" customHeight="1" x14ac:dyDescent="0.3">
      <c r="A243" s="19"/>
      <c r="B243" s="19"/>
      <c r="C243" s="19"/>
      <c r="D243" s="19"/>
      <c r="E243" s="19"/>
      <c r="F243" s="19"/>
      <c r="G243" s="19"/>
      <c r="H243" s="19"/>
      <c r="I243" s="20"/>
      <c r="J243" s="244"/>
      <c r="K243" s="19"/>
      <c r="L243" s="19"/>
      <c r="M243" s="19"/>
      <c r="N243" s="19"/>
      <c r="O243" s="19"/>
      <c r="P243" s="19"/>
      <c r="Q243" s="19"/>
      <c r="R243" s="19"/>
      <c r="S243" s="19"/>
      <c r="T243" s="19"/>
      <c r="U243" s="19"/>
      <c r="V243" s="19"/>
      <c r="W243" s="19"/>
    </row>
    <row r="244" spans="1:23" ht="14.25" customHeight="1" x14ac:dyDescent="0.3">
      <c r="A244" s="19"/>
      <c r="B244" s="19"/>
      <c r="C244" s="19"/>
      <c r="D244" s="19"/>
      <c r="E244" s="19"/>
      <c r="F244" s="19"/>
      <c r="G244" s="19"/>
      <c r="H244" s="19"/>
      <c r="I244" s="20"/>
      <c r="J244" s="244"/>
      <c r="K244" s="19"/>
      <c r="L244" s="19"/>
      <c r="M244" s="19"/>
      <c r="N244" s="19"/>
      <c r="O244" s="19"/>
      <c r="P244" s="19"/>
      <c r="Q244" s="19"/>
      <c r="R244" s="19"/>
      <c r="S244" s="19"/>
      <c r="T244" s="19"/>
      <c r="U244" s="19"/>
      <c r="V244" s="19"/>
      <c r="W244" s="19"/>
    </row>
    <row r="245" spans="1:23" ht="14.25" customHeight="1" x14ac:dyDescent="0.3">
      <c r="A245" s="19"/>
      <c r="B245" s="19"/>
      <c r="C245" s="19"/>
      <c r="D245" s="19"/>
      <c r="E245" s="19"/>
      <c r="F245" s="19"/>
      <c r="G245" s="19"/>
      <c r="H245" s="19"/>
      <c r="I245" s="20"/>
      <c r="J245" s="244"/>
      <c r="K245" s="19"/>
      <c r="L245" s="19"/>
      <c r="M245" s="19"/>
      <c r="N245" s="19"/>
      <c r="O245" s="19"/>
      <c r="P245" s="19"/>
      <c r="Q245" s="19"/>
      <c r="R245" s="19"/>
      <c r="S245" s="19"/>
      <c r="T245" s="19"/>
      <c r="U245" s="19"/>
      <c r="V245" s="19"/>
      <c r="W245" s="19"/>
    </row>
    <row r="246" spans="1:23" ht="14.25" customHeight="1" x14ac:dyDescent="0.3">
      <c r="A246" s="19"/>
      <c r="B246" s="19"/>
      <c r="C246" s="19"/>
      <c r="D246" s="19"/>
      <c r="E246" s="19"/>
      <c r="F246" s="19"/>
      <c r="G246" s="19"/>
      <c r="H246" s="19"/>
      <c r="I246" s="20"/>
      <c r="J246" s="244"/>
      <c r="K246" s="19"/>
      <c r="L246" s="19"/>
      <c r="M246" s="19"/>
      <c r="N246" s="19"/>
      <c r="O246" s="19"/>
      <c r="P246" s="19"/>
      <c r="Q246" s="19"/>
      <c r="R246" s="19"/>
      <c r="S246" s="19"/>
      <c r="T246" s="19"/>
      <c r="U246" s="19"/>
      <c r="V246" s="19"/>
      <c r="W246" s="19"/>
    </row>
    <row r="247" spans="1:23" ht="14.25" customHeight="1" x14ac:dyDescent="0.3">
      <c r="A247" s="19"/>
      <c r="B247" s="19"/>
      <c r="C247" s="19"/>
      <c r="D247" s="19"/>
      <c r="E247" s="19"/>
      <c r="F247" s="19"/>
      <c r="G247" s="19"/>
      <c r="H247" s="19"/>
      <c r="I247" s="20"/>
      <c r="J247" s="244"/>
      <c r="K247" s="19"/>
      <c r="L247" s="19"/>
      <c r="M247" s="19"/>
      <c r="N247" s="19"/>
      <c r="O247" s="19"/>
      <c r="P247" s="19"/>
      <c r="Q247" s="19"/>
      <c r="R247" s="19"/>
      <c r="S247" s="19"/>
      <c r="T247" s="19"/>
      <c r="U247" s="19"/>
      <c r="V247" s="19"/>
      <c r="W247" s="19"/>
    </row>
    <row r="248" spans="1:23" ht="14.25" customHeight="1" x14ac:dyDescent="0.3">
      <c r="A248" s="19"/>
      <c r="B248" s="19"/>
      <c r="C248" s="19"/>
      <c r="D248" s="19"/>
      <c r="E248" s="19"/>
      <c r="F248" s="19"/>
      <c r="G248" s="19"/>
      <c r="H248" s="19"/>
      <c r="I248" s="20"/>
      <c r="J248" s="244"/>
      <c r="K248" s="19"/>
      <c r="L248" s="19"/>
      <c r="M248" s="19"/>
      <c r="N248" s="19"/>
      <c r="O248" s="19"/>
      <c r="P248" s="19"/>
      <c r="Q248" s="19"/>
      <c r="R248" s="19"/>
      <c r="S248" s="19"/>
      <c r="T248" s="19"/>
      <c r="U248" s="19"/>
      <c r="V248" s="19"/>
      <c r="W248" s="19"/>
    </row>
    <row r="249" spans="1:23" ht="14.25" customHeight="1" x14ac:dyDescent="0.3">
      <c r="A249" s="19"/>
      <c r="B249" s="19"/>
      <c r="C249" s="19"/>
      <c r="D249" s="19"/>
      <c r="E249" s="19"/>
      <c r="F249" s="19"/>
      <c r="G249" s="19"/>
      <c r="H249" s="19"/>
      <c r="I249" s="20"/>
      <c r="J249" s="244"/>
      <c r="K249" s="19"/>
      <c r="L249" s="19"/>
      <c r="M249" s="19"/>
      <c r="N249" s="19"/>
      <c r="O249" s="19"/>
      <c r="P249" s="19"/>
      <c r="Q249" s="19"/>
      <c r="R249" s="19"/>
      <c r="S249" s="19"/>
      <c r="T249" s="19"/>
      <c r="U249" s="19"/>
      <c r="V249" s="19"/>
      <c r="W249" s="19"/>
    </row>
    <row r="250" spans="1:23" ht="14.25" customHeight="1" x14ac:dyDescent="0.3">
      <c r="A250" s="19"/>
      <c r="B250" s="19"/>
      <c r="C250" s="19"/>
      <c r="D250" s="19"/>
      <c r="E250" s="19"/>
      <c r="F250" s="19"/>
      <c r="G250" s="19"/>
      <c r="H250" s="19"/>
      <c r="I250" s="20"/>
      <c r="J250" s="244"/>
      <c r="K250" s="19"/>
      <c r="L250" s="19"/>
      <c r="M250" s="19"/>
      <c r="N250" s="19"/>
      <c r="O250" s="19"/>
      <c r="P250" s="19"/>
      <c r="Q250" s="19"/>
      <c r="R250" s="19"/>
      <c r="S250" s="19"/>
      <c r="T250" s="19"/>
      <c r="U250" s="19"/>
      <c r="V250" s="19"/>
      <c r="W250" s="19"/>
    </row>
    <row r="251" spans="1:23" ht="14.25" customHeight="1" x14ac:dyDescent="0.3">
      <c r="A251" s="19"/>
      <c r="B251" s="19"/>
      <c r="C251" s="19"/>
      <c r="D251" s="19"/>
      <c r="E251" s="19"/>
      <c r="F251" s="19"/>
      <c r="G251" s="19"/>
      <c r="H251" s="19"/>
      <c r="I251" s="20"/>
      <c r="J251" s="244"/>
      <c r="K251" s="19"/>
      <c r="L251" s="19"/>
      <c r="M251" s="19"/>
      <c r="N251" s="19"/>
      <c r="O251" s="19"/>
      <c r="P251" s="19"/>
      <c r="Q251" s="19"/>
      <c r="R251" s="19"/>
      <c r="S251" s="19"/>
      <c r="T251" s="19"/>
      <c r="U251" s="19"/>
      <c r="V251" s="19"/>
      <c r="W251" s="19"/>
    </row>
    <row r="252" spans="1:23" ht="14.25" customHeight="1" x14ac:dyDescent="0.3">
      <c r="A252" s="19"/>
      <c r="B252" s="19"/>
      <c r="C252" s="19"/>
      <c r="D252" s="19"/>
      <c r="E252" s="19"/>
      <c r="F252" s="19"/>
      <c r="G252" s="19"/>
      <c r="H252" s="19"/>
      <c r="I252" s="20"/>
      <c r="J252" s="244"/>
      <c r="K252" s="19"/>
      <c r="L252" s="19"/>
      <c r="M252" s="19"/>
      <c r="N252" s="19"/>
      <c r="O252" s="19"/>
      <c r="P252" s="19"/>
      <c r="Q252" s="19"/>
      <c r="R252" s="19"/>
      <c r="S252" s="19"/>
      <c r="T252" s="19"/>
      <c r="U252" s="19"/>
      <c r="V252" s="19"/>
      <c r="W252" s="19"/>
    </row>
    <row r="253" spans="1:23" ht="14.25" customHeight="1" x14ac:dyDescent="0.3">
      <c r="A253" s="19"/>
      <c r="B253" s="19"/>
      <c r="C253" s="19"/>
      <c r="D253" s="19"/>
      <c r="E253" s="19"/>
      <c r="F253" s="19"/>
      <c r="G253" s="19"/>
      <c r="H253" s="19"/>
      <c r="I253" s="20"/>
      <c r="J253" s="244"/>
      <c r="K253" s="19"/>
      <c r="L253" s="19"/>
      <c r="M253" s="19"/>
      <c r="N253" s="19"/>
      <c r="O253" s="19"/>
      <c r="P253" s="19"/>
      <c r="Q253" s="19"/>
      <c r="R253" s="19"/>
      <c r="S253" s="19"/>
      <c r="T253" s="19"/>
      <c r="U253" s="19"/>
      <c r="V253" s="19"/>
      <c r="W253" s="19"/>
    </row>
    <row r="254" spans="1:23" ht="14.25" customHeight="1" x14ac:dyDescent="0.3">
      <c r="A254" s="19"/>
      <c r="B254" s="19"/>
      <c r="C254" s="19"/>
      <c r="D254" s="19"/>
      <c r="E254" s="19"/>
      <c r="F254" s="19"/>
      <c r="G254" s="19"/>
      <c r="H254" s="19"/>
      <c r="I254" s="20"/>
      <c r="J254" s="244"/>
      <c r="K254" s="19"/>
      <c r="L254" s="19"/>
      <c r="M254" s="19"/>
      <c r="N254" s="19"/>
      <c r="O254" s="19"/>
      <c r="P254" s="19"/>
      <c r="Q254" s="19"/>
      <c r="R254" s="19"/>
      <c r="S254" s="19"/>
      <c r="T254" s="19"/>
      <c r="U254" s="19"/>
      <c r="V254" s="19"/>
      <c r="W254" s="19"/>
    </row>
    <row r="255" spans="1:23" ht="14.25" customHeight="1" x14ac:dyDescent="0.3">
      <c r="A255" s="19"/>
      <c r="B255" s="19"/>
      <c r="C255" s="19"/>
      <c r="D255" s="19"/>
      <c r="E255" s="19"/>
      <c r="F255" s="19"/>
      <c r="G255" s="19"/>
      <c r="H255" s="19"/>
      <c r="I255" s="20"/>
      <c r="J255" s="244"/>
      <c r="K255" s="19"/>
      <c r="L255" s="19"/>
      <c r="M255" s="19"/>
      <c r="N255" s="19"/>
      <c r="O255" s="19"/>
      <c r="P255" s="19"/>
      <c r="Q255" s="19"/>
      <c r="R255" s="19"/>
      <c r="S255" s="19"/>
      <c r="T255" s="19"/>
      <c r="U255" s="19"/>
      <c r="V255" s="19"/>
      <c r="W255" s="19"/>
    </row>
    <row r="256" spans="1:23" ht="14.25" customHeight="1" x14ac:dyDescent="0.3">
      <c r="A256" s="19"/>
      <c r="B256" s="19"/>
      <c r="C256" s="19"/>
      <c r="D256" s="19"/>
      <c r="E256" s="19"/>
      <c r="F256" s="19"/>
      <c r="G256" s="19"/>
      <c r="H256" s="19"/>
      <c r="I256" s="20"/>
      <c r="J256" s="244"/>
      <c r="K256" s="19"/>
      <c r="L256" s="19"/>
      <c r="M256" s="19"/>
      <c r="N256" s="19"/>
      <c r="O256" s="19"/>
      <c r="P256" s="19"/>
      <c r="Q256" s="19"/>
      <c r="R256" s="19"/>
      <c r="S256" s="19"/>
      <c r="T256" s="19"/>
      <c r="U256" s="19"/>
      <c r="V256" s="19"/>
      <c r="W256" s="19"/>
    </row>
    <row r="257" spans="1:23" ht="14.25" customHeight="1" x14ac:dyDescent="0.3">
      <c r="A257" s="19"/>
      <c r="B257" s="19"/>
      <c r="C257" s="19"/>
      <c r="D257" s="19"/>
      <c r="E257" s="19"/>
      <c r="F257" s="19"/>
      <c r="G257" s="19"/>
      <c r="H257" s="19"/>
      <c r="I257" s="20"/>
      <c r="J257" s="244"/>
      <c r="K257" s="19"/>
      <c r="L257" s="19"/>
      <c r="M257" s="19"/>
      <c r="N257" s="19"/>
      <c r="O257" s="19"/>
      <c r="P257" s="19"/>
      <c r="Q257" s="19"/>
      <c r="R257" s="19"/>
      <c r="S257" s="19"/>
      <c r="T257" s="19"/>
      <c r="U257" s="19"/>
      <c r="V257" s="19"/>
      <c r="W257" s="19"/>
    </row>
    <row r="258" spans="1:23" ht="14.25" customHeight="1" x14ac:dyDescent="0.3">
      <c r="A258" s="19"/>
      <c r="B258" s="19"/>
      <c r="C258" s="19"/>
      <c r="D258" s="19"/>
      <c r="E258" s="19"/>
      <c r="F258" s="19"/>
      <c r="G258" s="19"/>
      <c r="H258" s="19"/>
      <c r="I258" s="20"/>
      <c r="J258" s="244"/>
      <c r="K258" s="19"/>
      <c r="L258" s="19"/>
      <c r="M258" s="19"/>
      <c r="N258" s="19"/>
      <c r="O258" s="19"/>
      <c r="P258" s="19"/>
      <c r="Q258" s="19"/>
      <c r="R258" s="19"/>
      <c r="S258" s="19"/>
      <c r="T258" s="19"/>
      <c r="U258" s="19"/>
      <c r="V258" s="19"/>
      <c r="W258" s="19"/>
    </row>
    <row r="259" spans="1:23" ht="14.25" customHeight="1" x14ac:dyDescent="0.3">
      <c r="A259" s="19"/>
      <c r="B259" s="19"/>
      <c r="C259" s="19"/>
      <c r="D259" s="19"/>
      <c r="E259" s="19"/>
      <c r="F259" s="19"/>
      <c r="G259" s="19"/>
      <c r="H259" s="19"/>
      <c r="I259" s="20"/>
      <c r="J259" s="244"/>
      <c r="K259" s="19"/>
      <c r="L259" s="19"/>
      <c r="M259" s="19"/>
      <c r="N259" s="19"/>
      <c r="O259" s="19"/>
      <c r="P259" s="19"/>
      <c r="Q259" s="19"/>
      <c r="R259" s="19"/>
      <c r="S259" s="19"/>
      <c r="T259" s="19"/>
      <c r="U259" s="19"/>
      <c r="V259" s="19"/>
      <c r="W259" s="19"/>
    </row>
    <row r="260" spans="1:23" ht="14.25" customHeight="1" x14ac:dyDescent="0.3">
      <c r="A260" s="19"/>
      <c r="B260" s="19"/>
      <c r="C260" s="19"/>
      <c r="D260" s="19"/>
      <c r="E260" s="19"/>
      <c r="F260" s="19"/>
      <c r="G260" s="19"/>
      <c r="H260" s="19"/>
      <c r="I260" s="20"/>
      <c r="J260" s="244"/>
      <c r="K260" s="19"/>
      <c r="L260" s="19"/>
      <c r="M260" s="19"/>
      <c r="N260" s="19"/>
      <c r="O260" s="19"/>
      <c r="P260" s="19"/>
      <c r="Q260" s="19"/>
      <c r="R260" s="19"/>
      <c r="S260" s="19"/>
      <c r="T260" s="19"/>
      <c r="U260" s="19"/>
      <c r="V260" s="19"/>
      <c r="W260" s="19"/>
    </row>
    <row r="261" spans="1:23" ht="14.25" customHeight="1" x14ac:dyDescent="0.3">
      <c r="A261" s="19"/>
      <c r="B261" s="19"/>
      <c r="C261" s="19"/>
      <c r="D261" s="19"/>
      <c r="E261" s="19"/>
      <c r="F261" s="19"/>
      <c r="G261" s="19"/>
      <c r="H261" s="19"/>
      <c r="I261" s="20"/>
      <c r="J261" s="244"/>
      <c r="K261" s="19"/>
      <c r="L261" s="19"/>
      <c r="M261" s="19"/>
      <c r="N261" s="19"/>
      <c r="O261" s="19"/>
      <c r="P261" s="19"/>
      <c r="Q261" s="19"/>
      <c r="R261" s="19"/>
      <c r="S261" s="19"/>
      <c r="T261" s="19"/>
      <c r="U261" s="19"/>
      <c r="V261" s="19"/>
      <c r="W261" s="19"/>
    </row>
    <row r="262" spans="1:23" ht="14.25" customHeight="1" x14ac:dyDescent="0.3">
      <c r="A262" s="19"/>
      <c r="B262" s="19"/>
      <c r="C262" s="19"/>
      <c r="D262" s="19"/>
      <c r="E262" s="19"/>
      <c r="F262" s="19"/>
      <c r="G262" s="19"/>
      <c r="H262" s="19"/>
      <c r="I262" s="20"/>
      <c r="J262" s="244"/>
      <c r="K262" s="19"/>
      <c r="L262" s="19"/>
      <c r="M262" s="19"/>
      <c r="N262" s="19"/>
      <c r="O262" s="19"/>
      <c r="P262" s="19"/>
      <c r="Q262" s="19"/>
      <c r="R262" s="19"/>
      <c r="S262" s="19"/>
      <c r="T262" s="19"/>
      <c r="U262" s="19"/>
      <c r="V262" s="19"/>
      <c r="W262" s="19"/>
    </row>
    <row r="263" spans="1:23" ht="14.25" customHeight="1" x14ac:dyDescent="0.3">
      <c r="A263" s="19"/>
      <c r="B263" s="19"/>
      <c r="C263" s="19"/>
      <c r="D263" s="19"/>
      <c r="E263" s="19"/>
      <c r="F263" s="19"/>
      <c r="G263" s="19"/>
      <c r="H263" s="19"/>
      <c r="I263" s="20"/>
      <c r="J263" s="244"/>
      <c r="K263" s="19"/>
      <c r="L263" s="19"/>
      <c r="M263" s="19"/>
      <c r="N263" s="19"/>
      <c r="O263" s="19"/>
      <c r="P263" s="19"/>
      <c r="Q263" s="19"/>
      <c r="R263" s="19"/>
      <c r="S263" s="19"/>
      <c r="T263" s="19"/>
      <c r="U263" s="19"/>
      <c r="V263" s="19"/>
      <c r="W263" s="19"/>
    </row>
    <row r="264" spans="1:23" ht="14.25" customHeight="1" x14ac:dyDescent="0.3">
      <c r="A264" s="19"/>
      <c r="B264" s="19"/>
      <c r="C264" s="19"/>
      <c r="D264" s="19"/>
      <c r="E264" s="19"/>
      <c r="F264" s="19"/>
      <c r="G264" s="19"/>
      <c r="H264" s="19"/>
      <c r="I264" s="20"/>
      <c r="J264" s="244"/>
      <c r="K264" s="19"/>
      <c r="L264" s="19"/>
      <c r="M264" s="19"/>
      <c r="N264" s="19"/>
      <c r="O264" s="19"/>
      <c r="P264" s="19"/>
      <c r="Q264" s="19"/>
      <c r="R264" s="19"/>
      <c r="S264" s="19"/>
      <c r="T264" s="19"/>
      <c r="U264" s="19"/>
      <c r="V264" s="19"/>
      <c r="W264" s="19"/>
    </row>
    <row r="265" spans="1:23" ht="14.25" customHeight="1" x14ac:dyDescent="0.3">
      <c r="A265" s="19"/>
      <c r="B265" s="19"/>
      <c r="C265" s="19"/>
      <c r="D265" s="19"/>
      <c r="E265" s="19"/>
      <c r="F265" s="19"/>
      <c r="G265" s="19"/>
      <c r="H265" s="19"/>
      <c r="I265" s="20"/>
      <c r="J265" s="244"/>
      <c r="K265" s="19"/>
      <c r="L265" s="19"/>
      <c r="M265" s="19"/>
      <c r="N265" s="19"/>
      <c r="O265" s="19"/>
      <c r="P265" s="19"/>
      <c r="Q265" s="19"/>
      <c r="R265" s="19"/>
      <c r="S265" s="19"/>
      <c r="T265" s="19"/>
      <c r="U265" s="19"/>
      <c r="V265" s="19"/>
      <c r="W265" s="19"/>
    </row>
    <row r="266" spans="1:23" ht="14.25" customHeight="1" x14ac:dyDescent="0.3">
      <c r="A266" s="19"/>
      <c r="B266" s="19"/>
      <c r="C266" s="19"/>
      <c r="D266" s="19"/>
      <c r="E266" s="19"/>
      <c r="F266" s="19"/>
      <c r="G266" s="19"/>
      <c r="H266" s="19"/>
      <c r="I266" s="20"/>
      <c r="J266" s="244"/>
      <c r="K266" s="19"/>
      <c r="L266" s="19"/>
      <c r="M266" s="19"/>
      <c r="N266" s="19"/>
      <c r="O266" s="19"/>
      <c r="P266" s="19"/>
      <c r="Q266" s="19"/>
      <c r="R266" s="19"/>
      <c r="S266" s="19"/>
      <c r="T266" s="19"/>
      <c r="U266" s="19"/>
      <c r="V266" s="19"/>
      <c r="W266" s="19"/>
    </row>
    <row r="267" spans="1:23" ht="14.25" customHeight="1" x14ac:dyDescent="0.3">
      <c r="A267" s="19"/>
      <c r="B267" s="19"/>
      <c r="C267" s="19"/>
      <c r="D267" s="19"/>
      <c r="E267" s="19"/>
      <c r="F267" s="19"/>
      <c r="G267" s="19"/>
      <c r="H267" s="19"/>
      <c r="I267" s="20"/>
      <c r="J267" s="244"/>
      <c r="K267" s="19"/>
      <c r="L267" s="19"/>
      <c r="M267" s="19"/>
      <c r="N267" s="19"/>
      <c r="O267" s="19"/>
      <c r="P267" s="19"/>
      <c r="Q267" s="19"/>
      <c r="R267" s="19"/>
      <c r="S267" s="19"/>
      <c r="T267" s="19"/>
      <c r="U267" s="19"/>
      <c r="V267" s="19"/>
      <c r="W267" s="19"/>
    </row>
    <row r="268" spans="1:23" ht="14.25" customHeight="1" x14ac:dyDescent="0.3">
      <c r="A268" s="19"/>
      <c r="B268" s="19"/>
      <c r="C268" s="19"/>
      <c r="D268" s="19"/>
      <c r="E268" s="19"/>
      <c r="F268" s="19"/>
      <c r="G268" s="19"/>
      <c r="H268" s="19"/>
      <c r="I268" s="20"/>
      <c r="J268" s="244"/>
      <c r="K268" s="19"/>
      <c r="L268" s="19"/>
      <c r="M268" s="19"/>
      <c r="N268" s="19"/>
      <c r="O268" s="19"/>
      <c r="P268" s="19"/>
      <c r="Q268" s="19"/>
      <c r="R268" s="19"/>
      <c r="S268" s="19"/>
      <c r="T268" s="19"/>
      <c r="U268" s="19"/>
      <c r="V268" s="19"/>
      <c r="W268" s="19"/>
    </row>
    <row r="269" spans="1:23" ht="14.25" customHeight="1" x14ac:dyDescent="0.3">
      <c r="A269" s="19"/>
      <c r="B269" s="19"/>
      <c r="C269" s="19"/>
      <c r="D269" s="19"/>
      <c r="E269" s="19"/>
      <c r="F269" s="19"/>
      <c r="G269" s="19"/>
      <c r="H269" s="19"/>
      <c r="I269" s="20"/>
      <c r="J269" s="244"/>
      <c r="K269" s="19"/>
      <c r="L269" s="19"/>
      <c r="M269" s="19"/>
      <c r="N269" s="19"/>
      <c r="O269" s="19"/>
      <c r="P269" s="19"/>
      <c r="Q269" s="19"/>
      <c r="R269" s="19"/>
      <c r="S269" s="19"/>
      <c r="T269" s="19"/>
      <c r="U269" s="19"/>
      <c r="V269" s="19"/>
      <c r="W269" s="19"/>
    </row>
    <row r="270" spans="1:23" ht="14.25" customHeight="1" x14ac:dyDescent="0.3">
      <c r="A270" s="19"/>
      <c r="B270" s="19"/>
      <c r="C270" s="19"/>
      <c r="D270" s="19"/>
      <c r="E270" s="19"/>
      <c r="F270" s="19"/>
      <c r="G270" s="19"/>
      <c r="H270" s="19"/>
      <c r="I270" s="20"/>
      <c r="J270" s="244"/>
      <c r="K270" s="19"/>
      <c r="L270" s="19"/>
      <c r="M270" s="19"/>
      <c r="N270" s="19"/>
      <c r="O270" s="19"/>
      <c r="P270" s="19"/>
      <c r="Q270" s="19"/>
      <c r="R270" s="19"/>
      <c r="S270" s="19"/>
      <c r="T270" s="19"/>
      <c r="U270" s="19"/>
      <c r="V270" s="19"/>
      <c r="W270" s="19"/>
    </row>
    <row r="271" spans="1:23" ht="14.25" customHeight="1" x14ac:dyDescent="0.3">
      <c r="A271" s="19"/>
      <c r="B271" s="19"/>
      <c r="C271" s="19"/>
      <c r="D271" s="19"/>
      <c r="E271" s="19"/>
      <c r="F271" s="19"/>
      <c r="G271" s="19"/>
      <c r="H271" s="19"/>
      <c r="I271" s="20"/>
      <c r="J271" s="244"/>
      <c r="K271" s="19"/>
      <c r="L271" s="19"/>
      <c r="M271" s="19"/>
      <c r="N271" s="19"/>
      <c r="O271" s="19"/>
      <c r="P271" s="19"/>
      <c r="Q271" s="19"/>
      <c r="R271" s="19"/>
      <c r="S271" s="19"/>
      <c r="T271" s="19"/>
      <c r="U271" s="19"/>
      <c r="V271" s="19"/>
      <c r="W271" s="19"/>
    </row>
    <row r="272" spans="1:23" ht="14.25" customHeight="1" x14ac:dyDescent="0.3">
      <c r="A272" s="19"/>
      <c r="B272" s="19"/>
      <c r="C272" s="19"/>
      <c r="D272" s="19"/>
      <c r="E272" s="19"/>
      <c r="F272" s="19"/>
      <c r="G272" s="19"/>
      <c r="H272" s="19"/>
      <c r="I272" s="20"/>
      <c r="J272" s="244"/>
      <c r="K272" s="19"/>
      <c r="L272" s="19"/>
      <c r="M272" s="19"/>
      <c r="N272" s="19"/>
      <c r="O272" s="19"/>
      <c r="P272" s="19"/>
      <c r="Q272" s="19"/>
      <c r="R272" s="19"/>
      <c r="S272" s="19"/>
      <c r="T272" s="19"/>
      <c r="U272" s="19"/>
      <c r="V272" s="19"/>
      <c r="W272" s="19"/>
    </row>
    <row r="273" spans="1:23" ht="14.25" customHeight="1" x14ac:dyDescent="0.3">
      <c r="A273" s="19"/>
      <c r="B273" s="19"/>
      <c r="C273" s="19"/>
      <c r="D273" s="19"/>
      <c r="E273" s="19"/>
      <c r="F273" s="19"/>
      <c r="G273" s="19"/>
      <c r="H273" s="19"/>
      <c r="I273" s="20"/>
      <c r="J273" s="244"/>
      <c r="K273" s="19"/>
      <c r="L273" s="19"/>
      <c r="M273" s="19"/>
      <c r="N273" s="19"/>
      <c r="O273" s="19"/>
      <c r="P273" s="19"/>
      <c r="Q273" s="19"/>
      <c r="R273" s="19"/>
      <c r="S273" s="19"/>
      <c r="T273" s="19"/>
      <c r="U273" s="19"/>
      <c r="V273" s="19"/>
      <c r="W273" s="19"/>
    </row>
    <row r="274" spans="1:23" ht="14.25" customHeight="1" x14ac:dyDescent="0.3">
      <c r="A274" s="19"/>
      <c r="B274" s="19"/>
      <c r="C274" s="19"/>
      <c r="D274" s="19"/>
      <c r="E274" s="19"/>
      <c r="F274" s="19"/>
      <c r="G274" s="19"/>
      <c r="H274" s="19"/>
      <c r="I274" s="20"/>
      <c r="J274" s="244"/>
      <c r="K274" s="19"/>
      <c r="L274" s="19"/>
      <c r="M274" s="19"/>
      <c r="N274" s="19"/>
      <c r="O274" s="19"/>
      <c r="P274" s="19"/>
      <c r="Q274" s="19"/>
      <c r="R274" s="19"/>
      <c r="S274" s="19"/>
      <c r="T274" s="19"/>
      <c r="U274" s="19"/>
      <c r="V274" s="19"/>
      <c r="W274" s="19"/>
    </row>
    <row r="275" spans="1:23" ht="14.25" customHeight="1" x14ac:dyDescent="0.3">
      <c r="A275" s="19"/>
      <c r="B275" s="19"/>
      <c r="C275" s="19"/>
      <c r="D275" s="19"/>
      <c r="E275" s="19"/>
      <c r="F275" s="19"/>
      <c r="G275" s="19"/>
      <c r="H275" s="19"/>
      <c r="I275" s="20"/>
      <c r="J275" s="244"/>
      <c r="K275" s="19"/>
      <c r="L275" s="19"/>
      <c r="M275" s="19"/>
      <c r="N275" s="19"/>
      <c r="O275" s="19"/>
      <c r="P275" s="19"/>
      <c r="Q275" s="19"/>
      <c r="R275" s="19"/>
      <c r="S275" s="19"/>
      <c r="T275" s="19"/>
      <c r="U275" s="19"/>
      <c r="V275" s="19"/>
      <c r="W275" s="19"/>
    </row>
    <row r="276" spans="1:23" ht="14.25" customHeight="1" x14ac:dyDescent="0.3">
      <c r="A276" s="19"/>
      <c r="B276" s="19"/>
      <c r="C276" s="19"/>
      <c r="D276" s="19"/>
      <c r="E276" s="19"/>
      <c r="F276" s="19"/>
      <c r="G276" s="19"/>
      <c r="H276" s="19"/>
      <c r="I276" s="20"/>
      <c r="J276" s="244"/>
      <c r="K276" s="19"/>
      <c r="L276" s="19"/>
      <c r="M276" s="19"/>
      <c r="N276" s="19"/>
      <c r="O276" s="19"/>
      <c r="P276" s="19"/>
      <c r="Q276" s="19"/>
      <c r="R276" s="19"/>
      <c r="S276" s="19"/>
      <c r="T276" s="19"/>
      <c r="U276" s="19"/>
      <c r="V276" s="19"/>
      <c r="W276" s="19"/>
    </row>
    <row r="277" spans="1:23" ht="14.25" customHeight="1" x14ac:dyDescent="0.3">
      <c r="A277" s="19"/>
      <c r="B277" s="19"/>
      <c r="C277" s="19"/>
      <c r="D277" s="19"/>
      <c r="E277" s="19"/>
      <c r="F277" s="19"/>
      <c r="G277" s="19"/>
      <c r="H277" s="19"/>
      <c r="I277" s="20"/>
      <c r="J277" s="244"/>
      <c r="K277" s="19"/>
      <c r="L277" s="19"/>
      <c r="M277" s="19"/>
      <c r="N277" s="19"/>
      <c r="O277" s="19"/>
      <c r="P277" s="19"/>
      <c r="Q277" s="19"/>
      <c r="R277" s="19"/>
      <c r="S277" s="19"/>
      <c r="T277" s="19"/>
      <c r="U277" s="19"/>
      <c r="V277" s="19"/>
      <c r="W277" s="19"/>
    </row>
    <row r="278" spans="1:23" ht="14.25" customHeight="1" x14ac:dyDescent="0.3">
      <c r="A278" s="19"/>
      <c r="B278" s="19"/>
      <c r="C278" s="19"/>
      <c r="D278" s="19"/>
      <c r="E278" s="19"/>
      <c r="F278" s="19"/>
      <c r="G278" s="19"/>
      <c r="H278" s="19"/>
      <c r="I278" s="20"/>
      <c r="J278" s="244"/>
      <c r="K278" s="19"/>
      <c r="L278" s="19"/>
      <c r="M278" s="19"/>
      <c r="N278" s="19"/>
      <c r="O278" s="19"/>
      <c r="P278" s="19"/>
      <c r="Q278" s="19"/>
      <c r="R278" s="19"/>
      <c r="S278" s="19"/>
      <c r="T278" s="19"/>
      <c r="U278" s="19"/>
      <c r="V278" s="19"/>
      <c r="W278" s="19"/>
    </row>
    <row r="279" spans="1:23" ht="14.25" customHeight="1" x14ac:dyDescent="0.3">
      <c r="A279" s="19"/>
      <c r="B279" s="19"/>
      <c r="C279" s="19"/>
      <c r="D279" s="19"/>
      <c r="E279" s="19"/>
      <c r="F279" s="19"/>
      <c r="G279" s="19"/>
      <c r="H279" s="19"/>
      <c r="I279" s="20"/>
      <c r="J279" s="244"/>
      <c r="K279" s="19"/>
      <c r="L279" s="19"/>
      <c r="M279" s="19"/>
      <c r="N279" s="19"/>
      <c r="O279" s="19"/>
      <c r="P279" s="19"/>
      <c r="Q279" s="19"/>
      <c r="R279" s="19"/>
      <c r="S279" s="19"/>
      <c r="T279" s="19"/>
      <c r="U279" s="19"/>
      <c r="V279" s="19"/>
      <c r="W279" s="19"/>
    </row>
    <row r="280" spans="1:23" ht="14.25" customHeight="1" x14ac:dyDescent="0.3">
      <c r="A280" s="19"/>
      <c r="B280" s="19"/>
      <c r="C280" s="19"/>
      <c r="D280" s="19"/>
      <c r="E280" s="19"/>
      <c r="F280" s="19"/>
      <c r="G280" s="19"/>
      <c r="H280" s="19"/>
      <c r="I280" s="20"/>
      <c r="J280" s="244"/>
      <c r="K280" s="19"/>
      <c r="L280" s="19"/>
      <c r="M280" s="19"/>
      <c r="N280" s="19"/>
      <c r="O280" s="19"/>
      <c r="P280" s="19"/>
      <c r="Q280" s="19"/>
      <c r="R280" s="19"/>
      <c r="S280" s="19"/>
      <c r="T280" s="19"/>
      <c r="U280" s="19"/>
      <c r="V280" s="19"/>
      <c r="W280" s="19"/>
    </row>
    <row r="281" spans="1:23" ht="14.25" customHeight="1" x14ac:dyDescent="0.3">
      <c r="A281" s="19"/>
      <c r="B281" s="19"/>
      <c r="C281" s="19"/>
      <c r="D281" s="19"/>
      <c r="E281" s="19"/>
      <c r="F281" s="19"/>
      <c r="G281" s="19"/>
      <c r="H281" s="19"/>
      <c r="I281" s="20"/>
      <c r="J281" s="244"/>
      <c r="K281" s="19"/>
      <c r="L281" s="19"/>
      <c r="M281" s="19"/>
      <c r="N281" s="19"/>
      <c r="O281" s="19"/>
      <c r="P281" s="19"/>
      <c r="Q281" s="19"/>
      <c r="R281" s="19"/>
      <c r="S281" s="19"/>
      <c r="T281" s="19"/>
      <c r="U281" s="19"/>
      <c r="V281" s="19"/>
      <c r="W281" s="19"/>
    </row>
    <row r="282" spans="1:23" ht="14.25" customHeight="1" x14ac:dyDescent="0.3">
      <c r="A282" s="19"/>
      <c r="B282" s="19"/>
      <c r="C282" s="19"/>
      <c r="D282" s="19"/>
      <c r="E282" s="19"/>
      <c r="F282" s="19"/>
      <c r="G282" s="19"/>
      <c r="H282" s="19"/>
      <c r="I282" s="20"/>
      <c r="J282" s="244"/>
      <c r="K282" s="19"/>
      <c r="L282" s="19"/>
      <c r="M282" s="19"/>
      <c r="N282" s="19"/>
      <c r="O282" s="19"/>
      <c r="P282" s="19"/>
      <c r="Q282" s="19"/>
      <c r="R282" s="19"/>
      <c r="S282" s="19"/>
      <c r="T282" s="19"/>
      <c r="U282" s="19"/>
      <c r="V282" s="19"/>
      <c r="W282" s="19"/>
    </row>
    <row r="283" spans="1:23" ht="14.25" customHeight="1" x14ac:dyDescent="0.3">
      <c r="A283" s="19"/>
      <c r="B283" s="19"/>
      <c r="C283" s="19"/>
      <c r="D283" s="19"/>
      <c r="E283" s="19"/>
      <c r="F283" s="19"/>
      <c r="G283" s="19"/>
      <c r="H283" s="19"/>
      <c r="I283" s="20"/>
      <c r="J283" s="244"/>
      <c r="K283" s="19"/>
      <c r="L283" s="19"/>
      <c r="M283" s="19"/>
      <c r="N283" s="19"/>
      <c r="O283" s="19"/>
      <c r="P283" s="19"/>
      <c r="Q283" s="19"/>
      <c r="R283" s="19"/>
      <c r="S283" s="19"/>
      <c r="T283" s="19"/>
      <c r="U283" s="19"/>
      <c r="V283" s="19"/>
      <c r="W283" s="19"/>
    </row>
    <row r="284" spans="1:23" ht="14.25" customHeight="1" x14ac:dyDescent="0.3">
      <c r="A284" s="19"/>
      <c r="B284" s="19"/>
      <c r="C284" s="19"/>
      <c r="D284" s="19"/>
      <c r="E284" s="19"/>
      <c r="F284" s="19"/>
      <c r="G284" s="19"/>
      <c r="H284" s="19"/>
      <c r="I284" s="20"/>
      <c r="J284" s="244"/>
      <c r="K284" s="19"/>
      <c r="L284" s="19"/>
      <c r="M284" s="19"/>
      <c r="N284" s="19"/>
      <c r="O284" s="19"/>
      <c r="P284" s="19"/>
      <c r="Q284" s="19"/>
      <c r="R284" s="19"/>
      <c r="S284" s="19"/>
      <c r="T284" s="19"/>
      <c r="U284" s="19"/>
      <c r="V284" s="19"/>
      <c r="W284" s="19"/>
    </row>
    <row r="285" spans="1:23" ht="14.25" customHeight="1" x14ac:dyDescent="0.3">
      <c r="A285" s="19"/>
      <c r="B285" s="19"/>
      <c r="C285" s="19"/>
      <c r="D285" s="19"/>
      <c r="E285" s="19"/>
      <c r="F285" s="19"/>
      <c r="G285" s="19"/>
      <c r="H285" s="19"/>
      <c r="I285" s="20"/>
      <c r="J285" s="244"/>
      <c r="K285" s="19"/>
      <c r="L285" s="19"/>
      <c r="M285" s="19"/>
      <c r="N285" s="19"/>
      <c r="O285" s="19"/>
      <c r="P285" s="19"/>
      <c r="Q285" s="19"/>
      <c r="R285" s="19"/>
      <c r="S285" s="19"/>
      <c r="T285" s="19"/>
      <c r="U285" s="19"/>
      <c r="V285" s="19"/>
      <c r="W285" s="19"/>
    </row>
    <row r="286" spans="1:23" ht="14.25" customHeight="1" x14ac:dyDescent="0.3">
      <c r="A286" s="19"/>
      <c r="B286" s="19"/>
      <c r="C286" s="19"/>
      <c r="D286" s="19"/>
      <c r="E286" s="19"/>
      <c r="F286" s="19"/>
      <c r="G286" s="19"/>
      <c r="H286" s="19"/>
      <c r="I286" s="20"/>
      <c r="J286" s="244"/>
      <c r="K286" s="19"/>
      <c r="L286" s="19"/>
      <c r="M286" s="19"/>
      <c r="N286" s="19"/>
      <c r="O286" s="19"/>
      <c r="P286" s="19"/>
      <c r="Q286" s="19"/>
      <c r="R286" s="19"/>
      <c r="S286" s="19"/>
      <c r="T286" s="19"/>
      <c r="U286" s="19"/>
      <c r="V286" s="19"/>
      <c r="W286" s="19"/>
    </row>
    <row r="287" spans="1:23" ht="14.25" customHeight="1" x14ac:dyDescent="0.3">
      <c r="A287" s="19"/>
      <c r="B287" s="19"/>
      <c r="C287" s="19"/>
      <c r="D287" s="19"/>
      <c r="E287" s="19"/>
      <c r="F287" s="19"/>
      <c r="G287" s="19"/>
      <c r="H287" s="19"/>
      <c r="I287" s="20"/>
      <c r="J287" s="244"/>
      <c r="K287" s="19"/>
      <c r="L287" s="19"/>
      <c r="M287" s="19"/>
      <c r="N287" s="19"/>
      <c r="O287" s="19"/>
      <c r="P287" s="19"/>
      <c r="Q287" s="19"/>
      <c r="R287" s="19"/>
      <c r="S287" s="19"/>
      <c r="T287" s="19"/>
      <c r="U287" s="19"/>
      <c r="V287" s="19"/>
      <c r="W287" s="19"/>
    </row>
    <row r="288" spans="1:23" ht="14.25" customHeight="1" x14ac:dyDescent="0.3">
      <c r="A288" s="19"/>
      <c r="B288" s="19"/>
      <c r="C288" s="19"/>
      <c r="D288" s="19"/>
      <c r="E288" s="19"/>
      <c r="F288" s="19"/>
      <c r="G288" s="19"/>
      <c r="H288" s="19"/>
      <c r="I288" s="20"/>
      <c r="J288" s="244"/>
      <c r="K288" s="19"/>
      <c r="L288" s="19"/>
      <c r="M288" s="19"/>
      <c r="N288" s="19"/>
      <c r="O288" s="19"/>
      <c r="P288" s="19"/>
      <c r="Q288" s="19"/>
      <c r="R288" s="19"/>
      <c r="S288" s="19"/>
      <c r="T288" s="19"/>
      <c r="U288" s="19"/>
      <c r="V288" s="19"/>
      <c r="W288" s="19"/>
    </row>
    <row r="289" spans="1:23" ht="14.25" customHeight="1" x14ac:dyDescent="0.3">
      <c r="A289" s="19"/>
      <c r="B289" s="19"/>
      <c r="C289" s="19"/>
      <c r="D289" s="19"/>
      <c r="E289" s="19"/>
      <c r="F289" s="19"/>
      <c r="G289" s="19"/>
      <c r="H289" s="19"/>
      <c r="I289" s="20"/>
      <c r="J289" s="244"/>
      <c r="K289" s="19"/>
      <c r="L289" s="19"/>
      <c r="M289" s="19"/>
      <c r="N289" s="19"/>
      <c r="O289" s="19"/>
      <c r="P289" s="19"/>
      <c r="Q289" s="19"/>
      <c r="R289" s="19"/>
      <c r="S289" s="19"/>
      <c r="T289" s="19"/>
      <c r="U289" s="19"/>
      <c r="V289" s="19"/>
      <c r="W289" s="19"/>
    </row>
    <row r="290" spans="1:23" ht="14.25" customHeight="1" x14ac:dyDescent="0.3">
      <c r="A290" s="19"/>
      <c r="B290" s="19"/>
      <c r="C290" s="19"/>
      <c r="D290" s="19"/>
      <c r="E290" s="19"/>
      <c r="F290" s="19"/>
      <c r="G290" s="19"/>
      <c r="H290" s="19"/>
      <c r="I290" s="20"/>
      <c r="J290" s="244"/>
      <c r="K290" s="19"/>
      <c r="L290" s="19"/>
      <c r="M290" s="19"/>
      <c r="N290" s="19"/>
      <c r="O290" s="19"/>
      <c r="P290" s="19"/>
      <c r="Q290" s="19"/>
      <c r="R290" s="19"/>
      <c r="S290" s="19"/>
      <c r="T290" s="19"/>
      <c r="U290" s="19"/>
      <c r="V290" s="19"/>
      <c r="W290" s="19"/>
    </row>
    <row r="291" spans="1:23" ht="14.25" customHeight="1" x14ac:dyDescent="0.3">
      <c r="A291" s="19"/>
      <c r="B291" s="19"/>
      <c r="C291" s="19"/>
      <c r="D291" s="19"/>
      <c r="E291" s="19"/>
      <c r="F291" s="19"/>
      <c r="G291" s="19"/>
      <c r="H291" s="19"/>
      <c r="I291" s="20"/>
      <c r="J291" s="244"/>
      <c r="K291" s="19"/>
      <c r="L291" s="19"/>
      <c r="M291" s="19"/>
      <c r="N291" s="19"/>
      <c r="O291" s="19"/>
      <c r="P291" s="19"/>
      <c r="Q291" s="19"/>
      <c r="R291" s="19"/>
      <c r="S291" s="19"/>
      <c r="T291" s="19"/>
      <c r="U291" s="19"/>
      <c r="V291" s="19"/>
      <c r="W291" s="19"/>
    </row>
    <row r="292" spans="1:23" ht="14.25" customHeight="1" x14ac:dyDescent="0.3">
      <c r="A292" s="19"/>
      <c r="B292" s="19"/>
      <c r="C292" s="19"/>
      <c r="D292" s="19"/>
      <c r="E292" s="19"/>
      <c r="F292" s="19"/>
      <c r="G292" s="19"/>
      <c r="H292" s="19"/>
      <c r="I292" s="20"/>
      <c r="J292" s="244"/>
      <c r="K292" s="19"/>
      <c r="L292" s="19"/>
      <c r="M292" s="19"/>
      <c r="N292" s="19"/>
      <c r="O292" s="19"/>
      <c r="P292" s="19"/>
      <c r="Q292" s="19"/>
      <c r="R292" s="19"/>
      <c r="S292" s="19"/>
      <c r="T292" s="19"/>
      <c r="U292" s="19"/>
      <c r="V292" s="19"/>
      <c r="W292" s="19"/>
    </row>
    <row r="293" spans="1:23" ht="14.25" customHeight="1" x14ac:dyDescent="0.3">
      <c r="A293" s="19"/>
      <c r="B293" s="19"/>
      <c r="C293" s="19"/>
      <c r="D293" s="19"/>
      <c r="E293" s="19"/>
      <c r="F293" s="19"/>
      <c r="G293" s="19"/>
      <c r="H293" s="19"/>
      <c r="I293" s="20"/>
      <c r="J293" s="244"/>
      <c r="K293" s="19"/>
      <c r="L293" s="19"/>
      <c r="M293" s="19"/>
      <c r="N293" s="19"/>
      <c r="O293" s="19"/>
      <c r="P293" s="19"/>
      <c r="Q293" s="19"/>
      <c r="R293" s="19"/>
      <c r="S293" s="19"/>
      <c r="T293" s="19"/>
      <c r="U293" s="19"/>
      <c r="V293" s="19"/>
      <c r="W293" s="19"/>
    </row>
    <row r="294" spans="1:23" ht="14.25" customHeight="1" x14ac:dyDescent="0.3">
      <c r="A294" s="19"/>
      <c r="B294" s="19"/>
      <c r="C294" s="19"/>
      <c r="D294" s="19"/>
      <c r="E294" s="19"/>
      <c r="F294" s="19"/>
      <c r="G294" s="19"/>
      <c r="H294" s="19"/>
      <c r="I294" s="20"/>
      <c r="J294" s="244"/>
      <c r="K294" s="19"/>
      <c r="L294" s="19"/>
      <c r="M294" s="19"/>
      <c r="N294" s="19"/>
      <c r="O294" s="19"/>
      <c r="P294" s="19"/>
      <c r="Q294" s="19"/>
      <c r="R294" s="19"/>
      <c r="S294" s="19"/>
      <c r="T294" s="19"/>
      <c r="U294" s="19"/>
      <c r="V294" s="19"/>
      <c r="W294" s="19"/>
    </row>
    <row r="295" spans="1:23" ht="14.25" customHeight="1" x14ac:dyDescent="0.3">
      <c r="A295" s="19"/>
      <c r="B295" s="19"/>
      <c r="C295" s="19"/>
      <c r="D295" s="19"/>
      <c r="E295" s="19"/>
      <c r="F295" s="19"/>
      <c r="G295" s="19"/>
      <c r="H295" s="19"/>
      <c r="I295" s="20"/>
      <c r="J295" s="244"/>
      <c r="K295" s="19"/>
      <c r="L295" s="19"/>
      <c r="M295" s="19"/>
      <c r="N295" s="19"/>
      <c r="O295" s="19"/>
      <c r="P295" s="19"/>
      <c r="Q295" s="19"/>
      <c r="R295" s="19"/>
      <c r="S295" s="19"/>
      <c r="T295" s="19"/>
      <c r="U295" s="19"/>
      <c r="V295" s="19"/>
      <c r="W295" s="19"/>
    </row>
    <row r="296" spans="1:23" ht="14.25" customHeight="1" x14ac:dyDescent="0.3">
      <c r="A296" s="19"/>
      <c r="B296" s="19"/>
      <c r="C296" s="19"/>
      <c r="D296" s="19"/>
      <c r="E296" s="19"/>
      <c r="F296" s="19"/>
      <c r="G296" s="19"/>
      <c r="H296" s="19"/>
      <c r="I296" s="20"/>
      <c r="J296" s="244"/>
      <c r="K296" s="19"/>
      <c r="L296" s="19"/>
      <c r="M296" s="19"/>
      <c r="N296" s="19"/>
      <c r="O296" s="19"/>
      <c r="P296" s="19"/>
      <c r="Q296" s="19"/>
      <c r="R296" s="19"/>
      <c r="S296" s="19"/>
      <c r="T296" s="19"/>
      <c r="U296" s="19"/>
      <c r="V296" s="19"/>
      <c r="W296" s="19"/>
    </row>
    <row r="297" spans="1:23" ht="14.25" customHeight="1" x14ac:dyDescent="0.3">
      <c r="A297" s="19"/>
      <c r="B297" s="19"/>
      <c r="C297" s="19"/>
      <c r="D297" s="19"/>
      <c r="E297" s="19"/>
      <c r="F297" s="19"/>
      <c r="G297" s="19"/>
      <c r="H297" s="19"/>
      <c r="I297" s="20"/>
      <c r="J297" s="244"/>
      <c r="K297" s="19"/>
      <c r="L297" s="19"/>
      <c r="M297" s="19"/>
      <c r="N297" s="19"/>
      <c r="O297" s="19"/>
      <c r="P297" s="19"/>
      <c r="Q297" s="19"/>
      <c r="R297" s="19"/>
      <c r="S297" s="19"/>
      <c r="T297" s="19"/>
      <c r="U297" s="19"/>
      <c r="V297" s="19"/>
      <c r="W297" s="19"/>
    </row>
    <row r="298" spans="1:23" ht="14.25" customHeight="1" x14ac:dyDescent="0.3">
      <c r="A298" s="19"/>
      <c r="B298" s="19"/>
      <c r="C298" s="19"/>
      <c r="D298" s="19"/>
      <c r="E298" s="19"/>
      <c r="F298" s="19"/>
      <c r="G298" s="19"/>
      <c r="H298" s="19"/>
      <c r="I298" s="20"/>
      <c r="J298" s="244"/>
      <c r="K298" s="19"/>
      <c r="L298" s="19"/>
      <c r="M298" s="19"/>
      <c r="N298" s="19"/>
      <c r="O298" s="19"/>
      <c r="P298" s="19"/>
      <c r="Q298" s="19"/>
      <c r="R298" s="19"/>
      <c r="S298" s="19"/>
      <c r="T298" s="19"/>
      <c r="U298" s="19"/>
      <c r="V298" s="19"/>
      <c r="W298" s="19"/>
    </row>
    <row r="299" spans="1:23" ht="14.25" customHeight="1" x14ac:dyDescent="0.3">
      <c r="A299" s="19"/>
      <c r="B299" s="19"/>
      <c r="C299" s="19"/>
      <c r="D299" s="19"/>
      <c r="E299" s="19"/>
      <c r="F299" s="19"/>
      <c r="G299" s="19"/>
      <c r="H299" s="19"/>
      <c r="I299" s="20"/>
      <c r="J299" s="244"/>
      <c r="K299" s="19"/>
      <c r="L299" s="19"/>
      <c r="M299" s="19"/>
      <c r="N299" s="19"/>
      <c r="O299" s="19"/>
      <c r="P299" s="19"/>
      <c r="Q299" s="19"/>
      <c r="R299" s="19"/>
      <c r="S299" s="19"/>
      <c r="T299" s="19"/>
      <c r="U299" s="19"/>
      <c r="V299" s="19"/>
      <c r="W299" s="19"/>
    </row>
    <row r="300" spans="1:23" ht="14.25" customHeight="1" x14ac:dyDescent="0.3">
      <c r="A300" s="19"/>
      <c r="B300" s="19"/>
      <c r="C300" s="19"/>
      <c r="D300" s="19"/>
      <c r="E300" s="19"/>
      <c r="F300" s="19"/>
      <c r="G300" s="19"/>
      <c r="H300" s="19"/>
      <c r="I300" s="20"/>
      <c r="J300" s="244"/>
      <c r="K300" s="19"/>
      <c r="L300" s="19"/>
      <c r="M300" s="19"/>
      <c r="N300" s="19"/>
      <c r="O300" s="19"/>
      <c r="P300" s="19"/>
      <c r="Q300" s="19"/>
      <c r="R300" s="19"/>
      <c r="S300" s="19"/>
      <c r="T300" s="19"/>
      <c r="U300" s="19"/>
      <c r="V300" s="19"/>
      <c r="W300" s="19"/>
    </row>
    <row r="301" spans="1:23" ht="14.25" customHeight="1" x14ac:dyDescent="0.3">
      <c r="A301" s="19"/>
      <c r="B301" s="19"/>
      <c r="C301" s="19"/>
      <c r="D301" s="19"/>
      <c r="E301" s="19"/>
      <c r="F301" s="19"/>
      <c r="G301" s="19"/>
      <c r="H301" s="19"/>
      <c r="I301" s="20"/>
      <c r="J301" s="244"/>
      <c r="K301" s="19"/>
      <c r="L301" s="19"/>
      <c r="M301" s="19"/>
      <c r="N301" s="19"/>
      <c r="O301" s="19"/>
      <c r="P301" s="19"/>
      <c r="Q301" s="19"/>
      <c r="R301" s="19"/>
      <c r="S301" s="19"/>
      <c r="T301" s="19"/>
      <c r="U301" s="19"/>
      <c r="V301" s="19"/>
      <c r="W301" s="19"/>
    </row>
    <row r="302" spans="1:23" ht="14.25" customHeight="1" x14ac:dyDescent="0.3">
      <c r="A302" s="19"/>
      <c r="B302" s="19"/>
      <c r="C302" s="19"/>
      <c r="D302" s="19"/>
      <c r="E302" s="19"/>
      <c r="F302" s="19"/>
      <c r="G302" s="19"/>
      <c r="H302" s="19"/>
      <c r="I302" s="20"/>
      <c r="J302" s="244"/>
      <c r="K302" s="19"/>
      <c r="L302" s="19"/>
      <c r="M302" s="19"/>
      <c r="N302" s="19"/>
      <c r="O302" s="19"/>
      <c r="P302" s="19"/>
      <c r="Q302" s="19"/>
      <c r="R302" s="19"/>
      <c r="S302" s="19"/>
      <c r="T302" s="19"/>
      <c r="U302" s="19"/>
      <c r="V302" s="19"/>
      <c r="W302" s="19"/>
    </row>
    <row r="303" spans="1:23" ht="14.25" customHeight="1" x14ac:dyDescent="0.3">
      <c r="A303" s="19"/>
      <c r="B303" s="19"/>
      <c r="C303" s="19"/>
      <c r="D303" s="19"/>
      <c r="E303" s="19"/>
      <c r="F303" s="19"/>
      <c r="G303" s="19"/>
      <c r="H303" s="19"/>
      <c r="I303" s="20"/>
      <c r="J303" s="244"/>
      <c r="K303" s="19"/>
      <c r="L303" s="19"/>
      <c r="M303" s="19"/>
      <c r="N303" s="19"/>
      <c r="O303" s="19"/>
      <c r="P303" s="19"/>
      <c r="Q303" s="19"/>
      <c r="R303" s="19"/>
      <c r="S303" s="19"/>
      <c r="T303" s="19"/>
      <c r="U303" s="19"/>
      <c r="V303" s="19"/>
      <c r="W303" s="19"/>
    </row>
    <row r="304" spans="1:23" ht="14.25" customHeight="1" x14ac:dyDescent="0.3">
      <c r="A304" s="19"/>
      <c r="B304" s="19"/>
      <c r="C304" s="19"/>
      <c r="D304" s="19"/>
      <c r="E304" s="19"/>
      <c r="F304" s="19"/>
      <c r="G304" s="19"/>
      <c r="H304" s="19"/>
      <c r="I304" s="20"/>
      <c r="J304" s="244"/>
      <c r="K304" s="19"/>
      <c r="L304" s="19"/>
      <c r="M304" s="19"/>
      <c r="N304" s="19"/>
      <c r="O304" s="19"/>
      <c r="P304" s="19"/>
      <c r="Q304" s="19"/>
      <c r="R304" s="19"/>
      <c r="S304" s="19"/>
      <c r="T304" s="19"/>
      <c r="U304" s="19"/>
      <c r="V304" s="19"/>
      <c r="W304" s="19"/>
    </row>
    <row r="305" spans="1:23" ht="14.25" customHeight="1" x14ac:dyDescent="0.3">
      <c r="A305" s="19"/>
      <c r="B305" s="19"/>
      <c r="C305" s="19"/>
      <c r="D305" s="19"/>
      <c r="E305" s="19"/>
      <c r="F305" s="19"/>
      <c r="G305" s="19"/>
      <c r="H305" s="19"/>
      <c r="I305" s="20"/>
      <c r="J305" s="244"/>
      <c r="K305" s="19"/>
      <c r="L305" s="19"/>
      <c r="M305" s="19"/>
      <c r="N305" s="19"/>
      <c r="O305" s="19"/>
      <c r="P305" s="19"/>
      <c r="Q305" s="19"/>
      <c r="R305" s="19"/>
      <c r="S305" s="19"/>
      <c r="T305" s="19"/>
      <c r="U305" s="19"/>
      <c r="V305" s="19"/>
      <c r="W305" s="19"/>
    </row>
    <row r="306" spans="1:23" ht="14.25" customHeight="1" x14ac:dyDescent="0.3">
      <c r="A306" s="19"/>
      <c r="B306" s="19"/>
      <c r="C306" s="19"/>
      <c r="D306" s="19"/>
      <c r="E306" s="19"/>
      <c r="F306" s="19"/>
      <c r="G306" s="19"/>
      <c r="H306" s="19"/>
      <c r="I306" s="20"/>
      <c r="J306" s="244"/>
      <c r="K306" s="19"/>
      <c r="L306" s="19"/>
      <c r="M306" s="19"/>
      <c r="N306" s="19"/>
      <c r="O306" s="19"/>
      <c r="P306" s="19"/>
      <c r="Q306" s="19"/>
      <c r="R306" s="19"/>
      <c r="S306" s="19"/>
      <c r="T306" s="19"/>
      <c r="U306" s="19"/>
      <c r="V306" s="19"/>
      <c r="W306" s="19"/>
    </row>
    <row r="307" spans="1:23" ht="14.25" customHeight="1" x14ac:dyDescent="0.3">
      <c r="A307" s="19"/>
      <c r="B307" s="19"/>
      <c r="C307" s="19"/>
      <c r="D307" s="19"/>
      <c r="E307" s="19"/>
      <c r="F307" s="19"/>
      <c r="G307" s="19"/>
      <c r="H307" s="19"/>
      <c r="I307" s="20"/>
      <c r="J307" s="244"/>
      <c r="K307" s="19"/>
      <c r="L307" s="19"/>
      <c r="M307" s="19"/>
      <c r="N307" s="19"/>
      <c r="O307" s="19"/>
      <c r="P307" s="19"/>
      <c r="Q307" s="19"/>
      <c r="R307" s="19"/>
      <c r="S307" s="19"/>
      <c r="T307" s="19"/>
      <c r="U307" s="19"/>
      <c r="V307" s="19"/>
      <c r="W307" s="19"/>
    </row>
    <row r="308" spans="1:23" ht="14.25" customHeight="1" x14ac:dyDescent="0.3">
      <c r="A308" s="19"/>
      <c r="B308" s="19"/>
      <c r="C308" s="19"/>
      <c r="D308" s="19"/>
      <c r="E308" s="19"/>
      <c r="F308" s="19"/>
      <c r="G308" s="19"/>
      <c r="H308" s="19"/>
      <c r="I308" s="20"/>
      <c r="J308" s="244"/>
      <c r="K308" s="19"/>
      <c r="L308" s="19"/>
      <c r="M308" s="19"/>
      <c r="N308" s="19"/>
      <c r="O308" s="19"/>
      <c r="P308" s="19"/>
      <c r="Q308" s="19"/>
      <c r="R308" s="19"/>
      <c r="S308" s="19"/>
      <c r="T308" s="19"/>
      <c r="U308" s="19"/>
      <c r="V308" s="19"/>
      <c r="W308" s="19"/>
    </row>
    <row r="309" spans="1:23" ht="14.25" customHeight="1" x14ac:dyDescent="0.3">
      <c r="A309" s="19"/>
      <c r="B309" s="19"/>
      <c r="C309" s="19"/>
      <c r="D309" s="19"/>
      <c r="E309" s="19"/>
      <c r="F309" s="19"/>
      <c r="G309" s="19"/>
      <c r="H309" s="19"/>
      <c r="I309" s="20"/>
      <c r="J309" s="244"/>
      <c r="K309" s="19"/>
      <c r="L309" s="19"/>
      <c r="M309" s="19"/>
      <c r="N309" s="19"/>
      <c r="O309" s="19"/>
      <c r="P309" s="19"/>
      <c r="Q309" s="19"/>
      <c r="R309" s="19"/>
      <c r="S309" s="19"/>
      <c r="T309" s="19"/>
      <c r="U309" s="19"/>
      <c r="V309" s="19"/>
      <c r="W309" s="19"/>
    </row>
    <row r="310" spans="1:23" ht="14.25" customHeight="1" x14ac:dyDescent="0.3">
      <c r="A310" s="19"/>
      <c r="B310" s="19"/>
      <c r="C310" s="19"/>
      <c r="D310" s="19"/>
      <c r="E310" s="19"/>
      <c r="F310" s="19"/>
      <c r="G310" s="19"/>
      <c r="H310" s="19"/>
      <c r="I310" s="20"/>
      <c r="J310" s="244"/>
      <c r="K310" s="19"/>
      <c r="L310" s="19"/>
      <c r="M310" s="19"/>
      <c r="N310" s="19"/>
      <c r="O310" s="19"/>
      <c r="P310" s="19"/>
      <c r="Q310" s="19"/>
      <c r="R310" s="19"/>
      <c r="S310" s="19"/>
      <c r="T310" s="19"/>
      <c r="U310" s="19"/>
      <c r="V310" s="19"/>
      <c r="W310" s="19"/>
    </row>
    <row r="311" spans="1:23" ht="14.25" customHeight="1" x14ac:dyDescent="0.3">
      <c r="A311" s="19"/>
      <c r="B311" s="19"/>
      <c r="C311" s="19"/>
      <c r="D311" s="19"/>
      <c r="E311" s="19"/>
      <c r="F311" s="19"/>
      <c r="G311" s="19"/>
      <c r="H311" s="19"/>
      <c r="I311" s="20"/>
      <c r="J311" s="244"/>
      <c r="K311" s="19"/>
      <c r="L311" s="19"/>
      <c r="M311" s="19"/>
      <c r="N311" s="19"/>
      <c r="O311" s="19"/>
      <c r="P311" s="19"/>
      <c r="Q311" s="19"/>
      <c r="R311" s="19"/>
      <c r="S311" s="19"/>
      <c r="T311" s="19"/>
      <c r="U311" s="19"/>
      <c r="V311" s="19"/>
      <c r="W311" s="19"/>
    </row>
    <row r="312" spans="1:23" ht="14.25" customHeight="1" x14ac:dyDescent="0.3">
      <c r="A312" s="19"/>
      <c r="B312" s="19"/>
      <c r="C312" s="19"/>
      <c r="D312" s="19"/>
      <c r="E312" s="19"/>
      <c r="F312" s="19"/>
      <c r="G312" s="19"/>
      <c r="H312" s="19"/>
      <c r="I312" s="20"/>
      <c r="J312" s="244"/>
      <c r="K312" s="19"/>
      <c r="L312" s="19"/>
      <c r="M312" s="19"/>
      <c r="N312" s="19"/>
      <c r="O312" s="19"/>
      <c r="P312" s="19"/>
      <c r="Q312" s="19"/>
      <c r="R312" s="19"/>
      <c r="S312" s="19"/>
      <c r="T312" s="19"/>
      <c r="U312" s="19"/>
      <c r="V312" s="19"/>
      <c r="W312" s="19"/>
    </row>
    <row r="313" spans="1:23" ht="14.25" customHeight="1" x14ac:dyDescent="0.3">
      <c r="A313" s="19"/>
      <c r="B313" s="19"/>
      <c r="C313" s="19"/>
      <c r="D313" s="19"/>
      <c r="E313" s="19"/>
      <c r="F313" s="19"/>
      <c r="G313" s="19"/>
      <c r="H313" s="19"/>
      <c r="I313" s="20"/>
      <c r="J313" s="244"/>
      <c r="K313" s="19"/>
      <c r="L313" s="19"/>
      <c r="M313" s="19"/>
      <c r="N313" s="19"/>
      <c r="O313" s="19"/>
      <c r="P313" s="19"/>
      <c r="Q313" s="19"/>
      <c r="R313" s="19"/>
      <c r="S313" s="19"/>
      <c r="T313" s="19"/>
      <c r="U313" s="19"/>
      <c r="V313" s="19"/>
      <c r="W313" s="19"/>
    </row>
    <row r="314" spans="1:23" ht="14.25" customHeight="1" x14ac:dyDescent="0.3">
      <c r="A314" s="19"/>
      <c r="B314" s="19"/>
      <c r="C314" s="19"/>
      <c r="D314" s="19"/>
      <c r="E314" s="19"/>
      <c r="F314" s="19"/>
      <c r="G314" s="19"/>
      <c r="H314" s="19"/>
      <c r="I314" s="20"/>
      <c r="J314" s="244"/>
      <c r="K314" s="19"/>
      <c r="L314" s="19"/>
      <c r="M314" s="19"/>
      <c r="N314" s="19"/>
      <c r="O314" s="19"/>
      <c r="P314" s="19"/>
      <c r="Q314" s="19"/>
      <c r="R314" s="19"/>
      <c r="S314" s="19"/>
      <c r="T314" s="19"/>
      <c r="U314" s="19"/>
      <c r="V314" s="19"/>
      <c r="W314" s="19"/>
    </row>
    <row r="315" spans="1:23" ht="14.25" customHeight="1" x14ac:dyDescent="0.3">
      <c r="A315" s="19"/>
      <c r="B315" s="19"/>
      <c r="C315" s="19"/>
      <c r="D315" s="19"/>
      <c r="E315" s="19"/>
      <c r="F315" s="19"/>
      <c r="G315" s="19"/>
      <c r="H315" s="19"/>
      <c r="I315" s="20"/>
      <c r="J315" s="244"/>
      <c r="K315" s="19"/>
      <c r="L315" s="19"/>
      <c r="M315" s="19"/>
      <c r="N315" s="19"/>
      <c r="O315" s="19"/>
      <c r="P315" s="19"/>
      <c r="Q315" s="19"/>
      <c r="R315" s="19"/>
      <c r="S315" s="19"/>
      <c r="T315" s="19"/>
      <c r="U315" s="19"/>
      <c r="V315" s="19"/>
      <c r="W315" s="19"/>
    </row>
    <row r="316" spans="1:23" ht="14.25" customHeight="1" x14ac:dyDescent="0.3">
      <c r="A316" s="19"/>
      <c r="B316" s="19"/>
      <c r="C316" s="19"/>
      <c r="D316" s="19"/>
      <c r="E316" s="19"/>
      <c r="F316" s="19"/>
      <c r="G316" s="19"/>
      <c r="H316" s="19"/>
      <c r="I316" s="20"/>
      <c r="J316" s="244"/>
      <c r="K316" s="19"/>
      <c r="L316" s="19"/>
      <c r="M316" s="19"/>
      <c r="N316" s="19"/>
      <c r="O316" s="19"/>
      <c r="P316" s="19"/>
      <c r="Q316" s="19"/>
      <c r="R316" s="19"/>
      <c r="S316" s="19"/>
      <c r="T316" s="19"/>
      <c r="U316" s="19"/>
      <c r="V316" s="19"/>
      <c r="W316" s="19"/>
    </row>
    <row r="317" spans="1:23" ht="14.25" customHeight="1" x14ac:dyDescent="0.3">
      <c r="A317" s="19"/>
      <c r="B317" s="19"/>
      <c r="C317" s="19"/>
      <c r="D317" s="19"/>
      <c r="E317" s="19"/>
      <c r="F317" s="19"/>
      <c r="G317" s="19"/>
      <c r="H317" s="19"/>
      <c r="I317" s="20"/>
      <c r="J317" s="244"/>
      <c r="K317" s="19"/>
      <c r="L317" s="19"/>
      <c r="M317" s="19"/>
      <c r="N317" s="19"/>
      <c r="O317" s="19"/>
      <c r="P317" s="19"/>
      <c r="Q317" s="19"/>
      <c r="R317" s="19"/>
      <c r="S317" s="19"/>
      <c r="T317" s="19"/>
      <c r="U317" s="19"/>
      <c r="V317" s="19"/>
      <c r="W317" s="19"/>
    </row>
    <row r="318" spans="1:23" ht="14.25" customHeight="1" x14ac:dyDescent="0.3">
      <c r="A318" s="19"/>
      <c r="B318" s="19"/>
      <c r="C318" s="19"/>
      <c r="D318" s="19"/>
      <c r="E318" s="19"/>
      <c r="F318" s="19"/>
      <c r="G318" s="19"/>
      <c r="H318" s="19"/>
      <c r="I318" s="20"/>
      <c r="J318" s="244"/>
      <c r="K318" s="19"/>
      <c r="L318" s="19"/>
      <c r="M318" s="19"/>
      <c r="N318" s="19"/>
      <c r="O318" s="19"/>
      <c r="P318" s="19"/>
      <c r="Q318" s="19"/>
      <c r="R318" s="19"/>
      <c r="S318" s="19"/>
      <c r="T318" s="19"/>
      <c r="U318" s="19"/>
      <c r="V318" s="19"/>
      <c r="W318" s="19"/>
    </row>
    <row r="319" spans="1:23" ht="14.25" customHeight="1" x14ac:dyDescent="0.3">
      <c r="A319" s="19"/>
      <c r="B319" s="19"/>
      <c r="C319" s="19"/>
      <c r="D319" s="19"/>
      <c r="E319" s="19"/>
      <c r="F319" s="19"/>
      <c r="G319" s="19"/>
      <c r="H319" s="19"/>
      <c r="I319" s="20"/>
      <c r="J319" s="244"/>
      <c r="K319" s="19"/>
      <c r="L319" s="19"/>
      <c r="M319" s="19"/>
      <c r="N319" s="19"/>
      <c r="O319" s="19"/>
      <c r="P319" s="19"/>
      <c r="Q319" s="19"/>
      <c r="R319" s="19"/>
      <c r="S319" s="19"/>
      <c r="T319" s="19"/>
      <c r="U319" s="19"/>
      <c r="V319" s="19"/>
      <c r="W319" s="19"/>
    </row>
    <row r="320" spans="1:23" ht="14.25" customHeight="1" x14ac:dyDescent="0.3">
      <c r="A320" s="19"/>
      <c r="B320" s="19"/>
      <c r="C320" s="19"/>
      <c r="D320" s="19"/>
      <c r="E320" s="19"/>
      <c r="F320" s="19"/>
      <c r="G320" s="19"/>
      <c r="H320" s="19"/>
      <c r="I320" s="20"/>
      <c r="J320" s="244"/>
      <c r="K320" s="19"/>
      <c r="L320" s="19"/>
      <c r="M320" s="19"/>
      <c r="N320" s="19"/>
      <c r="O320" s="19"/>
      <c r="P320" s="19"/>
      <c r="Q320" s="19"/>
      <c r="R320" s="19"/>
      <c r="S320" s="19"/>
      <c r="T320" s="19"/>
      <c r="U320" s="19"/>
      <c r="V320" s="19"/>
      <c r="W320" s="19"/>
    </row>
    <row r="321" spans="1:23" ht="14.25" customHeight="1" x14ac:dyDescent="0.3">
      <c r="A321" s="19"/>
      <c r="B321" s="19"/>
      <c r="C321" s="19"/>
      <c r="D321" s="19"/>
      <c r="E321" s="19"/>
      <c r="F321" s="19"/>
      <c r="G321" s="19"/>
      <c r="H321" s="19"/>
      <c r="I321" s="20"/>
      <c r="J321" s="244"/>
      <c r="K321" s="19"/>
      <c r="L321" s="19"/>
      <c r="M321" s="19"/>
      <c r="N321" s="19"/>
      <c r="O321" s="19"/>
      <c r="P321" s="19"/>
      <c r="Q321" s="19"/>
      <c r="R321" s="19"/>
      <c r="S321" s="19"/>
      <c r="T321" s="19"/>
      <c r="U321" s="19"/>
      <c r="V321" s="19"/>
      <c r="W321" s="19"/>
    </row>
    <row r="322" spans="1:23" ht="14.25" customHeight="1" x14ac:dyDescent="0.3">
      <c r="A322" s="19"/>
      <c r="B322" s="19"/>
      <c r="C322" s="19"/>
      <c r="D322" s="19"/>
      <c r="E322" s="19"/>
      <c r="F322" s="19"/>
      <c r="G322" s="19"/>
      <c r="H322" s="19"/>
      <c r="I322" s="20"/>
      <c r="J322" s="244"/>
      <c r="K322" s="19"/>
      <c r="L322" s="19"/>
      <c r="M322" s="19"/>
      <c r="N322" s="19"/>
      <c r="O322" s="19"/>
      <c r="P322" s="19"/>
      <c r="Q322" s="19"/>
      <c r="R322" s="19"/>
      <c r="S322" s="19"/>
      <c r="T322" s="19"/>
      <c r="U322" s="19"/>
      <c r="V322" s="19"/>
      <c r="W322" s="19"/>
    </row>
    <row r="323" spans="1:23" ht="14.25" customHeight="1" x14ac:dyDescent="0.3">
      <c r="A323" s="19"/>
      <c r="B323" s="19"/>
      <c r="C323" s="19"/>
      <c r="D323" s="19"/>
      <c r="E323" s="19"/>
      <c r="F323" s="19"/>
      <c r="G323" s="19"/>
      <c r="H323" s="19"/>
      <c r="I323" s="20"/>
      <c r="J323" s="244"/>
      <c r="K323" s="19"/>
      <c r="L323" s="19"/>
      <c r="M323" s="19"/>
      <c r="N323" s="19"/>
      <c r="O323" s="19"/>
      <c r="P323" s="19"/>
      <c r="Q323" s="19"/>
      <c r="R323" s="19"/>
      <c r="S323" s="19"/>
      <c r="T323" s="19"/>
      <c r="U323" s="19"/>
      <c r="V323" s="19"/>
      <c r="W323" s="19"/>
    </row>
    <row r="324" spans="1:23" ht="14.25" customHeight="1" x14ac:dyDescent="0.3">
      <c r="A324" s="19"/>
      <c r="B324" s="19"/>
      <c r="C324" s="19"/>
      <c r="D324" s="19"/>
      <c r="E324" s="19"/>
      <c r="F324" s="19"/>
      <c r="G324" s="19"/>
      <c r="H324" s="19"/>
      <c r="I324" s="20"/>
      <c r="J324" s="244"/>
      <c r="K324" s="19"/>
      <c r="L324" s="19"/>
      <c r="M324" s="19"/>
      <c r="N324" s="19"/>
      <c r="O324" s="19"/>
      <c r="P324" s="19"/>
      <c r="Q324" s="19"/>
      <c r="R324" s="19"/>
      <c r="S324" s="19"/>
      <c r="T324" s="19"/>
      <c r="U324" s="19"/>
      <c r="V324" s="19"/>
      <c r="W324" s="19"/>
    </row>
    <row r="325" spans="1:23" ht="14.25" customHeight="1" x14ac:dyDescent="0.3">
      <c r="A325" s="19"/>
      <c r="B325" s="19"/>
      <c r="C325" s="19"/>
      <c r="D325" s="19"/>
      <c r="E325" s="19"/>
      <c r="F325" s="19"/>
      <c r="G325" s="19"/>
      <c r="H325" s="19"/>
      <c r="I325" s="20"/>
      <c r="J325" s="244"/>
      <c r="K325" s="19"/>
      <c r="L325" s="19"/>
      <c r="M325" s="19"/>
      <c r="N325" s="19"/>
      <c r="O325" s="19"/>
      <c r="P325" s="19"/>
      <c r="Q325" s="19"/>
      <c r="R325" s="19"/>
      <c r="S325" s="19"/>
      <c r="T325" s="19"/>
      <c r="U325" s="19"/>
      <c r="V325" s="19"/>
      <c r="W325" s="19"/>
    </row>
    <row r="326" spans="1:23" ht="14.25" customHeight="1" x14ac:dyDescent="0.3">
      <c r="A326" s="19"/>
      <c r="B326" s="19"/>
      <c r="C326" s="19"/>
      <c r="D326" s="19"/>
      <c r="E326" s="19"/>
      <c r="F326" s="19"/>
      <c r="G326" s="19"/>
      <c r="H326" s="19"/>
      <c r="I326" s="20"/>
      <c r="J326" s="244"/>
      <c r="K326" s="19"/>
      <c r="L326" s="19"/>
      <c r="M326" s="19"/>
      <c r="N326" s="19"/>
      <c r="O326" s="19"/>
      <c r="P326" s="19"/>
      <c r="Q326" s="19"/>
      <c r="R326" s="19"/>
      <c r="S326" s="19"/>
      <c r="T326" s="19"/>
      <c r="U326" s="19"/>
      <c r="V326" s="19"/>
      <c r="W326" s="19"/>
    </row>
    <row r="327" spans="1:23" ht="14.25" customHeight="1" x14ac:dyDescent="0.3">
      <c r="A327" s="19"/>
      <c r="B327" s="19"/>
      <c r="C327" s="19"/>
      <c r="D327" s="19"/>
      <c r="E327" s="19"/>
      <c r="F327" s="19"/>
      <c r="G327" s="19"/>
      <c r="H327" s="19"/>
      <c r="I327" s="20"/>
      <c r="J327" s="244"/>
      <c r="K327" s="19"/>
      <c r="L327" s="19"/>
      <c r="M327" s="19"/>
      <c r="N327" s="19"/>
      <c r="O327" s="19"/>
      <c r="P327" s="19"/>
      <c r="Q327" s="19"/>
      <c r="R327" s="19"/>
      <c r="S327" s="19"/>
      <c r="T327" s="19"/>
      <c r="U327" s="19"/>
      <c r="V327" s="19"/>
      <c r="W327" s="19"/>
    </row>
    <row r="328" spans="1:23" ht="14.25" customHeight="1" x14ac:dyDescent="0.3">
      <c r="A328" s="19"/>
      <c r="B328" s="19"/>
      <c r="C328" s="19"/>
      <c r="D328" s="19"/>
      <c r="E328" s="19"/>
      <c r="F328" s="19"/>
      <c r="G328" s="19"/>
      <c r="H328" s="19"/>
      <c r="I328" s="20"/>
      <c r="J328" s="244"/>
      <c r="K328" s="19"/>
      <c r="L328" s="19"/>
      <c r="M328" s="19"/>
      <c r="N328" s="19"/>
      <c r="O328" s="19"/>
      <c r="P328" s="19"/>
      <c r="Q328" s="19"/>
      <c r="R328" s="19"/>
      <c r="S328" s="19"/>
      <c r="T328" s="19"/>
      <c r="U328" s="19"/>
      <c r="V328" s="19"/>
      <c r="W328" s="19"/>
    </row>
    <row r="329" spans="1:23" ht="14.25" customHeight="1" x14ac:dyDescent="0.3">
      <c r="A329" s="19"/>
      <c r="B329" s="19"/>
      <c r="C329" s="19"/>
      <c r="D329" s="19"/>
      <c r="E329" s="19"/>
      <c r="F329" s="19"/>
      <c r="G329" s="19"/>
      <c r="H329" s="19"/>
      <c r="I329" s="20"/>
      <c r="J329" s="244"/>
      <c r="K329" s="19"/>
      <c r="L329" s="19"/>
      <c r="M329" s="19"/>
      <c r="N329" s="19"/>
      <c r="O329" s="19"/>
      <c r="P329" s="19"/>
      <c r="Q329" s="19"/>
      <c r="R329" s="19"/>
      <c r="S329" s="19"/>
      <c r="T329" s="19"/>
      <c r="U329" s="19"/>
      <c r="V329" s="19"/>
      <c r="W329" s="19"/>
    </row>
    <row r="330" spans="1:23" ht="14.25" customHeight="1" x14ac:dyDescent="0.3">
      <c r="A330" s="19"/>
      <c r="B330" s="19"/>
      <c r="C330" s="19"/>
      <c r="D330" s="19"/>
      <c r="E330" s="19"/>
      <c r="F330" s="19"/>
      <c r="G330" s="19"/>
      <c r="H330" s="19"/>
      <c r="I330" s="20"/>
      <c r="J330" s="244"/>
      <c r="K330" s="19"/>
      <c r="L330" s="19"/>
      <c r="M330" s="19"/>
      <c r="N330" s="19"/>
      <c r="O330" s="19"/>
      <c r="P330" s="19"/>
      <c r="Q330" s="19"/>
      <c r="R330" s="19"/>
      <c r="S330" s="19"/>
      <c r="T330" s="19"/>
      <c r="U330" s="19"/>
      <c r="V330" s="19"/>
      <c r="W330" s="19"/>
    </row>
    <row r="331" spans="1:23" ht="14.25" customHeight="1" x14ac:dyDescent="0.3">
      <c r="A331" s="19"/>
      <c r="B331" s="19"/>
      <c r="C331" s="19"/>
      <c r="D331" s="19"/>
      <c r="E331" s="19"/>
      <c r="F331" s="19"/>
      <c r="G331" s="19"/>
      <c r="H331" s="19"/>
      <c r="I331" s="20"/>
      <c r="J331" s="244"/>
      <c r="K331" s="19"/>
      <c r="L331" s="19"/>
      <c r="M331" s="19"/>
      <c r="N331" s="19"/>
      <c r="O331" s="19"/>
      <c r="P331" s="19"/>
      <c r="Q331" s="19"/>
      <c r="R331" s="19"/>
      <c r="S331" s="19"/>
      <c r="T331" s="19"/>
      <c r="U331" s="19"/>
      <c r="V331" s="19"/>
      <c r="W331" s="19"/>
    </row>
    <row r="332" spans="1:23" ht="14.25" customHeight="1" x14ac:dyDescent="0.3">
      <c r="A332" s="19"/>
      <c r="B332" s="19"/>
      <c r="C332" s="19"/>
      <c r="D332" s="19"/>
      <c r="E332" s="19"/>
      <c r="F332" s="19"/>
      <c r="G332" s="19"/>
      <c r="H332" s="19"/>
      <c r="I332" s="20"/>
      <c r="J332" s="244"/>
      <c r="K332" s="19"/>
      <c r="L332" s="19"/>
      <c r="M332" s="19"/>
      <c r="N332" s="19"/>
      <c r="O332" s="19"/>
      <c r="P332" s="19"/>
      <c r="Q332" s="19"/>
      <c r="R332" s="19"/>
      <c r="S332" s="19"/>
      <c r="T332" s="19"/>
      <c r="U332" s="19"/>
      <c r="V332" s="19"/>
      <c r="W332" s="19"/>
    </row>
    <row r="333" spans="1:23" ht="14.25" customHeight="1" x14ac:dyDescent="0.3">
      <c r="A333" s="19"/>
      <c r="B333" s="19"/>
      <c r="C333" s="19"/>
      <c r="D333" s="19"/>
      <c r="E333" s="19"/>
      <c r="F333" s="19"/>
      <c r="G333" s="19"/>
      <c r="H333" s="19"/>
      <c r="I333" s="20"/>
      <c r="J333" s="244"/>
      <c r="K333" s="19"/>
      <c r="L333" s="19"/>
      <c r="M333" s="19"/>
      <c r="N333" s="19"/>
      <c r="O333" s="19"/>
      <c r="P333" s="19"/>
      <c r="Q333" s="19"/>
      <c r="R333" s="19"/>
      <c r="S333" s="19"/>
      <c r="T333" s="19"/>
      <c r="U333" s="19"/>
      <c r="V333" s="19"/>
      <c r="W333" s="19"/>
    </row>
    <row r="334" spans="1:23" ht="14.25" customHeight="1" x14ac:dyDescent="0.3">
      <c r="A334" s="19"/>
      <c r="B334" s="19"/>
      <c r="C334" s="19"/>
      <c r="D334" s="19"/>
      <c r="E334" s="19"/>
      <c r="F334" s="19"/>
      <c r="G334" s="19"/>
      <c r="H334" s="19"/>
      <c r="I334" s="20"/>
      <c r="J334" s="244"/>
      <c r="K334" s="19"/>
      <c r="L334" s="19"/>
      <c r="M334" s="19"/>
      <c r="N334" s="19"/>
      <c r="O334" s="19"/>
      <c r="P334" s="19"/>
      <c r="Q334" s="19"/>
      <c r="R334" s="19"/>
      <c r="S334" s="19"/>
      <c r="T334" s="19"/>
      <c r="U334" s="19"/>
      <c r="V334" s="19"/>
      <c r="W334" s="19"/>
    </row>
    <row r="335" spans="1:23" ht="14.25" customHeight="1" x14ac:dyDescent="0.3">
      <c r="A335" s="19"/>
      <c r="B335" s="19"/>
      <c r="C335" s="19"/>
      <c r="D335" s="19"/>
      <c r="E335" s="19"/>
      <c r="F335" s="19"/>
      <c r="G335" s="19"/>
      <c r="H335" s="19"/>
      <c r="I335" s="20"/>
      <c r="J335" s="244"/>
      <c r="K335" s="19"/>
      <c r="L335" s="19"/>
      <c r="M335" s="19"/>
      <c r="N335" s="19"/>
      <c r="O335" s="19"/>
      <c r="P335" s="19"/>
      <c r="Q335" s="19"/>
      <c r="R335" s="19"/>
      <c r="S335" s="19"/>
      <c r="T335" s="19"/>
      <c r="U335" s="19"/>
      <c r="V335" s="19"/>
      <c r="W335" s="19"/>
    </row>
    <row r="336" spans="1:23" ht="14.25" customHeight="1" x14ac:dyDescent="0.3">
      <c r="A336" s="19"/>
      <c r="B336" s="19"/>
      <c r="C336" s="19"/>
      <c r="D336" s="19"/>
      <c r="E336" s="19"/>
      <c r="F336" s="19"/>
      <c r="G336" s="19"/>
      <c r="H336" s="19"/>
      <c r="I336" s="20"/>
      <c r="J336" s="244"/>
      <c r="K336" s="19"/>
      <c r="L336" s="19"/>
      <c r="M336" s="19"/>
      <c r="N336" s="19"/>
      <c r="O336" s="19"/>
      <c r="P336" s="19"/>
      <c r="Q336" s="19"/>
      <c r="R336" s="19"/>
      <c r="S336" s="19"/>
      <c r="T336" s="19"/>
      <c r="U336" s="19"/>
      <c r="V336" s="19"/>
      <c r="W336" s="19"/>
    </row>
    <row r="337" spans="1:23" ht="14.25" customHeight="1" x14ac:dyDescent="0.3">
      <c r="A337" s="19"/>
      <c r="B337" s="19"/>
      <c r="C337" s="19"/>
      <c r="D337" s="19"/>
      <c r="E337" s="19"/>
      <c r="F337" s="19"/>
      <c r="G337" s="19"/>
      <c r="H337" s="19"/>
      <c r="I337" s="20"/>
      <c r="J337" s="244"/>
      <c r="K337" s="19"/>
      <c r="L337" s="19"/>
      <c r="M337" s="19"/>
      <c r="N337" s="19"/>
      <c r="O337" s="19"/>
      <c r="P337" s="19"/>
      <c r="Q337" s="19"/>
      <c r="R337" s="19"/>
      <c r="S337" s="19"/>
      <c r="T337" s="19"/>
      <c r="U337" s="19"/>
      <c r="V337" s="19"/>
      <c r="W337" s="19"/>
    </row>
    <row r="338" spans="1:23" ht="14.25" customHeight="1" x14ac:dyDescent="0.3">
      <c r="A338" s="19"/>
      <c r="B338" s="19"/>
      <c r="C338" s="19"/>
      <c r="D338" s="19"/>
      <c r="E338" s="19"/>
      <c r="F338" s="19"/>
      <c r="G338" s="19"/>
      <c r="H338" s="19"/>
      <c r="I338" s="20"/>
      <c r="J338" s="244"/>
      <c r="K338" s="19"/>
      <c r="L338" s="19"/>
      <c r="M338" s="19"/>
      <c r="N338" s="19"/>
      <c r="O338" s="19"/>
      <c r="P338" s="19"/>
      <c r="Q338" s="19"/>
      <c r="R338" s="19"/>
      <c r="S338" s="19"/>
      <c r="T338" s="19"/>
      <c r="U338" s="19"/>
      <c r="V338" s="19"/>
      <c r="W338" s="19"/>
    </row>
    <row r="339" spans="1:23" ht="14.25" customHeight="1" x14ac:dyDescent="0.3">
      <c r="A339" s="19"/>
      <c r="B339" s="19"/>
      <c r="C339" s="19"/>
      <c r="D339" s="19"/>
      <c r="E339" s="19"/>
      <c r="F339" s="19"/>
      <c r="G339" s="19"/>
      <c r="H339" s="19"/>
      <c r="I339" s="20"/>
      <c r="J339" s="244"/>
      <c r="K339" s="19"/>
      <c r="L339" s="19"/>
      <c r="M339" s="19"/>
      <c r="N339" s="19"/>
      <c r="O339" s="19"/>
      <c r="P339" s="19"/>
      <c r="Q339" s="19"/>
      <c r="R339" s="19"/>
      <c r="S339" s="19"/>
      <c r="T339" s="19"/>
      <c r="U339" s="19"/>
      <c r="V339" s="19"/>
      <c r="W339" s="19"/>
    </row>
    <row r="340" spans="1:23" ht="14.25" customHeight="1" x14ac:dyDescent="0.3">
      <c r="A340" s="19"/>
      <c r="B340" s="19"/>
      <c r="C340" s="19"/>
      <c r="D340" s="19"/>
      <c r="E340" s="19"/>
      <c r="F340" s="19"/>
      <c r="G340" s="19"/>
      <c r="H340" s="19"/>
      <c r="I340" s="20"/>
      <c r="J340" s="244"/>
      <c r="K340" s="19"/>
      <c r="L340" s="19"/>
      <c r="M340" s="19"/>
      <c r="N340" s="19"/>
      <c r="O340" s="19"/>
      <c r="P340" s="19"/>
      <c r="Q340" s="19"/>
      <c r="R340" s="19"/>
      <c r="S340" s="19"/>
      <c r="T340" s="19"/>
      <c r="U340" s="19"/>
      <c r="V340" s="19"/>
      <c r="W340" s="19"/>
    </row>
    <row r="341" spans="1:23" ht="14.25" customHeight="1" x14ac:dyDescent="0.3">
      <c r="A341" s="19"/>
      <c r="B341" s="19"/>
      <c r="C341" s="19"/>
      <c r="D341" s="19"/>
      <c r="E341" s="19"/>
      <c r="F341" s="19"/>
      <c r="G341" s="19"/>
      <c r="H341" s="19"/>
      <c r="I341" s="20"/>
      <c r="J341" s="244"/>
      <c r="K341" s="19"/>
      <c r="L341" s="19"/>
      <c r="M341" s="19"/>
      <c r="N341" s="19"/>
      <c r="O341" s="19"/>
      <c r="P341" s="19"/>
      <c r="Q341" s="19"/>
      <c r="R341" s="19"/>
      <c r="S341" s="19"/>
      <c r="T341" s="19"/>
      <c r="U341" s="19"/>
      <c r="V341" s="19"/>
      <c r="W341" s="19"/>
    </row>
    <row r="342" spans="1:23" ht="14.25" customHeight="1" x14ac:dyDescent="0.3">
      <c r="A342" s="19"/>
      <c r="B342" s="19"/>
      <c r="C342" s="19"/>
      <c r="D342" s="19"/>
      <c r="E342" s="19"/>
      <c r="F342" s="19"/>
      <c r="G342" s="19"/>
      <c r="H342" s="19"/>
      <c r="I342" s="20"/>
      <c r="J342" s="244"/>
      <c r="K342" s="19"/>
      <c r="L342" s="19"/>
      <c r="M342" s="19"/>
      <c r="N342" s="19"/>
      <c r="O342" s="19"/>
      <c r="P342" s="19"/>
      <c r="Q342" s="19"/>
      <c r="R342" s="19"/>
      <c r="S342" s="19"/>
      <c r="T342" s="19"/>
      <c r="U342" s="19"/>
      <c r="V342" s="19"/>
      <c r="W342" s="19"/>
    </row>
    <row r="343" spans="1:23" ht="14.25" customHeight="1" x14ac:dyDescent="0.3">
      <c r="A343" s="19"/>
      <c r="B343" s="19"/>
      <c r="C343" s="19"/>
      <c r="D343" s="19"/>
      <c r="E343" s="19"/>
      <c r="F343" s="19"/>
      <c r="G343" s="19"/>
      <c r="H343" s="19"/>
      <c r="I343" s="20"/>
      <c r="J343" s="244"/>
      <c r="K343" s="19"/>
      <c r="L343" s="19"/>
      <c r="M343" s="19"/>
      <c r="N343" s="19"/>
      <c r="O343" s="19"/>
      <c r="P343" s="19"/>
      <c r="Q343" s="19"/>
      <c r="R343" s="19"/>
      <c r="S343" s="19"/>
      <c r="T343" s="19"/>
      <c r="U343" s="19"/>
      <c r="V343" s="19"/>
      <c r="W343" s="19"/>
    </row>
    <row r="344" spans="1:23" ht="14.25" customHeight="1" x14ac:dyDescent="0.3">
      <c r="A344" s="19"/>
      <c r="B344" s="19"/>
      <c r="C344" s="19"/>
      <c r="D344" s="19"/>
      <c r="E344" s="19"/>
      <c r="F344" s="19"/>
      <c r="G344" s="19"/>
      <c r="H344" s="19"/>
      <c r="I344" s="20"/>
      <c r="J344" s="244"/>
      <c r="K344" s="19"/>
      <c r="L344" s="19"/>
      <c r="M344" s="19"/>
      <c r="N344" s="19"/>
      <c r="O344" s="19"/>
      <c r="P344" s="19"/>
      <c r="Q344" s="19"/>
      <c r="R344" s="19"/>
      <c r="S344" s="19"/>
      <c r="T344" s="19"/>
      <c r="U344" s="19"/>
      <c r="V344" s="19"/>
      <c r="W344" s="19"/>
    </row>
    <row r="345" spans="1:23" ht="14.25" customHeight="1" x14ac:dyDescent="0.3">
      <c r="A345" s="19"/>
      <c r="B345" s="19"/>
      <c r="C345" s="19"/>
      <c r="D345" s="19"/>
      <c r="E345" s="19"/>
      <c r="F345" s="19"/>
      <c r="G345" s="19"/>
      <c r="H345" s="19"/>
      <c r="I345" s="20"/>
      <c r="J345" s="244"/>
      <c r="K345" s="19"/>
      <c r="L345" s="19"/>
      <c r="M345" s="19"/>
      <c r="N345" s="19"/>
      <c r="O345" s="19"/>
      <c r="P345" s="19"/>
      <c r="Q345" s="19"/>
      <c r="R345" s="19"/>
      <c r="S345" s="19"/>
      <c r="T345" s="19"/>
      <c r="U345" s="19"/>
      <c r="V345" s="19"/>
      <c r="W345" s="19"/>
    </row>
    <row r="346" spans="1:23" ht="14.25" customHeight="1" x14ac:dyDescent="0.3">
      <c r="A346" s="19"/>
      <c r="B346" s="19"/>
      <c r="C346" s="19"/>
      <c r="D346" s="19"/>
      <c r="E346" s="19"/>
      <c r="F346" s="19"/>
      <c r="G346" s="19"/>
      <c r="H346" s="19"/>
      <c r="I346" s="20"/>
      <c r="J346" s="244"/>
      <c r="K346" s="19"/>
      <c r="L346" s="19"/>
      <c r="M346" s="19"/>
      <c r="N346" s="19"/>
      <c r="O346" s="19"/>
      <c r="P346" s="19"/>
      <c r="Q346" s="19"/>
      <c r="R346" s="19"/>
      <c r="S346" s="19"/>
      <c r="T346" s="19"/>
      <c r="U346" s="19"/>
      <c r="V346" s="19"/>
      <c r="W346" s="19"/>
    </row>
    <row r="347" spans="1:23" ht="14.25" customHeight="1" x14ac:dyDescent="0.3">
      <c r="A347" s="19"/>
      <c r="B347" s="19"/>
      <c r="C347" s="19"/>
      <c r="D347" s="19"/>
      <c r="E347" s="19"/>
      <c r="F347" s="19"/>
      <c r="G347" s="19"/>
      <c r="H347" s="19"/>
      <c r="I347" s="20"/>
      <c r="J347" s="244"/>
      <c r="K347" s="19"/>
      <c r="L347" s="19"/>
      <c r="M347" s="19"/>
      <c r="N347" s="19"/>
      <c r="O347" s="19"/>
      <c r="P347" s="19"/>
      <c r="Q347" s="19"/>
      <c r="R347" s="19"/>
      <c r="S347" s="19"/>
      <c r="T347" s="19"/>
      <c r="U347" s="19"/>
      <c r="V347" s="19"/>
      <c r="W347" s="19"/>
    </row>
    <row r="348" spans="1:23" ht="14.25" customHeight="1" x14ac:dyDescent="0.3">
      <c r="A348" s="19"/>
      <c r="B348" s="19"/>
      <c r="C348" s="19"/>
      <c r="D348" s="19"/>
      <c r="E348" s="19"/>
      <c r="F348" s="19"/>
      <c r="G348" s="19"/>
      <c r="H348" s="19"/>
      <c r="I348" s="20"/>
      <c r="J348" s="244"/>
      <c r="K348" s="19"/>
      <c r="L348" s="19"/>
      <c r="M348" s="19"/>
      <c r="N348" s="19"/>
      <c r="O348" s="19"/>
      <c r="P348" s="19"/>
      <c r="Q348" s="19"/>
      <c r="R348" s="19"/>
      <c r="S348" s="19"/>
      <c r="T348" s="19"/>
      <c r="U348" s="19"/>
      <c r="V348" s="19"/>
      <c r="W348" s="19"/>
    </row>
    <row r="349" spans="1:23" ht="14.25" customHeight="1" x14ac:dyDescent="0.3">
      <c r="A349" s="19"/>
      <c r="B349" s="19"/>
      <c r="C349" s="19"/>
      <c r="D349" s="19"/>
      <c r="E349" s="19"/>
      <c r="F349" s="19"/>
      <c r="G349" s="19"/>
      <c r="H349" s="19"/>
      <c r="I349" s="20"/>
      <c r="J349" s="244"/>
      <c r="K349" s="19"/>
      <c r="L349" s="19"/>
      <c r="M349" s="19"/>
      <c r="N349" s="19"/>
      <c r="O349" s="19"/>
      <c r="P349" s="19"/>
      <c r="Q349" s="19"/>
      <c r="R349" s="19"/>
      <c r="S349" s="19"/>
      <c r="T349" s="19"/>
      <c r="U349" s="19"/>
      <c r="V349" s="19"/>
      <c r="W349" s="19"/>
    </row>
    <row r="350" spans="1:23" ht="14.25" customHeight="1" x14ac:dyDescent="0.3">
      <c r="A350" s="19"/>
      <c r="B350" s="19"/>
      <c r="C350" s="19"/>
      <c r="D350" s="19"/>
      <c r="E350" s="19"/>
      <c r="F350" s="19"/>
      <c r="G350" s="19"/>
      <c r="H350" s="19"/>
      <c r="I350" s="20"/>
      <c r="J350" s="244"/>
      <c r="K350" s="19"/>
      <c r="L350" s="19"/>
      <c r="M350" s="19"/>
      <c r="N350" s="19"/>
      <c r="O350" s="19"/>
      <c r="P350" s="19"/>
      <c r="Q350" s="19"/>
      <c r="R350" s="19"/>
      <c r="S350" s="19"/>
      <c r="T350" s="19"/>
      <c r="U350" s="19"/>
      <c r="V350" s="19"/>
      <c r="W350" s="19"/>
    </row>
    <row r="351" spans="1:23" ht="14.25" customHeight="1" x14ac:dyDescent="0.3">
      <c r="A351" s="19"/>
      <c r="B351" s="19"/>
      <c r="C351" s="19"/>
      <c r="D351" s="19"/>
      <c r="E351" s="19"/>
      <c r="F351" s="19"/>
      <c r="G351" s="19"/>
      <c r="H351" s="19"/>
      <c r="I351" s="20"/>
      <c r="J351" s="244"/>
      <c r="K351" s="19"/>
      <c r="L351" s="19"/>
      <c r="M351" s="19"/>
      <c r="N351" s="19"/>
      <c r="O351" s="19"/>
      <c r="P351" s="19"/>
      <c r="Q351" s="19"/>
      <c r="R351" s="19"/>
      <c r="S351" s="19"/>
      <c r="T351" s="19"/>
      <c r="U351" s="19"/>
      <c r="V351" s="19"/>
      <c r="W351" s="19"/>
    </row>
    <row r="352" spans="1:23" ht="14.25" customHeight="1" x14ac:dyDescent="0.3">
      <c r="A352" s="19"/>
      <c r="B352" s="19"/>
      <c r="C352" s="19"/>
      <c r="D352" s="19"/>
      <c r="E352" s="19"/>
      <c r="F352" s="19"/>
      <c r="G352" s="19"/>
      <c r="H352" s="19"/>
      <c r="I352" s="20"/>
      <c r="J352" s="244"/>
      <c r="K352" s="19"/>
      <c r="L352" s="19"/>
      <c r="M352" s="19"/>
      <c r="N352" s="19"/>
      <c r="O352" s="19"/>
      <c r="P352" s="19"/>
      <c r="Q352" s="19"/>
      <c r="R352" s="19"/>
      <c r="S352" s="19"/>
      <c r="T352" s="19"/>
      <c r="U352" s="19"/>
      <c r="V352" s="19"/>
      <c r="W352" s="19"/>
    </row>
    <row r="353" spans="1:23" ht="14.25" customHeight="1" x14ac:dyDescent="0.3">
      <c r="A353" s="19"/>
      <c r="B353" s="19"/>
      <c r="C353" s="19"/>
      <c r="D353" s="19"/>
      <c r="E353" s="19"/>
      <c r="F353" s="19"/>
      <c r="G353" s="19"/>
      <c r="H353" s="19"/>
      <c r="I353" s="20"/>
      <c r="J353" s="244"/>
      <c r="K353" s="19"/>
      <c r="L353" s="19"/>
      <c r="M353" s="19"/>
      <c r="N353" s="19"/>
      <c r="O353" s="19"/>
      <c r="P353" s="19"/>
      <c r="Q353" s="19"/>
      <c r="R353" s="19"/>
      <c r="S353" s="19"/>
      <c r="T353" s="19"/>
      <c r="U353" s="19"/>
      <c r="V353" s="19"/>
      <c r="W353" s="19"/>
    </row>
    <row r="354" spans="1:23" ht="14.25" customHeight="1" x14ac:dyDescent="0.3">
      <c r="A354" s="19"/>
      <c r="B354" s="19"/>
      <c r="C354" s="19"/>
      <c r="D354" s="19"/>
      <c r="E354" s="19"/>
      <c r="F354" s="19"/>
      <c r="G354" s="19"/>
      <c r="H354" s="19"/>
      <c r="I354" s="20"/>
      <c r="J354" s="244"/>
      <c r="K354" s="19"/>
      <c r="L354" s="19"/>
      <c r="M354" s="19"/>
      <c r="N354" s="19"/>
      <c r="O354" s="19"/>
      <c r="P354" s="19"/>
      <c r="Q354" s="19"/>
      <c r="R354" s="19"/>
      <c r="S354" s="19"/>
      <c r="T354" s="19"/>
      <c r="U354" s="19"/>
      <c r="V354" s="19"/>
      <c r="W354" s="19"/>
    </row>
    <row r="355" spans="1:23" ht="14.25" customHeight="1" x14ac:dyDescent="0.3">
      <c r="A355" s="19"/>
      <c r="B355" s="19"/>
      <c r="C355" s="19"/>
      <c r="D355" s="19"/>
      <c r="E355" s="19"/>
      <c r="F355" s="19"/>
      <c r="G355" s="19"/>
      <c r="H355" s="19"/>
      <c r="I355" s="20"/>
      <c r="J355" s="244"/>
      <c r="K355" s="19"/>
      <c r="L355" s="19"/>
      <c r="M355" s="19"/>
      <c r="N355" s="19"/>
      <c r="O355" s="19"/>
      <c r="P355" s="19"/>
      <c r="Q355" s="19"/>
      <c r="R355" s="19"/>
      <c r="S355" s="19"/>
      <c r="T355" s="19"/>
      <c r="U355" s="19"/>
      <c r="V355" s="19"/>
      <c r="W355" s="19"/>
    </row>
    <row r="356" spans="1:23" ht="14.25" customHeight="1" x14ac:dyDescent="0.3">
      <c r="A356" s="19"/>
      <c r="B356" s="19"/>
      <c r="C356" s="19"/>
      <c r="D356" s="19"/>
      <c r="E356" s="19"/>
      <c r="F356" s="19"/>
      <c r="G356" s="19"/>
      <c r="H356" s="19"/>
      <c r="I356" s="20"/>
      <c r="J356" s="244"/>
      <c r="K356" s="19"/>
      <c r="L356" s="19"/>
      <c r="M356" s="19"/>
      <c r="N356" s="19"/>
      <c r="O356" s="19"/>
      <c r="P356" s="19"/>
      <c r="Q356" s="19"/>
      <c r="R356" s="19"/>
      <c r="S356" s="19"/>
      <c r="T356" s="19"/>
      <c r="U356" s="19"/>
      <c r="V356" s="19"/>
      <c r="W356" s="19"/>
    </row>
    <row r="357" spans="1:23" ht="14.25" customHeight="1" x14ac:dyDescent="0.3">
      <c r="A357" s="19"/>
      <c r="B357" s="19"/>
      <c r="C357" s="19"/>
      <c r="D357" s="19"/>
      <c r="E357" s="19"/>
      <c r="F357" s="19"/>
      <c r="G357" s="19"/>
      <c r="H357" s="19"/>
      <c r="I357" s="20"/>
      <c r="J357" s="244"/>
      <c r="K357" s="19"/>
      <c r="L357" s="19"/>
      <c r="M357" s="19"/>
      <c r="N357" s="19"/>
      <c r="O357" s="19"/>
      <c r="P357" s="19"/>
      <c r="Q357" s="19"/>
      <c r="R357" s="19"/>
      <c r="S357" s="19"/>
      <c r="T357" s="19"/>
      <c r="U357" s="19"/>
      <c r="V357" s="19"/>
      <c r="W357" s="19"/>
    </row>
    <row r="358" spans="1:23" ht="14.25" customHeight="1" x14ac:dyDescent="0.3">
      <c r="A358" s="19"/>
      <c r="B358" s="19"/>
      <c r="C358" s="19"/>
      <c r="D358" s="19"/>
      <c r="E358" s="19"/>
      <c r="F358" s="19"/>
      <c r="G358" s="19"/>
      <c r="H358" s="19"/>
      <c r="I358" s="20"/>
      <c r="J358" s="244"/>
      <c r="K358" s="19"/>
      <c r="L358" s="19"/>
      <c r="M358" s="19"/>
      <c r="N358" s="19"/>
      <c r="O358" s="19"/>
      <c r="P358" s="19"/>
      <c r="Q358" s="19"/>
      <c r="R358" s="19"/>
      <c r="S358" s="19"/>
      <c r="T358" s="19"/>
      <c r="U358" s="19"/>
      <c r="V358" s="19"/>
      <c r="W358" s="19"/>
    </row>
    <row r="359" spans="1:23" ht="14.25" customHeight="1" x14ac:dyDescent="0.3">
      <c r="A359" s="19"/>
      <c r="B359" s="19"/>
      <c r="C359" s="19"/>
      <c r="D359" s="19"/>
      <c r="E359" s="19"/>
      <c r="F359" s="19"/>
      <c r="G359" s="19"/>
      <c r="H359" s="19"/>
      <c r="I359" s="20"/>
      <c r="J359" s="244"/>
      <c r="K359" s="19"/>
      <c r="L359" s="19"/>
      <c r="M359" s="19"/>
      <c r="N359" s="19"/>
      <c r="O359" s="19"/>
      <c r="P359" s="19"/>
      <c r="Q359" s="19"/>
      <c r="R359" s="19"/>
      <c r="S359" s="19"/>
      <c r="T359" s="19"/>
      <c r="U359" s="19"/>
      <c r="V359" s="19"/>
      <c r="W359" s="19"/>
    </row>
    <row r="360" spans="1:23" ht="14.25" customHeight="1" x14ac:dyDescent="0.3">
      <c r="A360" s="19"/>
      <c r="B360" s="19"/>
      <c r="C360" s="19"/>
      <c r="D360" s="19"/>
      <c r="E360" s="19"/>
      <c r="F360" s="19"/>
      <c r="G360" s="19"/>
      <c r="H360" s="19"/>
      <c r="I360" s="20"/>
      <c r="J360" s="244"/>
      <c r="K360" s="19"/>
      <c r="L360" s="19"/>
      <c r="M360" s="19"/>
      <c r="N360" s="19"/>
      <c r="O360" s="19"/>
      <c r="P360" s="19"/>
      <c r="Q360" s="19"/>
      <c r="R360" s="19"/>
      <c r="S360" s="19"/>
      <c r="T360" s="19"/>
      <c r="U360" s="19"/>
      <c r="V360" s="19"/>
      <c r="W360" s="19"/>
    </row>
    <row r="361" spans="1:23" ht="14.25" customHeight="1" x14ac:dyDescent="0.3">
      <c r="A361" s="19"/>
      <c r="B361" s="19"/>
      <c r="C361" s="19"/>
      <c r="D361" s="19"/>
      <c r="E361" s="19"/>
      <c r="F361" s="19"/>
      <c r="G361" s="19"/>
      <c r="H361" s="19"/>
      <c r="I361" s="20"/>
      <c r="J361" s="244"/>
      <c r="K361" s="19"/>
      <c r="L361" s="19"/>
      <c r="M361" s="19"/>
      <c r="N361" s="19"/>
      <c r="O361" s="19"/>
      <c r="P361" s="19"/>
      <c r="Q361" s="19"/>
      <c r="R361" s="19"/>
      <c r="S361" s="19"/>
      <c r="T361" s="19"/>
      <c r="U361" s="19"/>
      <c r="V361" s="19"/>
      <c r="W361" s="19"/>
    </row>
    <row r="362" spans="1:23" ht="14.25" customHeight="1" x14ac:dyDescent="0.3">
      <c r="A362" s="19"/>
      <c r="B362" s="19"/>
      <c r="C362" s="19"/>
      <c r="D362" s="19"/>
      <c r="E362" s="19"/>
      <c r="F362" s="19"/>
      <c r="G362" s="19"/>
      <c r="H362" s="19"/>
      <c r="I362" s="20"/>
      <c r="J362" s="244"/>
      <c r="K362" s="19"/>
      <c r="L362" s="19"/>
      <c r="M362" s="19"/>
      <c r="N362" s="19"/>
      <c r="O362" s="19"/>
      <c r="P362" s="19"/>
      <c r="Q362" s="19"/>
      <c r="R362" s="19"/>
      <c r="S362" s="19"/>
      <c r="T362" s="19"/>
      <c r="U362" s="19"/>
      <c r="V362" s="19"/>
      <c r="W362" s="19"/>
    </row>
    <row r="363" spans="1:23" ht="14.25" customHeight="1" x14ac:dyDescent="0.3">
      <c r="A363" s="19"/>
      <c r="B363" s="19"/>
      <c r="C363" s="19"/>
      <c r="D363" s="19"/>
      <c r="E363" s="19"/>
      <c r="F363" s="19"/>
      <c r="G363" s="19"/>
      <c r="H363" s="19"/>
      <c r="I363" s="20"/>
      <c r="J363" s="244"/>
      <c r="K363" s="19"/>
      <c r="L363" s="19"/>
      <c r="M363" s="19"/>
      <c r="N363" s="19"/>
      <c r="O363" s="19"/>
      <c r="P363" s="19"/>
      <c r="Q363" s="19"/>
      <c r="R363" s="19"/>
      <c r="S363" s="19"/>
      <c r="T363" s="19"/>
      <c r="U363" s="19"/>
      <c r="V363" s="19"/>
      <c r="W363" s="19"/>
    </row>
    <row r="364" spans="1:23" ht="14.25" customHeight="1" x14ac:dyDescent="0.3">
      <c r="A364" s="19"/>
      <c r="B364" s="19"/>
      <c r="C364" s="19"/>
      <c r="D364" s="19"/>
      <c r="E364" s="19"/>
      <c r="F364" s="19"/>
      <c r="G364" s="19"/>
      <c r="H364" s="19"/>
      <c r="I364" s="20"/>
      <c r="J364" s="244"/>
      <c r="K364" s="19"/>
      <c r="L364" s="19"/>
      <c r="M364" s="19"/>
      <c r="N364" s="19"/>
      <c r="O364" s="19"/>
      <c r="P364" s="19"/>
      <c r="Q364" s="19"/>
      <c r="R364" s="19"/>
      <c r="S364" s="19"/>
      <c r="T364" s="19"/>
      <c r="U364" s="19"/>
      <c r="V364" s="19"/>
      <c r="W364" s="19"/>
    </row>
    <row r="365" spans="1:23" ht="14.25" customHeight="1" x14ac:dyDescent="0.3">
      <c r="A365" s="19"/>
      <c r="B365" s="19"/>
      <c r="C365" s="19"/>
      <c r="D365" s="19"/>
      <c r="E365" s="19"/>
      <c r="F365" s="19"/>
      <c r="G365" s="19"/>
      <c r="H365" s="19"/>
      <c r="I365" s="20"/>
      <c r="J365" s="244"/>
      <c r="K365" s="19"/>
      <c r="L365" s="19"/>
      <c r="M365" s="19"/>
      <c r="N365" s="19"/>
      <c r="O365" s="19"/>
      <c r="P365" s="19"/>
      <c r="Q365" s="19"/>
      <c r="R365" s="19"/>
      <c r="S365" s="19"/>
      <c r="T365" s="19"/>
      <c r="U365" s="19"/>
      <c r="V365" s="19"/>
      <c r="W365" s="19"/>
    </row>
    <row r="366" spans="1:23" ht="14.25" customHeight="1" x14ac:dyDescent="0.3">
      <c r="A366" s="19"/>
      <c r="B366" s="19"/>
      <c r="C366" s="19"/>
      <c r="D366" s="19"/>
      <c r="E366" s="19"/>
      <c r="F366" s="19"/>
      <c r="G366" s="19"/>
      <c r="H366" s="19"/>
      <c r="I366" s="20"/>
      <c r="J366" s="244"/>
      <c r="K366" s="19"/>
      <c r="L366" s="19"/>
      <c r="M366" s="19"/>
      <c r="N366" s="19"/>
      <c r="O366" s="19"/>
      <c r="P366" s="19"/>
      <c r="Q366" s="19"/>
      <c r="R366" s="19"/>
      <c r="S366" s="19"/>
      <c r="T366" s="19"/>
      <c r="U366" s="19"/>
      <c r="V366" s="19"/>
      <c r="W366" s="19"/>
    </row>
    <row r="367" spans="1:23" ht="14.25" customHeight="1" x14ac:dyDescent="0.3">
      <c r="A367" s="19"/>
      <c r="B367" s="19"/>
      <c r="C367" s="19"/>
      <c r="D367" s="19"/>
      <c r="E367" s="19"/>
      <c r="F367" s="19"/>
      <c r="G367" s="19"/>
      <c r="H367" s="19"/>
      <c r="I367" s="20"/>
      <c r="J367" s="244"/>
      <c r="K367" s="19"/>
      <c r="L367" s="19"/>
      <c r="M367" s="19"/>
      <c r="N367" s="19"/>
      <c r="O367" s="19"/>
      <c r="P367" s="19"/>
      <c r="Q367" s="19"/>
      <c r="R367" s="19"/>
      <c r="S367" s="19"/>
      <c r="T367" s="19"/>
      <c r="U367" s="19"/>
      <c r="V367" s="19"/>
      <c r="W367" s="19"/>
    </row>
    <row r="368" spans="1:23" ht="14.25" customHeight="1" x14ac:dyDescent="0.3">
      <c r="A368" s="19"/>
      <c r="B368" s="19"/>
      <c r="C368" s="19"/>
      <c r="D368" s="19"/>
      <c r="E368" s="19"/>
      <c r="F368" s="19"/>
      <c r="G368" s="19"/>
      <c r="H368" s="19"/>
      <c r="I368" s="20"/>
      <c r="J368" s="244"/>
      <c r="K368" s="19"/>
      <c r="L368" s="19"/>
      <c r="M368" s="19"/>
      <c r="N368" s="19"/>
      <c r="O368" s="19"/>
      <c r="P368" s="19"/>
      <c r="Q368" s="19"/>
      <c r="R368" s="19"/>
      <c r="S368" s="19"/>
      <c r="T368" s="19"/>
      <c r="U368" s="19"/>
      <c r="V368" s="19"/>
      <c r="W368" s="19"/>
    </row>
    <row r="369" spans="1:23" ht="14.25" customHeight="1" x14ac:dyDescent="0.3">
      <c r="A369" s="19"/>
      <c r="B369" s="19"/>
      <c r="C369" s="19"/>
      <c r="D369" s="19"/>
      <c r="E369" s="19"/>
      <c r="F369" s="19"/>
      <c r="G369" s="19"/>
      <c r="H369" s="19"/>
      <c r="I369" s="20"/>
      <c r="J369" s="244"/>
      <c r="K369" s="19"/>
      <c r="L369" s="19"/>
      <c r="M369" s="19"/>
      <c r="N369" s="19"/>
      <c r="O369" s="19"/>
      <c r="P369" s="19"/>
      <c r="Q369" s="19"/>
      <c r="R369" s="19"/>
      <c r="S369" s="19"/>
      <c r="T369" s="19"/>
      <c r="U369" s="19"/>
      <c r="V369" s="19"/>
      <c r="W369" s="19"/>
    </row>
    <row r="370" spans="1:23" ht="14.25" customHeight="1" x14ac:dyDescent="0.3">
      <c r="A370" s="19"/>
      <c r="B370" s="19"/>
      <c r="C370" s="19"/>
      <c r="D370" s="19"/>
      <c r="E370" s="19"/>
      <c r="F370" s="19"/>
      <c r="G370" s="19"/>
      <c r="H370" s="19"/>
      <c r="I370" s="20"/>
      <c r="J370" s="244"/>
      <c r="K370" s="19"/>
      <c r="L370" s="19"/>
      <c r="M370" s="19"/>
      <c r="N370" s="19"/>
      <c r="O370" s="19"/>
      <c r="P370" s="19"/>
      <c r="Q370" s="19"/>
      <c r="R370" s="19"/>
      <c r="S370" s="19"/>
      <c r="T370" s="19"/>
      <c r="U370" s="19"/>
      <c r="V370" s="19"/>
      <c r="W370" s="19"/>
    </row>
    <row r="371" spans="1:23" ht="14.25" customHeight="1" x14ac:dyDescent="0.3">
      <c r="A371" s="19"/>
      <c r="B371" s="19"/>
      <c r="C371" s="19"/>
      <c r="D371" s="19"/>
      <c r="E371" s="19"/>
      <c r="F371" s="19"/>
      <c r="G371" s="19"/>
      <c r="H371" s="19"/>
      <c r="I371" s="20"/>
      <c r="J371" s="244"/>
      <c r="K371" s="19"/>
      <c r="L371" s="19"/>
      <c r="M371" s="19"/>
      <c r="N371" s="19"/>
      <c r="O371" s="19"/>
      <c r="P371" s="19"/>
      <c r="Q371" s="19"/>
      <c r="R371" s="19"/>
      <c r="S371" s="19"/>
      <c r="T371" s="19"/>
      <c r="U371" s="19"/>
      <c r="V371" s="19"/>
      <c r="W371" s="19"/>
    </row>
    <row r="372" spans="1:23" ht="14.25" customHeight="1" x14ac:dyDescent="0.3">
      <c r="A372" s="19"/>
      <c r="B372" s="19"/>
      <c r="C372" s="19"/>
      <c r="D372" s="19"/>
      <c r="E372" s="19"/>
      <c r="F372" s="19"/>
      <c r="G372" s="19"/>
      <c r="H372" s="19"/>
      <c r="I372" s="20"/>
      <c r="J372" s="244"/>
      <c r="K372" s="19"/>
      <c r="L372" s="19"/>
      <c r="M372" s="19"/>
      <c r="N372" s="19"/>
      <c r="O372" s="19"/>
      <c r="P372" s="19"/>
      <c r="Q372" s="19"/>
      <c r="R372" s="19"/>
      <c r="S372" s="19"/>
      <c r="T372" s="19"/>
      <c r="U372" s="19"/>
      <c r="V372" s="19"/>
      <c r="W372" s="19"/>
    </row>
    <row r="373" spans="1:23" ht="14.25" customHeight="1" x14ac:dyDescent="0.3">
      <c r="A373" s="19"/>
      <c r="B373" s="19"/>
      <c r="C373" s="19"/>
      <c r="D373" s="19"/>
      <c r="E373" s="19"/>
      <c r="F373" s="19"/>
      <c r="G373" s="19"/>
      <c r="H373" s="19"/>
      <c r="I373" s="20"/>
      <c r="J373" s="244"/>
      <c r="K373" s="19"/>
      <c r="L373" s="19"/>
      <c r="M373" s="19"/>
      <c r="N373" s="19"/>
      <c r="O373" s="19"/>
      <c r="P373" s="19"/>
      <c r="Q373" s="19"/>
      <c r="R373" s="19"/>
      <c r="S373" s="19"/>
      <c r="T373" s="19"/>
      <c r="U373" s="19"/>
      <c r="V373" s="19"/>
      <c r="W373" s="19"/>
    </row>
    <row r="374" spans="1:23" ht="14.25" customHeight="1" x14ac:dyDescent="0.3">
      <c r="A374" s="19"/>
      <c r="B374" s="19"/>
      <c r="C374" s="19"/>
      <c r="D374" s="19"/>
      <c r="E374" s="19"/>
      <c r="F374" s="19"/>
      <c r="G374" s="19"/>
      <c r="H374" s="19"/>
      <c r="I374" s="20"/>
      <c r="J374" s="244"/>
      <c r="K374" s="19"/>
      <c r="L374" s="19"/>
      <c r="M374" s="19"/>
      <c r="N374" s="19"/>
      <c r="O374" s="19"/>
      <c r="P374" s="19"/>
      <c r="Q374" s="19"/>
      <c r="R374" s="19"/>
      <c r="S374" s="19"/>
      <c r="T374" s="19"/>
      <c r="U374" s="19"/>
      <c r="V374" s="19"/>
      <c r="W374" s="19"/>
    </row>
    <row r="375" spans="1:23" ht="14.25" customHeight="1" x14ac:dyDescent="0.3">
      <c r="A375" s="19"/>
      <c r="B375" s="19"/>
      <c r="C375" s="19"/>
      <c r="D375" s="19"/>
      <c r="E375" s="19"/>
      <c r="F375" s="19"/>
      <c r="G375" s="19"/>
      <c r="H375" s="19"/>
      <c r="I375" s="20"/>
      <c r="J375" s="244"/>
      <c r="K375" s="19"/>
      <c r="L375" s="19"/>
      <c r="M375" s="19"/>
      <c r="N375" s="19"/>
      <c r="O375" s="19"/>
      <c r="P375" s="19"/>
      <c r="Q375" s="19"/>
      <c r="R375" s="19"/>
      <c r="S375" s="19"/>
      <c r="T375" s="19"/>
      <c r="U375" s="19"/>
      <c r="V375" s="19"/>
      <c r="W375" s="19"/>
    </row>
    <row r="376" spans="1:23" ht="14.25" customHeight="1" x14ac:dyDescent="0.3">
      <c r="A376" s="19"/>
      <c r="B376" s="19"/>
      <c r="C376" s="19"/>
      <c r="D376" s="19"/>
      <c r="E376" s="19"/>
      <c r="F376" s="19"/>
      <c r="G376" s="19"/>
      <c r="H376" s="19"/>
      <c r="I376" s="20"/>
      <c r="J376" s="244"/>
      <c r="K376" s="19"/>
      <c r="L376" s="19"/>
      <c r="M376" s="19"/>
      <c r="N376" s="19"/>
      <c r="O376" s="19"/>
      <c r="P376" s="19"/>
      <c r="Q376" s="19"/>
      <c r="R376" s="19"/>
      <c r="S376" s="19"/>
      <c r="T376" s="19"/>
      <c r="U376" s="19"/>
      <c r="V376" s="19"/>
      <c r="W376" s="19"/>
    </row>
    <row r="377" spans="1:23" ht="14.25" customHeight="1" x14ac:dyDescent="0.3">
      <c r="A377" s="19"/>
      <c r="B377" s="19"/>
      <c r="C377" s="19"/>
      <c r="D377" s="19"/>
      <c r="E377" s="19"/>
      <c r="F377" s="19"/>
      <c r="G377" s="19"/>
      <c r="H377" s="19"/>
      <c r="I377" s="20"/>
      <c r="J377" s="244"/>
      <c r="K377" s="19"/>
      <c r="L377" s="19"/>
      <c r="M377" s="19"/>
      <c r="N377" s="19"/>
      <c r="O377" s="19"/>
      <c r="P377" s="19"/>
      <c r="Q377" s="19"/>
      <c r="R377" s="19"/>
      <c r="S377" s="19"/>
      <c r="T377" s="19"/>
      <c r="U377" s="19"/>
      <c r="V377" s="19"/>
      <c r="W377" s="19"/>
    </row>
    <row r="378" spans="1:23" ht="14.25" customHeight="1" x14ac:dyDescent="0.3">
      <c r="A378" s="19"/>
      <c r="B378" s="19"/>
      <c r="C378" s="19"/>
      <c r="D378" s="19"/>
      <c r="E378" s="19"/>
      <c r="F378" s="19"/>
      <c r="G378" s="19"/>
      <c r="H378" s="19"/>
      <c r="I378" s="20"/>
      <c r="J378" s="244"/>
      <c r="K378" s="19"/>
      <c r="L378" s="19"/>
      <c r="M378" s="19"/>
      <c r="N378" s="19"/>
      <c r="O378" s="19"/>
      <c r="P378" s="19"/>
      <c r="Q378" s="19"/>
      <c r="R378" s="19"/>
      <c r="S378" s="19"/>
      <c r="T378" s="19"/>
      <c r="U378" s="19"/>
      <c r="V378" s="19"/>
      <c r="W378" s="19"/>
    </row>
    <row r="379" spans="1:23" ht="14.25" customHeight="1" x14ac:dyDescent="0.3">
      <c r="A379" s="19"/>
      <c r="B379" s="19"/>
      <c r="C379" s="19"/>
      <c r="D379" s="19"/>
      <c r="E379" s="19"/>
      <c r="F379" s="19"/>
      <c r="G379" s="19"/>
      <c r="H379" s="19"/>
      <c r="I379" s="20"/>
      <c r="J379" s="244"/>
      <c r="K379" s="19"/>
      <c r="L379" s="19"/>
      <c r="M379" s="19"/>
      <c r="N379" s="19"/>
      <c r="O379" s="19"/>
      <c r="P379" s="19"/>
      <c r="Q379" s="19"/>
      <c r="R379" s="19"/>
      <c r="S379" s="19"/>
      <c r="T379" s="19"/>
      <c r="U379" s="19"/>
      <c r="V379" s="19"/>
      <c r="W379" s="19"/>
    </row>
    <row r="380" spans="1:23" ht="14.25" customHeight="1" x14ac:dyDescent="0.3">
      <c r="A380" s="19"/>
      <c r="B380" s="19"/>
      <c r="C380" s="19"/>
      <c r="D380" s="19"/>
      <c r="E380" s="19"/>
      <c r="F380" s="19"/>
      <c r="G380" s="19"/>
      <c r="H380" s="19"/>
      <c r="I380" s="20"/>
      <c r="J380" s="244"/>
      <c r="K380" s="19"/>
      <c r="L380" s="19"/>
      <c r="M380" s="19"/>
      <c r="N380" s="19"/>
      <c r="O380" s="19"/>
      <c r="P380" s="19"/>
      <c r="Q380" s="19"/>
      <c r="R380" s="19"/>
      <c r="S380" s="19"/>
      <c r="T380" s="19"/>
      <c r="U380" s="19"/>
      <c r="V380" s="19"/>
      <c r="W380" s="19"/>
    </row>
    <row r="381" spans="1:23" ht="14.25" customHeight="1" x14ac:dyDescent="0.3">
      <c r="A381" s="19"/>
      <c r="B381" s="19"/>
      <c r="C381" s="19"/>
      <c r="D381" s="19"/>
      <c r="E381" s="19"/>
      <c r="F381" s="19"/>
      <c r="G381" s="19"/>
      <c r="H381" s="19"/>
      <c r="I381" s="20"/>
      <c r="J381" s="244"/>
      <c r="K381" s="19"/>
      <c r="L381" s="19"/>
      <c r="M381" s="19"/>
      <c r="N381" s="19"/>
      <c r="O381" s="19"/>
      <c r="P381" s="19"/>
      <c r="Q381" s="19"/>
      <c r="R381" s="19"/>
      <c r="S381" s="19"/>
      <c r="T381" s="19"/>
      <c r="U381" s="19"/>
      <c r="V381" s="19"/>
      <c r="W381" s="19"/>
    </row>
    <row r="382" spans="1:23" ht="14.25" customHeight="1" x14ac:dyDescent="0.3">
      <c r="A382" s="19"/>
      <c r="B382" s="19"/>
      <c r="C382" s="19"/>
      <c r="D382" s="19"/>
      <c r="E382" s="19"/>
      <c r="F382" s="19"/>
      <c r="G382" s="19"/>
      <c r="H382" s="19"/>
      <c r="I382" s="20"/>
      <c r="J382" s="244"/>
      <c r="K382" s="19"/>
      <c r="L382" s="19"/>
      <c r="M382" s="19"/>
      <c r="N382" s="19"/>
      <c r="O382" s="19"/>
      <c r="P382" s="19"/>
      <c r="Q382" s="19"/>
      <c r="R382" s="19"/>
      <c r="S382" s="19"/>
      <c r="T382" s="19"/>
      <c r="U382" s="19"/>
      <c r="V382" s="19"/>
      <c r="W382" s="19"/>
    </row>
    <row r="383" spans="1:23" ht="14.25" customHeight="1" x14ac:dyDescent="0.3">
      <c r="A383" s="19"/>
      <c r="B383" s="19"/>
      <c r="C383" s="19"/>
      <c r="D383" s="19"/>
      <c r="E383" s="19"/>
      <c r="F383" s="19"/>
      <c r="G383" s="19"/>
      <c r="H383" s="19"/>
      <c r="I383" s="20"/>
      <c r="J383" s="244"/>
      <c r="K383" s="19"/>
      <c r="L383" s="19"/>
      <c r="M383" s="19"/>
      <c r="N383" s="19"/>
      <c r="O383" s="19"/>
      <c r="P383" s="19"/>
      <c r="Q383" s="19"/>
      <c r="R383" s="19"/>
      <c r="S383" s="19"/>
      <c r="T383" s="19"/>
      <c r="U383" s="19"/>
      <c r="V383" s="19"/>
      <c r="W383" s="19"/>
    </row>
    <row r="384" spans="1:23" ht="14.25" customHeight="1" x14ac:dyDescent="0.3">
      <c r="A384" s="19"/>
      <c r="B384" s="19"/>
      <c r="C384" s="19"/>
      <c r="D384" s="19"/>
      <c r="E384" s="19"/>
      <c r="F384" s="19"/>
      <c r="G384" s="19"/>
      <c r="H384" s="19"/>
      <c r="I384" s="20"/>
      <c r="J384" s="244"/>
      <c r="K384" s="19"/>
      <c r="L384" s="19"/>
      <c r="M384" s="19"/>
      <c r="N384" s="19"/>
      <c r="O384" s="19"/>
      <c r="P384" s="19"/>
      <c r="Q384" s="19"/>
      <c r="R384" s="19"/>
      <c r="S384" s="19"/>
      <c r="T384" s="19"/>
      <c r="U384" s="19"/>
      <c r="V384" s="19"/>
      <c r="W384" s="19"/>
    </row>
    <row r="385" spans="1:23" ht="14.25" customHeight="1" x14ac:dyDescent="0.3">
      <c r="A385" s="19"/>
      <c r="B385" s="19"/>
      <c r="C385" s="19"/>
      <c r="D385" s="19"/>
      <c r="E385" s="19"/>
      <c r="F385" s="19"/>
      <c r="G385" s="19"/>
      <c r="H385" s="19"/>
      <c r="I385" s="20"/>
      <c r="J385" s="244"/>
      <c r="K385" s="19"/>
      <c r="L385" s="19"/>
      <c r="M385" s="19"/>
      <c r="N385" s="19"/>
      <c r="O385" s="19"/>
      <c r="P385" s="19"/>
      <c r="Q385" s="19"/>
      <c r="R385" s="19"/>
      <c r="S385" s="19"/>
      <c r="T385" s="19"/>
      <c r="U385" s="19"/>
      <c r="V385" s="19"/>
      <c r="W385" s="19"/>
    </row>
    <row r="386" spans="1:23" ht="14.25" customHeight="1" x14ac:dyDescent="0.3">
      <c r="A386" s="19"/>
      <c r="B386" s="19"/>
      <c r="C386" s="19"/>
      <c r="D386" s="19"/>
      <c r="E386" s="19"/>
      <c r="F386" s="19"/>
      <c r="G386" s="19"/>
      <c r="H386" s="19"/>
      <c r="I386" s="20"/>
      <c r="J386" s="244"/>
      <c r="K386" s="19"/>
      <c r="L386" s="19"/>
      <c r="M386" s="19"/>
      <c r="N386" s="19"/>
      <c r="O386" s="19"/>
      <c r="P386" s="19"/>
      <c r="Q386" s="19"/>
      <c r="R386" s="19"/>
      <c r="S386" s="19"/>
      <c r="T386" s="19"/>
      <c r="U386" s="19"/>
      <c r="V386" s="19"/>
      <c r="W386" s="19"/>
    </row>
    <row r="387" spans="1:23" ht="14.25" customHeight="1" x14ac:dyDescent="0.3">
      <c r="A387" s="19"/>
      <c r="B387" s="19"/>
      <c r="C387" s="19"/>
      <c r="D387" s="19"/>
      <c r="E387" s="19"/>
      <c r="F387" s="19"/>
      <c r="G387" s="19"/>
      <c r="H387" s="19"/>
      <c r="I387" s="20"/>
      <c r="J387" s="244"/>
      <c r="K387" s="19"/>
      <c r="L387" s="19"/>
      <c r="M387" s="19"/>
      <c r="N387" s="19"/>
      <c r="O387" s="19"/>
      <c r="P387" s="19"/>
      <c r="Q387" s="19"/>
      <c r="R387" s="19"/>
      <c r="S387" s="19"/>
      <c r="T387" s="19"/>
      <c r="U387" s="19"/>
      <c r="V387" s="19"/>
      <c r="W387" s="19"/>
    </row>
    <row r="388" spans="1:23" ht="14.25" customHeight="1" x14ac:dyDescent="0.3">
      <c r="A388" s="19"/>
      <c r="B388" s="19"/>
      <c r="C388" s="19"/>
      <c r="D388" s="19"/>
      <c r="E388" s="19"/>
      <c r="F388" s="19"/>
      <c r="G388" s="19"/>
      <c r="H388" s="19"/>
      <c r="I388" s="20"/>
      <c r="J388" s="244"/>
      <c r="K388" s="19"/>
      <c r="L388" s="19"/>
      <c r="M388" s="19"/>
      <c r="N388" s="19"/>
      <c r="O388" s="19"/>
      <c r="P388" s="19"/>
      <c r="Q388" s="19"/>
      <c r="R388" s="19"/>
      <c r="S388" s="19"/>
      <c r="T388" s="19"/>
      <c r="U388" s="19"/>
      <c r="V388" s="19"/>
      <c r="W388" s="19"/>
    </row>
    <row r="389" spans="1:23" ht="14.25" customHeight="1" x14ac:dyDescent="0.3">
      <c r="A389" s="19"/>
      <c r="B389" s="19"/>
      <c r="C389" s="19"/>
      <c r="D389" s="19"/>
      <c r="E389" s="19"/>
      <c r="F389" s="19"/>
      <c r="G389" s="19"/>
      <c r="H389" s="19"/>
      <c r="I389" s="20"/>
      <c r="J389" s="244"/>
      <c r="K389" s="19"/>
      <c r="L389" s="19"/>
      <c r="M389" s="19"/>
      <c r="N389" s="19"/>
      <c r="O389" s="19"/>
      <c r="P389" s="19"/>
      <c r="Q389" s="19"/>
      <c r="R389" s="19"/>
      <c r="S389" s="19"/>
      <c r="T389" s="19"/>
      <c r="U389" s="19"/>
      <c r="V389" s="19"/>
      <c r="W389" s="19"/>
    </row>
    <row r="390" spans="1:23" ht="14.25" customHeight="1" x14ac:dyDescent="0.3">
      <c r="A390" s="19"/>
      <c r="B390" s="19"/>
      <c r="C390" s="19"/>
      <c r="D390" s="19"/>
      <c r="E390" s="19"/>
      <c r="F390" s="19"/>
      <c r="G390" s="19"/>
      <c r="H390" s="19"/>
      <c r="I390" s="20"/>
      <c r="J390" s="244"/>
      <c r="K390" s="19"/>
      <c r="L390" s="19"/>
      <c r="M390" s="19"/>
      <c r="N390" s="19"/>
      <c r="O390" s="19"/>
      <c r="P390" s="19"/>
      <c r="Q390" s="19"/>
      <c r="R390" s="19"/>
      <c r="S390" s="19"/>
      <c r="T390" s="19"/>
      <c r="U390" s="19"/>
      <c r="V390" s="19"/>
      <c r="W390" s="19"/>
    </row>
    <row r="391" spans="1:23" ht="14.25" customHeight="1" x14ac:dyDescent="0.3">
      <c r="A391" s="19"/>
      <c r="B391" s="19"/>
      <c r="C391" s="19"/>
      <c r="D391" s="19"/>
      <c r="E391" s="19"/>
      <c r="F391" s="19"/>
      <c r="G391" s="19"/>
      <c r="H391" s="19"/>
      <c r="I391" s="20"/>
      <c r="J391" s="244"/>
      <c r="K391" s="19"/>
      <c r="L391" s="19"/>
      <c r="M391" s="19"/>
      <c r="N391" s="19"/>
      <c r="O391" s="19"/>
      <c r="P391" s="19"/>
      <c r="Q391" s="19"/>
      <c r="R391" s="19"/>
      <c r="S391" s="19"/>
      <c r="T391" s="19"/>
      <c r="U391" s="19"/>
      <c r="V391" s="19"/>
      <c r="W391" s="19"/>
    </row>
    <row r="392" spans="1:23" ht="14.25" customHeight="1" x14ac:dyDescent="0.3">
      <c r="A392" s="19"/>
      <c r="B392" s="19"/>
      <c r="C392" s="19"/>
      <c r="D392" s="19"/>
      <c r="E392" s="19"/>
      <c r="F392" s="19"/>
      <c r="G392" s="19"/>
      <c r="H392" s="19"/>
      <c r="I392" s="20"/>
      <c r="J392" s="244"/>
      <c r="K392" s="19"/>
      <c r="L392" s="19"/>
      <c r="M392" s="19"/>
      <c r="N392" s="19"/>
      <c r="O392" s="19"/>
      <c r="P392" s="19"/>
      <c r="Q392" s="19"/>
      <c r="R392" s="19"/>
      <c r="S392" s="19"/>
      <c r="T392" s="19"/>
      <c r="U392" s="19"/>
      <c r="V392" s="19"/>
      <c r="W392" s="19"/>
    </row>
    <row r="393" spans="1:23" ht="14.25" customHeight="1" x14ac:dyDescent="0.3">
      <c r="A393" s="19"/>
      <c r="B393" s="19"/>
      <c r="C393" s="19"/>
      <c r="D393" s="19"/>
      <c r="E393" s="19"/>
      <c r="F393" s="19"/>
      <c r="G393" s="19"/>
      <c r="H393" s="19"/>
      <c r="I393" s="20"/>
      <c r="J393" s="244"/>
      <c r="K393" s="19"/>
      <c r="L393" s="19"/>
      <c r="M393" s="19"/>
      <c r="N393" s="19"/>
      <c r="O393" s="19"/>
      <c r="P393" s="19"/>
      <c r="Q393" s="19"/>
      <c r="R393" s="19"/>
      <c r="S393" s="19"/>
      <c r="T393" s="19"/>
      <c r="U393" s="19"/>
      <c r="V393" s="19"/>
      <c r="W393" s="19"/>
    </row>
    <row r="394" spans="1:23" ht="14.25" customHeight="1" x14ac:dyDescent="0.3">
      <c r="A394" s="19"/>
      <c r="B394" s="19"/>
      <c r="C394" s="19"/>
      <c r="D394" s="19"/>
      <c r="E394" s="19"/>
      <c r="F394" s="19"/>
      <c r="G394" s="19"/>
      <c r="H394" s="19"/>
      <c r="I394" s="20"/>
      <c r="J394" s="244"/>
      <c r="K394" s="19"/>
      <c r="L394" s="19"/>
      <c r="M394" s="19"/>
      <c r="N394" s="19"/>
      <c r="O394" s="19"/>
      <c r="P394" s="19"/>
      <c r="Q394" s="19"/>
      <c r="R394" s="19"/>
      <c r="S394" s="19"/>
      <c r="T394" s="19"/>
      <c r="U394" s="19"/>
      <c r="V394" s="19"/>
      <c r="W394" s="19"/>
    </row>
    <row r="395" spans="1:23" ht="14.25" customHeight="1" x14ac:dyDescent="0.3">
      <c r="A395" s="19"/>
      <c r="B395" s="19"/>
      <c r="C395" s="19"/>
      <c r="D395" s="19"/>
      <c r="E395" s="19"/>
      <c r="F395" s="19"/>
      <c r="G395" s="19"/>
      <c r="H395" s="19"/>
      <c r="I395" s="20"/>
      <c r="J395" s="244"/>
      <c r="K395" s="19"/>
      <c r="L395" s="19"/>
      <c r="M395" s="19"/>
      <c r="N395" s="19"/>
      <c r="O395" s="19"/>
      <c r="P395" s="19"/>
      <c r="Q395" s="19"/>
      <c r="R395" s="19"/>
      <c r="S395" s="19"/>
      <c r="T395" s="19"/>
      <c r="U395" s="19"/>
      <c r="V395" s="19"/>
      <c r="W395" s="19"/>
    </row>
    <row r="396" spans="1:23" ht="14.25" customHeight="1" x14ac:dyDescent="0.3">
      <c r="A396" s="19"/>
      <c r="B396" s="19"/>
      <c r="C396" s="19"/>
      <c r="D396" s="19"/>
      <c r="E396" s="19"/>
      <c r="F396" s="19"/>
      <c r="G396" s="19"/>
      <c r="H396" s="19"/>
      <c r="I396" s="20"/>
      <c r="J396" s="244"/>
      <c r="K396" s="19"/>
      <c r="L396" s="19"/>
      <c r="M396" s="19"/>
      <c r="N396" s="19"/>
      <c r="O396" s="19"/>
      <c r="P396" s="19"/>
      <c r="Q396" s="19"/>
      <c r="R396" s="19"/>
      <c r="S396" s="19"/>
      <c r="T396" s="19"/>
      <c r="U396" s="19"/>
      <c r="V396" s="19"/>
      <c r="W396" s="19"/>
    </row>
    <row r="397" spans="1:23" ht="14.25" customHeight="1" x14ac:dyDescent="0.3">
      <c r="A397" s="19"/>
      <c r="B397" s="19"/>
      <c r="C397" s="19"/>
      <c r="D397" s="19"/>
      <c r="E397" s="19"/>
      <c r="F397" s="19"/>
      <c r="G397" s="19"/>
      <c r="H397" s="19"/>
      <c r="I397" s="20"/>
      <c r="J397" s="244"/>
      <c r="K397" s="19"/>
      <c r="L397" s="19"/>
      <c r="M397" s="19"/>
      <c r="N397" s="19"/>
      <c r="O397" s="19"/>
      <c r="P397" s="19"/>
      <c r="Q397" s="19"/>
      <c r="R397" s="19"/>
      <c r="S397" s="19"/>
      <c r="T397" s="19"/>
      <c r="U397" s="19"/>
      <c r="V397" s="19"/>
      <c r="W397" s="19"/>
    </row>
    <row r="398" spans="1:23" ht="14.25" customHeight="1" x14ac:dyDescent="0.3">
      <c r="A398" s="19"/>
      <c r="B398" s="19"/>
      <c r="C398" s="19"/>
      <c r="D398" s="19"/>
      <c r="E398" s="19"/>
      <c r="F398" s="19"/>
      <c r="G398" s="19"/>
      <c r="H398" s="19"/>
      <c r="I398" s="20"/>
      <c r="J398" s="244"/>
      <c r="K398" s="19"/>
      <c r="L398" s="19"/>
      <c r="M398" s="19"/>
      <c r="N398" s="19"/>
      <c r="O398" s="19"/>
      <c r="P398" s="19"/>
      <c r="Q398" s="19"/>
      <c r="R398" s="19"/>
      <c r="S398" s="19"/>
      <c r="T398" s="19"/>
      <c r="U398" s="19"/>
      <c r="V398" s="19"/>
      <c r="W398" s="19"/>
    </row>
    <row r="399" spans="1:23" ht="14.25" customHeight="1" x14ac:dyDescent="0.3">
      <c r="A399" s="19"/>
      <c r="B399" s="19"/>
      <c r="C399" s="19"/>
      <c r="D399" s="19"/>
      <c r="E399" s="19"/>
      <c r="F399" s="19"/>
      <c r="G399" s="19"/>
      <c r="H399" s="19"/>
      <c r="I399" s="20"/>
      <c r="J399" s="244"/>
      <c r="K399" s="19"/>
      <c r="L399" s="19"/>
      <c r="M399" s="19"/>
      <c r="N399" s="19"/>
      <c r="O399" s="19"/>
      <c r="P399" s="19"/>
      <c r="Q399" s="19"/>
      <c r="R399" s="19"/>
      <c r="S399" s="19"/>
      <c r="T399" s="19"/>
      <c r="U399" s="19"/>
      <c r="V399" s="19"/>
      <c r="W399" s="19"/>
    </row>
    <row r="400" spans="1:23" ht="14.25" customHeight="1" x14ac:dyDescent="0.3">
      <c r="A400" s="19"/>
      <c r="B400" s="19"/>
      <c r="C400" s="19"/>
      <c r="D400" s="19"/>
      <c r="E400" s="19"/>
      <c r="F400" s="19"/>
      <c r="G400" s="19"/>
      <c r="H400" s="19"/>
      <c r="I400" s="20"/>
      <c r="J400" s="244"/>
      <c r="K400" s="19"/>
      <c r="L400" s="19"/>
      <c r="M400" s="19"/>
      <c r="N400" s="19"/>
      <c r="O400" s="19"/>
      <c r="P400" s="19"/>
      <c r="Q400" s="19"/>
      <c r="R400" s="19"/>
      <c r="S400" s="19"/>
      <c r="T400" s="19"/>
      <c r="U400" s="19"/>
      <c r="V400" s="19"/>
      <c r="W400" s="19"/>
    </row>
    <row r="401" spans="1:23" ht="14.25" customHeight="1" x14ac:dyDescent="0.3">
      <c r="A401" s="19"/>
      <c r="B401" s="19"/>
      <c r="C401" s="19"/>
      <c r="D401" s="19"/>
      <c r="E401" s="19"/>
      <c r="F401" s="19"/>
      <c r="G401" s="19"/>
      <c r="H401" s="19"/>
      <c r="I401" s="20"/>
      <c r="J401" s="244"/>
      <c r="K401" s="19"/>
      <c r="L401" s="19"/>
      <c r="M401" s="19"/>
      <c r="N401" s="19"/>
      <c r="O401" s="19"/>
      <c r="P401" s="19"/>
      <c r="Q401" s="19"/>
      <c r="R401" s="19"/>
      <c r="S401" s="19"/>
      <c r="T401" s="19"/>
      <c r="U401" s="19"/>
      <c r="V401" s="19"/>
      <c r="W401" s="19"/>
    </row>
    <row r="402" spans="1:23" ht="14.25" customHeight="1" x14ac:dyDescent="0.3">
      <c r="A402" s="19"/>
      <c r="B402" s="19"/>
      <c r="C402" s="19"/>
      <c r="D402" s="19"/>
      <c r="E402" s="19"/>
      <c r="F402" s="19"/>
      <c r="G402" s="19"/>
      <c r="H402" s="19"/>
      <c r="I402" s="20"/>
      <c r="J402" s="244"/>
      <c r="K402" s="19"/>
      <c r="L402" s="19"/>
      <c r="M402" s="19"/>
      <c r="N402" s="19"/>
      <c r="O402" s="19"/>
      <c r="P402" s="19"/>
      <c r="Q402" s="19"/>
      <c r="R402" s="19"/>
      <c r="S402" s="19"/>
      <c r="T402" s="19"/>
      <c r="U402" s="19"/>
      <c r="V402" s="19"/>
      <c r="W402" s="19"/>
    </row>
    <row r="403" spans="1:23" ht="14.25" customHeight="1" x14ac:dyDescent="0.3">
      <c r="A403" s="19"/>
      <c r="B403" s="19"/>
      <c r="C403" s="19"/>
      <c r="D403" s="19"/>
      <c r="E403" s="19"/>
      <c r="F403" s="19"/>
      <c r="G403" s="19"/>
      <c r="H403" s="19"/>
      <c r="I403" s="20"/>
      <c r="J403" s="244"/>
      <c r="K403" s="19"/>
      <c r="L403" s="19"/>
      <c r="M403" s="19"/>
      <c r="N403" s="19"/>
      <c r="O403" s="19"/>
      <c r="P403" s="19"/>
      <c r="Q403" s="19"/>
      <c r="R403" s="19"/>
      <c r="S403" s="19"/>
      <c r="T403" s="19"/>
      <c r="U403" s="19"/>
      <c r="V403" s="19"/>
      <c r="W403" s="19"/>
    </row>
    <row r="404" spans="1:23" ht="14.25" customHeight="1" x14ac:dyDescent="0.3">
      <c r="A404" s="19"/>
      <c r="B404" s="19"/>
      <c r="C404" s="19"/>
      <c r="D404" s="19"/>
      <c r="E404" s="19"/>
      <c r="F404" s="19"/>
      <c r="G404" s="19"/>
      <c r="H404" s="19"/>
      <c r="I404" s="20"/>
      <c r="J404" s="244"/>
      <c r="K404" s="19"/>
      <c r="L404" s="19"/>
      <c r="M404" s="19"/>
      <c r="N404" s="19"/>
      <c r="O404" s="19"/>
      <c r="P404" s="19"/>
      <c r="Q404" s="19"/>
      <c r="R404" s="19"/>
      <c r="S404" s="19"/>
      <c r="T404" s="19"/>
      <c r="U404" s="19"/>
      <c r="V404" s="19"/>
      <c r="W404" s="19"/>
    </row>
    <row r="405" spans="1:23" ht="14.25" customHeight="1" x14ac:dyDescent="0.3">
      <c r="A405" s="19"/>
      <c r="B405" s="19"/>
      <c r="C405" s="19"/>
      <c r="D405" s="19"/>
      <c r="E405" s="19"/>
      <c r="F405" s="19"/>
      <c r="G405" s="19"/>
      <c r="H405" s="19"/>
      <c r="I405" s="20"/>
      <c r="J405" s="244"/>
      <c r="K405" s="19"/>
      <c r="L405" s="19"/>
      <c r="M405" s="19"/>
      <c r="N405" s="19"/>
      <c r="O405" s="19"/>
      <c r="P405" s="19"/>
      <c r="Q405" s="19"/>
      <c r="R405" s="19"/>
      <c r="S405" s="19"/>
      <c r="T405" s="19"/>
      <c r="U405" s="19"/>
      <c r="V405" s="19"/>
      <c r="W405" s="19"/>
    </row>
    <row r="406" spans="1:23" ht="14.25" customHeight="1" x14ac:dyDescent="0.3">
      <c r="A406" s="19"/>
      <c r="B406" s="19"/>
      <c r="C406" s="19"/>
      <c r="D406" s="19"/>
      <c r="E406" s="19"/>
      <c r="F406" s="19"/>
      <c r="G406" s="19"/>
      <c r="H406" s="19"/>
      <c r="I406" s="20"/>
      <c r="J406" s="244"/>
      <c r="K406" s="19"/>
      <c r="L406" s="19"/>
      <c r="M406" s="19"/>
      <c r="N406" s="19"/>
      <c r="O406" s="19"/>
      <c r="P406" s="19"/>
      <c r="Q406" s="19"/>
      <c r="R406" s="19"/>
      <c r="S406" s="19"/>
      <c r="T406" s="19"/>
      <c r="U406" s="19"/>
      <c r="V406" s="19"/>
      <c r="W406" s="19"/>
    </row>
    <row r="407" spans="1:23" ht="14.25" customHeight="1" x14ac:dyDescent="0.3">
      <c r="A407" s="19"/>
      <c r="B407" s="19"/>
      <c r="C407" s="19"/>
      <c r="D407" s="19"/>
      <c r="E407" s="19"/>
      <c r="F407" s="19"/>
      <c r="G407" s="19"/>
      <c r="H407" s="19"/>
      <c r="I407" s="20"/>
      <c r="J407" s="244"/>
      <c r="K407" s="19"/>
      <c r="L407" s="19"/>
      <c r="M407" s="19"/>
      <c r="N407" s="19"/>
      <c r="O407" s="19"/>
      <c r="P407" s="19"/>
      <c r="Q407" s="19"/>
      <c r="R407" s="19"/>
      <c r="S407" s="19"/>
      <c r="T407" s="19"/>
      <c r="U407" s="19"/>
      <c r="V407" s="19"/>
      <c r="W407" s="19"/>
    </row>
    <row r="408" spans="1:23" ht="14.25" customHeight="1" x14ac:dyDescent="0.3">
      <c r="A408" s="19"/>
      <c r="B408" s="19"/>
      <c r="C408" s="19"/>
      <c r="D408" s="19"/>
      <c r="E408" s="19"/>
      <c r="F408" s="19"/>
      <c r="G408" s="19"/>
      <c r="H408" s="19"/>
      <c r="I408" s="20"/>
      <c r="J408" s="244"/>
      <c r="K408" s="19"/>
      <c r="L408" s="19"/>
      <c r="M408" s="19"/>
      <c r="N408" s="19"/>
      <c r="O408" s="19"/>
      <c r="P408" s="19"/>
      <c r="Q408" s="19"/>
      <c r="R408" s="19"/>
      <c r="S408" s="19"/>
      <c r="T408" s="19"/>
      <c r="U408" s="19"/>
      <c r="V408" s="19"/>
      <c r="W408" s="19"/>
    </row>
    <row r="409" spans="1:23" ht="14.25" customHeight="1" x14ac:dyDescent="0.3">
      <c r="A409" s="19"/>
      <c r="B409" s="19"/>
      <c r="C409" s="19"/>
      <c r="D409" s="19"/>
      <c r="E409" s="19"/>
      <c r="F409" s="19"/>
      <c r="G409" s="19"/>
      <c r="H409" s="19"/>
      <c r="I409" s="20"/>
      <c r="J409" s="244"/>
      <c r="K409" s="19"/>
      <c r="L409" s="19"/>
      <c r="M409" s="19"/>
      <c r="N409" s="19"/>
      <c r="O409" s="19"/>
      <c r="P409" s="19"/>
      <c r="Q409" s="19"/>
      <c r="R409" s="19"/>
      <c r="S409" s="19"/>
      <c r="T409" s="19"/>
      <c r="U409" s="19"/>
      <c r="V409" s="19"/>
      <c r="W409" s="19"/>
    </row>
    <row r="410" spans="1:23" ht="14.25" customHeight="1" x14ac:dyDescent="0.3">
      <c r="A410" s="19"/>
      <c r="B410" s="19"/>
      <c r="C410" s="19"/>
      <c r="D410" s="19"/>
      <c r="E410" s="19"/>
      <c r="F410" s="19"/>
      <c r="G410" s="19"/>
      <c r="H410" s="19"/>
      <c r="I410" s="20"/>
      <c r="J410" s="244"/>
      <c r="K410" s="19"/>
      <c r="L410" s="19"/>
      <c r="M410" s="19"/>
      <c r="N410" s="19"/>
      <c r="O410" s="19"/>
      <c r="P410" s="19"/>
      <c r="Q410" s="19"/>
      <c r="R410" s="19"/>
      <c r="S410" s="19"/>
      <c r="T410" s="19"/>
      <c r="U410" s="19"/>
      <c r="V410" s="19"/>
      <c r="W410" s="19"/>
    </row>
    <row r="411" spans="1:23" ht="14.25" customHeight="1" x14ac:dyDescent="0.3">
      <c r="A411" s="19"/>
      <c r="B411" s="19"/>
      <c r="C411" s="19"/>
      <c r="D411" s="19"/>
      <c r="E411" s="19"/>
      <c r="F411" s="19"/>
      <c r="G411" s="19"/>
      <c r="H411" s="19"/>
      <c r="I411" s="20"/>
      <c r="J411" s="244"/>
      <c r="K411" s="19"/>
      <c r="L411" s="19"/>
      <c r="M411" s="19"/>
      <c r="N411" s="19"/>
      <c r="O411" s="19"/>
      <c r="P411" s="19"/>
      <c r="Q411" s="19"/>
      <c r="R411" s="19"/>
      <c r="S411" s="19"/>
      <c r="T411" s="19"/>
      <c r="U411" s="19"/>
      <c r="V411" s="19"/>
      <c r="W411" s="19"/>
    </row>
    <row r="412" spans="1:23" ht="14.25" customHeight="1" x14ac:dyDescent="0.3">
      <c r="A412" s="19"/>
      <c r="B412" s="19"/>
      <c r="C412" s="19"/>
      <c r="D412" s="19"/>
      <c r="E412" s="19"/>
      <c r="F412" s="19"/>
      <c r="G412" s="19"/>
      <c r="H412" s="19"/>
      <c r="I412" s="20"/>
      <c r="J412" s="244"/>
      <c r="K412" s="19"/>
      <c r="L412" s="19"/>
      <c r="M412" s="19"/>
      <c r="N412" s="19"/>
      <c r="O412" s="19"/>
      <c r="P412" s="19"/>
      <c r="Q412" s="19"/>
      <c r="R412" s="19"/>
      <c r="S412" s="19"/>
      <c r="T412" s="19"/>
      <c r="U412" s="19"/>
      <c r="V412" s="19"/>
      <c r="W412" s="19"/>
    </row>
    <row r="413" spans="1:23" ht="14.25" customHeight="1" x14ac:dyDescent="0.3">
      <c r="A413" s="19"/>
      <c r="B413" s="19"/>
      <c r="C413" s="19"/>
      <c r="D413" s="19"/>
      <c r="E413" s="19"/>
      <c r="F413" s="19"/>
      <c r="G413" s="19"/>
      <c r="H413" s="19"/>
      <c r="I413" s="20"/>
      <c r="J413" s="244"/>
      <c r="K413" s="19"/>
      <c r="L413" s="19"/>
      <c r="M413" s="19"/>
      <c r="N413" s="19"/>
      <c r="O413" s="19"/>
      <c r="P413" s="19"/>
      <c r="Q413" s="19"/>
      <c r="R413" s="19"/>
      <c r="S413" s="19"/>
      <c r="T413" s="19"/>
      <c r="U413" s="19"/>
      <c r="V413" s="19"/>
      <c r="W413" s="19"/>
    </row>
    <row r="414" spans="1:23" ht="14.25" customHeight="1" x14ac:dyDescent="0.3">
      <c r="A414" s="19"/>
      <c r="B414" s="19"/>
      <c r="C414" s="19"/>
      <c r="D414" s="19"/>
      <c r="E414" s="19"/>
      <c r="F414" s="19"/>
      <c r="G414" s="19"/>
      <c r="H414" s="19"/>
      <c r="I414" s="20"/>
      <c r="J414" s="244"/>
      <c r="K414" s="19"/>
      <c r="L414" s="19"/>
      <c r="M414" s="19"/>
      <c r="N414" s="19"/>
      <c r="O414" s="19"/>
      <c r="P414" s="19"/>
      <c r="Q414" s="19"/>
      <c r="R414" s="19"/>
      <c r="S414" s="19"/>
      <c r="T414" s="19"/>
      <c r="U414" s="19"/>
      <c r="V414" s="19"/>
      <c r="W414" s="19"/>
    </row>
    <row r="415" spans="1:23" ht="14.25" customHeight="1" x14ac:dyDescent="0.3">
      <c r="A415" s="19"/>
      <c r="B415" s="19"/>
      <c r="C415" s="19"/>
      <c r="D415" s="19"/>
      <c r="E415" s="19"/>
      <c r="F415" s="19"/>
      <c r="G415" s="19"/>
      <c r="H415" s="19"/>
      <c r="I415" s="20"/>
      <c r="J415" s="244"/>
      <c r="K415" s="19"/>
      <c r="L415" s="19"/>
      <c r="M415" s="19"/>
      <c r="N415" s="19"/>
      <c r="O415" s="19"/>
      <c r="P415" s="19"/>
      <c r="Q415" s="19"/>
      <c r="R415" s="19"/>
      <c r="S415" s="19"/>
      <c r="T415" s="19"/>
      <c r="U415" s="19"/>
      <c r="V415" s="19"/>
      <c r="W415" s="19"/>
    </row>
    <row r="416" spans="1:23" ht="14.25" customHeight="1" x14ac:dyDescent="0.3">
      <c r="A416" s="19"/>
      <c r="B416" s="19"/>
      <c r="C416" s="19"/>
      <c r="D416" s="19"/>
      <c r="E416" s="19"/>
      <c r="F416" s="19"/>
      <c r="G416" s="19"/>
      <c r="H416" s="19"/>
      <c r="I416" s="20"/>
      <c r="J416" s="244"/>
      <c r="K416" s="19"/>
      <c r="L416" s="19"/>
      <c r="M416" s="19"/>
      <c r="N416" s="19"/>
      <c r="O416" s="19"/>
      <c r="P416" s="19"/>
      <c r="Q416" s="19"/>
      <c r="R416" s="19"/>
      <c r="S416" s="19"/>
      <c r="T416" s="19"/>
      <c r="U416" s="19"/>
      <c r="V416" s="19"/>
      <c r="W416" s="19"/>
    </row>
    <row r="417" spans="1:23" ht="14.25" customHeight="1" x14ac:dyDescent="0.3">
      <c r="A417" s="19"/>
      <c r="B417" s="19"/>
      <c r="C417" s="19"/>
      <c r="D417" s="19"/>
      <c r="E417" s="19"/>
      <c r="F417" s="19"/>
      <c r="G417" s="19"/>
      <c r="H417" s="19"/>
      <c r="I417" s="20"/>
      <c r="J417" s="244"/>
      <c r="K417" s="19"/>
      <c r="L417" s="19"/>
      <c r="M417" s="19"/>
      <c r="N417" s="19"/>
      <c r="O417" s="19"/>
      <c r="P417" s="19"/>
      <c r="Q417" s="19"/>
      <c r="R417" s="19"/>
      <c r="S417" s="19"/>
      <c r="T417" s="19"/>
      <c r="U417" s="19"/>
      <c r="V417" s="19"/>
      <c r="W417" s="19"/>
    </row>
    <row r="418" spans="1:23" ht="14.25" customHeight="1" x14ac:dyDescent="0.3">
      <c r="A418" s="19"/>
      <c r="B418" s="19"/>
      <c r="C418" s="19"/>
      <c r="D418" s="19"/>
      <c r="E418" s="19"/>
      <c r="F418" s="19"/>
      <c r="G418" s="19"/>
      <c r="H418" s="19"/>
      <c r="I418" s="20"/>
      <c r="J418" s="244"/>
      <c r="K418" s="19"/>
      <c r="L418" s="19"/>
      <c r="M418" s="19"/>
      <c r="N418" s="19"/>
      <c r="O418" s="19"/>
      <c r="P418" s="19"/>
      <c r="Q418" s="19"/>
      <c r="R418" s="19"/>
      <c r="S418" s="19"/>
      <c r="T418" s="19"/>
      <c r="U418" s="19"/>
      <c r="V418" s="19"/>
      <c r="W418" s="19"/>
    </row>
    <row r="419" spans="1:23" ht="14.25" customHeight="1" x14ac:dyDescent="0.3">
      <c r="A419" s="19"/>
      <c r="B419" s="19"/>
      <c r="C419" s="19"/>
      <c r="D419" s="19"/>
      <c r="E419" s="19"/>
      <c r="F419" s="19"/>
      <c r="G419" s="19"/>
      <c r="H419" s="19"/>
      <c r="I419" s="20"/>
      <c r="J419" s="244"/>
      <c r="K419" s="19"/>
      <c r="L419" s="19"/>
      <c r="M419" s="19"/>
      <c r="N419" s="19"/>
      <c r="O419" s="19"/>
      <c r="P419" s="19"/>
      <c r="Q419" s="19"/>
      <c r="R419" s="19"/>
      <c r="S419" s="19"/>
      <c r="T419" s="19"/>
      <c r="U419" s="19"/>
      <c r="V419" s="19"/>
      <c r="W419" s="19"/>
    </row>
    <row r="420" spans="1:23" ht="14.25" customHeight="1" x14ac:dyDescent="0.3">
      <c r="A420" s="19"/>
      <c r="B420" s="19"/>
      <c r="C420" s="19"/>
      <c r="D420" s="19"/>
      <c r="E420" s="19"/>
      <c r="F420" s="19"/>
      <c r="G420" s="19"/>
      <c r="H420" s="19"/>
      <c r="I420" s="20"/>
      <c r="J420" s="244"/>
      <c r="K420" s="19"/>
      <c r="L420" s="19"/>
      <c r="M420" s="19"/>
      <c r="N420" s="19"/>
      <c r="O420" s="19"/>
      <c r="P420" s="19"/>
      <c r="Q420" s="19"/>
      <c r="R420" s="19"/>
      <c r="S420" s="19"/>
      <c r="T420" s="19"/>
      <c r="U420" s="19"/>
      <c r="V420" s="19"/>
      <c r="W420" s="19"/>
    </row>
    <row r="421" spans="1:23" ht="14.25" customHeight="1" x14ac:dyDescent="0.3">
      <c r="A421" s="19"/>
      <c r="B421" s="19"/>
      <c r="C421" s="19"/>
      <c r="D421" s="19"/>
      <c r="E421" s="19"/>
      <c r="F421" s="19"/>
      <c r="G421" s="19"/>
      <c r="H421" s="19"/>
      <c r="I421" s="20"/>
      <c r="J421" s="244"/>
      <c r="K421" s="19"/>
      <c r="L421" s="19"/>
      <c r="M421" s="19"/>
      <c r="N421" s="19"/>
      <c r="O421" s="19"/>
      <c r="P421" s="19"/>
      <c r="Q421" s="19"/>
      <c r="R421" s="19"/>
      <c r="S421" s="19"/>
      <c r="T421" s="19"/>
      <c r="U421" s="19"/>
      <c r="V421" s="19"/>
      <c r="W421" s="19"/>
    </row>
    <row r="422" spans="1:23" ht="14.25" customHeight="1" x14ac:dyDescent="0.3">
      <c r="A422" s="19"/>
      <c r="B422" s="19"/>
      <c r="C422" s="19"/>
      <c r="D422" s="19"/>
      <c r="E422" s="19"/>
      <c r="F422" s="19"/>
      <c r="G422" s="19"/>
      <c r="H422" s="19"/>
      <c r="I422" s="20"/>
      <c r="J422" s="244"/>
      <c r="K422" s="19"/>
      <c r="L422" s="19"/>
      <c r="M422" s="19"/>
      <c r="N422" s="19"/>
      <c r="O422" s="19"/>
      <c r="P422" s="19"/>
      <c r="Q422" s="19"/>
      <c r="R422" s="19"/>
      <c r="S422" s="19"/>
      <c r="T422" s="19"/>
      <c r="U422" s="19"/>
      <c r="V422" s="19"/>
      <c r="W422" s="19"/>
    </row>
    <row r="423" spans="1:23" ht="14.25" customHeight="1" x14ac:dyDescent="0.3">
      <c r="A423" s="19"/>
      <c r="B423" s="19"/>
      <c r="C423" s="19"/>
      <c r="D423" s="19"/>
      <c r="E423" s="19"/>
      <c r="F423" s="19"/>
      <c r="G423" s="19"/>
      <c r="H423" s="19"/>
      <c r="I423" s="20"/>
      <c r="J423" s="244"/>
      <c r="K423" s="19"/>
      <c r="L423" s="19"/>
      <c r="M423" s="19"/>
      <c r="N423" s="19"/>
      <c r="O423" s="19"/>
      <c r="P423" s="19"/>
      <c r="Q423" s="19"/>
      <c r="R423" s="19"/>
      <c r="S423" s="19"/>
      <c r="T423" s="19"/>
      <c r="U423" s="19"/>
      <c r="V423" s="19"/>
      <c r="W423" s="19"/>
    </row>
    <row r="424" spans="1:23" ht="14.25" customHeight="1" x14ac:dyDescent="0.3">
      <c r="A424" s="19"/>
      <c r="B424" s="19"/>
      <c r="C424" s="19"/>
      <c r="D424" s="19"/>
      <c r="E424" s="19"/>
      <c r="F424" s="19"/>
      <c r="G424" s="19"/>
      <c r="H424" s="19"/>
      <c r="I424" s="20"/>
      <c r="J424" s="244"/>
      <c r="K424" s="19"/>
      <c r="L424" s="19"/>
      <c r="M424" s="19"/>
      <c r="N424" s="19"/>
      <c r="O424" s="19"/>
      <c r="P424" s="19"/>
      <c r="Q424" s="19"/>
      <c r="R424" s="19"/>
      <c r="S424" s="19"/>
      <c r="T424" s="19"/>
      <c r="U424" s="19"/>
      <c r="V424" s="19"/>
      <c r="W424" s="19"/>
    </row>
    <row r="425" spans="1:23" ht="14.25" customHeight="1" x14ac:dyDescent="0.3">
      <c r="A425" s="19"/>
      <c r="B425" s="19"/>
      <c r="C425" s="19"/>
      <c r="D425" s="19"/>
      <c r="E425" s="19"/>
      <c r="F425" s="19"/>
      <c r="G425" s="19"/>
      <c r="H425" s="19"/>
      <c r="I425" s="20"/>
      <c r="J425" s="244"/>
      <c r="K425" s="19"/>
      <c r="L425" s="19"/>
      <c r="M425" s="19"/>
      <c r="N425" s="19"/>
      <c r="O425" s="19"/>
      <c r="P425" s="19"/>
      <c r="Q425" s="19"/>
      <c r="R425" s="19"/>
      <c r="S425" s="19"/>
      <c r="T425" s="19"/>
      <c r="U425" s="19"/>
      <c r="V425" s="19"/>
      <c r="W425" s="19"/>
    </row>
    <row r="426" spans="1:23" ht="14.25" customHeight="1" x14ac:dyDescent="0.3">
      <c r="A426" s="19"/>
      <c r="B426" s="19"/>
      <c r="C426" s="19"/>
      <c r="D426" s="19"/>
      <c r="E426" s="19"/>
      <c r="F426" s="19"/>
      <c r="G426" s="19"/>
      <c r="H426" s="19"/>
      <c r="I426" s="20"/>
      <c r="J426" s="244"/>
      <c r="K426" s="19"/>
      <c r="L426" s="19"/>
      <c r="M426" s="19"/>
      <c r="N426" s="19"/>
      <c r="O426" s="19"/>
      <c r="P426" s="19"/>
      <c r="Q426" s="19"/>
      <c r="R426" s="19"/>
      <c r="S426" s="19"/>
      <c r="T426" s="19"/>
      <c r="U426" s="19"/>
      <c r="V426" s="19"/>
      <c r="W426" s="19"/>
    </row>
    <row r="427" spans="1:23" ht="14.25" customHeight="1" x14ac:dyDescent="0.3">
      <c r="A427" s="19"/>
      <c r="B427" s="19"/>
      <c r="C427" s="19"/>
      <c r="D427" s="19"/>
      <c r="E427" s="19"/>
      <c r="F427" s="19"/>
      <c r="G427" s="19"/>
      <c r="H427" s="19"/>
      <c r="I427" s="20"/>
      <c r="J427" s="244"/>
      <c r="K427" s="19"/>
      <c r="L427" s="19"/>
      <c r="M427" s="19"/>
      <c r="N427" s="19"/>
      <c r="O427" s="19"/>
      <c r="P427" s="19"/>
      <c r="Q427" s="19"/>
      <c r="R427" s="19"/>
      <c r="S427" s="19"/>
      <c r="T427" s="19"/>
      <c r="U427" s="19"/>
      <c r="V427" s="19"/>
      <c r="W427" s="19"/>
    </row>
    <row r="428" spans="1:23" ht="14.25" customHeight="1" x14ac:dyDescent="0.3">
      <c r="A428" s="19"/>
      <c r="B428" s="19"/>
      <c r="C428" s="19"/>
      <c r="D428" s="19"/>
      <c r="E428" s="19"/>
      <c r="F428" s="19"/>
      <c r="G428" s="19"/>
      <c r="H428" s="19"/>
      <c r="I428" s="20"/>
      <c r="J428" s="244"/>
      <c r="K428" s="19"/>
      <c r="L428" s="19"/>
      <c r="M428" s="19"/>
      <c r="N428" s="19"/>
      <c r="O428" s="19"/>
      <c r="P428" s="19"/>
      <c r="Q428" s="19"/>
      <c r="R428" s="19"/>
      <c r="S428" s="19"/>
      <c r="T428" s="19"/>
      <c r="U428" s="19"/>
      <c r="V428" s="19"/>
      <c r="W428" s="19"/>
    </row>
    <row r="429" spans="1:23" ht="14.25" customHeight="1" x14ac:dyDescent="0.3">
      <c r="A429" s="19"/>
      <c r="B429" s="19"/>
      <c r="C429" s="19"/>
      <c r="D429" s="19"/>
      <c r="E429" s="19"/>
      <c r="F429" s="19"/>
      <c r="G429" s="19"/>
      <c r="H429" s="19"/>
      <c r="I429" s="20"/>
      <c r="J429" s="244"/>
      <c r="K429" s="19"/>
      <c r="L429" s="19"/>
      <c r="M429" s="19"/>
      <c r="N429" s="19"/>
      <c r="O429" s="19"/>
      <c r="P429" s="19"/>
      <c r="Q429" s="19"/>
      <c r="R429" s="19"/>
      <c r="S429" s="19"/>
      <c r="T429" s="19"/>
      <c r="U429" s="19"/>
      <c r="V429" s="19"/>
      <c r="W429" s="19"/>
    </row>
    <row r="430" spans="1:23" ht="14.25" customHeight="1" x14ac:dyDescent="0.3">
      <c r="A430" s="19"/>
      <c r="B430" s="19"/>
      <c r="C430" s="19"/>
      <c r="D430" s="19"/>
      <c r="E430" s="19"/>
      <c r="F430" s="19"/>
      <c r="G430" s="19"/>
      <c r="H430" s="19"/>
      <c r="I430" s="20"/>
      <c r="J430" s="244"/>
      <c r="K430" s="19"/>
      <c r="L430" s="19"/>
      <c r="M430" s="19"/>
      <c r="N430" s="19"/>
      <c r="O430" s="19"/>
      <c r="P430" s="19"/>
      <c r="Q430" s="19"/>
      <c r="R430" s="19"/>
      <c r="S430" s="19"/>
      <c r="T430" s="19"/>
      <c r="U430" s="19"/>
      <c r="V430" s="19"/>
      <c r="W430" s="19"/>
    </row>
    <row r="431" spans="1:23" ht="14.25" customHeight="1" x14ac:dyDescent="0.3">
      <c r="A431" s="19"/>
      <c r="B431" s="19"/>
      <c r="C431" s="19"/>
      <c r="D431" s="19"/>
      <c r="E431" s="19"/>
      <c r="F431" s="19"/>
      <c r="G431" s="19"/>
      <c r="H431" s="19"/>
      <c r="I431" s="20"/>
      <c r="J431" s="244"/>
      <c r="K431" s="19"/>
      <c r="L431" s="19"/>
      <c r="M431" s="19"/>
      <c r="N431" s="19"/>
      <c r="O431" s="19"/>
      <c r="P431" s="19"/>
      <c r="Q431" s="19"/>
      <c r="R431" s="19"/>
      <c r="S431" s="19"/>
      <c r="T431" s="19"/>
      <c r="U431" s="19"/>
      <c r="V431" s="19"/>
      <c r="W431" s="19"/>
    </row>
    <row r="432" spans="1:23" ht="14.25" customHeight="1" x14ac:dyDescent="0.3">
      <c r="A432" s="19"/>
      <c r="B432" s="19"/>
      <c r="C432" s="19"/>
      <c r="D432" s="19"/>
      <c r="E432" s="19"/>
      <c r="F432" s="19"/>
      <c r="G432" s="19"/>
      <c r="H432" s="19"/>
      <c r="I432" s="20"/>
      <c r="J432" s="244"/>
      <c r="K432" s="19"/>
      <c r="L432" s="19"/>
      <c r="M432" s="19"/>
      <c r="N432" s="19"/>
      <c r="O432" s="19"/>
      <c r="P432" s="19"/>
      <c r="Q432" s="19"/>
      <c r="R432" s="19"/>
      <c r="S432" s="19"/>
      <c r="T432" s="19"/>
      <c r="U432" s="19"/>
      <c r="V432" s="19"/>
      <c r="W432" s="19"/>
    </row>
    <row r="433" spans="1:23" ht="14.25" customHeight="1" x14ac:dyDescent="0.3">
      <c r="A433" s="19"/>
      <c r="B433" s="19"/>
      <c r="C433" s="19"/>
      <c r="D433" s="19"/>
      <c r="E433" s="19"/>
      <c r="F433" s="19"/>
      <c r="G433" s="19"/>
      <c r="H433" s="19"/>
      <c r="I433" s="20"/>
      <c r="J433" s="244"/>
      <c r="K433" s="19"/>
      <c r="L433" s="19"/>
      <c r="M433" s="19"/>
      <c r="N433" s="19"/>
      <c r="O433" s="19"/>
      <c r="P433" s="19"/>
      <c r="Q433" s="19"/>
      <c r="R433" s="19"/>
      <c r="S433" s="19"/>
      <c r="T433" s="19"/>
      <c r="U433" s="19"/>
      <c r="V433" s="19"/>
      <c r="W433" s="19"/>
    </row>
    <row r="434" spans="1:23" ht="14.25" customHeight="1" x14ac:dyDescent="0.3">
      <c r="A434" s="19"/>
      <c r="B434" s="19"/>
      <c r="C434" s="19"/>
      <c r="D434" s="19"/>
      <c r="E434" s="19"/>
      <c r="F434" s="19"/>
      <c r="G434" s="19"/>
      <c r="H434" s="19"/>
      <c r="I434" s="20"/>
      <c r="J434" s="244"/>
      <c r="K434" s="19"/>
      <c r="L434" s="19"/>
      <c r="M434" s="19"/>
      <c r="N434" s="19"/>
      <c r="O434" s="19"/>
      <c r="P434" s="19"/>
      <c r="Q434" s="19"/>
      <c r="R434" s="19"/>
      <c r="S434" s="19"/>
      <c r="T434" s="19"/>
      <c r="U434" s="19"/>
      <c r="V434" s="19"/>
      <c r="W434" s="19"/>
    </row>
    <row r="435" spans="1:23" ht="14.25" customHeight="1" x14ac:dyDescent="0.3">
      <c r="A435" s="19"/>
      <c r="B435" s="19"/>
      <c r="C435" s="19"/>
      <c r="D435" s="19"/>
      <c r="E435" s="19"/>
      <c r="F435" s="19"/>
      <c r="G435" s="19"/>
      <c r="H435" s="19"/>
      <c r="I435" s="20"/>
      <c r="J435" s="244"/>
      <c r="K435" s="19"/>
      <c r="L435" s="19"/>
      <c r="M435" s="19"/>
      <c r="N435" s="19"/>
      <c r="O435" s="19"/>
      <c r="P435" s="19"/>
      <c r="Q435" s="19"/>
      <c r="R435" s="19"/>
      <c r="S435" s="19"/>
      <c r="T435" s="19"/>
      <c r="U435" s="19"/>
      <c r="V435" s="19"/>
      <c r="W435" s="19"/>
    </row>
    <row r="436" spans="1:23" ht="14.25" customHeight="1" x14ac:dyDescent="0.3">
      <c r="A436" s="19"/>
      <c r="B436" s="19"/>
      <c r="C436" s="19"/>
      <c r="D436" s="19"/>
      <c r="E436" s="19"/>
      <c r="F436" s="19"/>
      <c r="G436" s="19"/>
      <c r="H436" s="19"/>
      <c r="I436" s="20"/>
      <c r="J436" s="244"/>
      <c r="K436" s="19"/>
      <c r="L436" s="19"/>
      <c r="M436" s="19"/>
      <c r="N436" s="19"/>
      <c r="O436" s="19"/>
      <c r="P436" s="19"/>
      <c r="Q436" s="19"/>
      <c r="R436" s="19"/>
      <c r="S436" s="19"/>
      <c r="T436" s="19"/>
      <c r="U436" s="19"/>
      <c r="V436" s="19"/>
      <c r="W436" s="19"/>
    </row>
    <row r="437" spans="1:23" ht="14.25" customHeight="1" x14ac:dyDescent="0.3">
      <c r="A437" s="19"/>
      <c r="B437" s="19"/>
      <c r="C437" s="19"/>
      <c r="D437" s="19"/>
      <c r="E437" s="19"/>
      <c r="F437" s="19"/>
      <c r="G437" s="19"/>
      <c r="H437" s="19"/>
      <c r="I437" s="20"/>
      <c r="J437" s="244"/>
      <c r="K437" s="19"/>
      <c r="L437" s="19"/>
      <c r="M437" s="19"/>
      <c r="N437" s="19"/>
      <c r="O437" s="19"/>
      <c r="P437" s="19"/>
      <c r="Q437" s="19"/>
      <c r="R437" s="19"/>
      <c r="S437" s="19"/>
      <c r="T437" s="19"/>
      <c r="U437" s="19"/>
      <c r="V437" s="19"/>
      <c r="W437" s="19"/>
    </row>
    <row r="438" spans="1:23" ht="14.25" customHeight="1" x14ac:dyDescent="0.3">
      <c r="A438" s="19"/>
      <c r="B438" s="19"/>
      <c r="C438" s="19"/>
      <c r="D438" s="19"/>
      <c r="E438" s="19"/>
      <c r="F438" s="19"/>
      <c r="G438" s="19"/>
      <c r="H438" s="19"/>
      <c r="I438" s="20"/>
      <c r="J438" s="244"/>
      <c r="K438" s="19"/>
      <c r="L438" s="19"/>
      <c r="M438" s="19"/>
      <c r="N438" s="19"/>
      <c r="O438" s="19"/>
      <c r="P438" s="19"/>
      <c r="Q438" s="19"/>
      <c r="R438" s="19"/>
      <c r="S438" s="19"/>
      <c r="T438" s="19"/>
      <c r="U438" s="19"/>
      <c r="V438" s="19"/>
      <c r="W438" s="19"/>
    </row>
    <row r="439" spans="1:23" ht="14.25" customHeight="1" x14ac:dyDescent="0.3">
      <c r="A439" s="19"/>
      <c r="B439" s="19"/>
      <c r="C439" s="19"/>
      <c r="D439" s="19"/>
      <c r="E439" s="19"/>
      <c r="F439" s="19"/>
      <c r="G439" s="19"/>
      <c r="H439" s="19"/>
      <c r="I439" s="20"/>
      <c r="J439" s="244"/>
      <c r="K439" s="19"/>
      <c r="L439" s="19"/>
      <c r="M439" s="19"/>
      <c r="N439" s="19"/>
      <c r="O439" s="19"/>
      <c r="P439" s="19"/>
      <c r="Q439" s="19"/>
      <c r="R439" s="19"/>
      <c r="S439" s="19"/>
      <c r="T439" s="19"/>
      <c r="U439" s="19"/>
      <c r="V439" s="19"/>
      <c r="W439" s="19"/>
    </row>
    <row r="440" spans="1:23" ht="14.25" customHeight="1" x14ac:dyDescent="0.3">
      <c r="A440" s="19"/>
      <c r="B440" s="19"/>
      <c r="C440" s="19"/>
      <c r="D440" s="19"/>
      <c r="E440" s="19"/>
      <c r="F440" s="19"/>
      <c r="G440" s="19"/>
      <c r="H440" s="19"/>
      <c r="I440" s="20"/>
      <c r="J440" s="244"/>
      <c r="K440" s="19"/>
      <c r="L440" s="19"/>
      <c r="M440" s="19"/>
      <c r="N440" s="19"/>
      <c r="O440" s="19"/>
      <c r="P440" s="19"/>
      <c r="Q440" s="19"/>
      <c r="R440" s="19"/>
      <c r="S440" s="19"/>
      <c r="T440" s="19"/>
      <c r="U440" s="19"/>
      <c r="V440" s="19"/>
      <c r="W440" s="19"/>
    </row>
    <row r="441" spans="1:23" ht="14.25" customHeight="1" x14ac:dyDescent="0.3">
      <c r="A441" s="19"/>
      <c r="B441" s="19"/>
      <c r="C441" s="19"/>
      <c r="D441" s="19"/>
      <c r="E441" s="19"/>
      <c r="F441" s="19"/>
      <c r="G441" s="19"/>
      <c r="H441" s="19"/>
      <c r="I441" s="20"/>
      <c r="J441" s="244"/>
      <c r="K441" s="19"/>
      <c r="L441" s="19"/>
      <c r="M441" s="19"/>
      <c r="N441" s="19"/>
      <c r="O441" s="19"/>
      <c r="P441" s="19"/>
      <c r="Q441" s="19"/>
      <c r="R441" s="19"/>
      <c r="S441" s="19"/>
      <c r="T441" s="19"/>
      <c r="U441" s="19"/>
      <c r="V441" s="19"/>
      <c r="W441" s="19"/>
    </row>
    <row r="442" spans="1:23" ht="14.25" customHeight="1" x14ac:dyDescent="0.3">
      <c r="A442" s="19"/>
      <c r="B442" s="19"/>
      <c r="C442" s="19"/>
      <c r="D442" s="19"/>
      <c r="E442" s="19"/>
      <c r="F442" s="19"/>
      <c r="G442" s="19"/>
      <c r="H442" s="19"/>
      <c r="I442" s="20"/>
      <c r="J442" s="244"/>
      <c r="K442" s="19"/>
      <c r="L442" s="19"/>
      <c r="M442" s="19"/>
      <c r="N442" s="19"/>
      <c r="O442" s="19"/>
      <c r="P442" s="19"/>
      <c r="Q442" s="19"/>
      <c r="R442" s="19"/>
      <c r="S442" s="19"/>
      <c r="T442" s="19"/>
      <c r="U442" s="19"/>
      <c r="V442" s="19"/>
      <c r="W442" s="19"/>
    </row>
    <row r="443" spans="1:23" ht="14.25" customHeight="1" x14ac:dyDescent="0.3">
      <c r="A443" s="19"/>
      <c r="B443" s="19"/>
      <c r="C443" s="19"/>
      <c r="D443" s="19"/>
      <c r="E443" s="19"/>
      <c r="F443" s="19"/>
      <c r="G443" s="19"/>
      <c r="H443" s="19"/>
      <c r="I443" s="20"/>
      <c r="J443" s="244"/>
      <c r="K443" s="19"/>
      <c r="L443" s="19"/>
      <c r="M443" s="19"/>
      <c r="N443" s="19"/>
      <c r="O443" s="19"/>
      <c r="P443" s="19"/>
      <c r="Q443" s="19"/>
      <c r="R443" s="19"/>
      <c r="S443" s="19"/>
      <c r="T443" s="19"/>
      <c r="U443" s="19"/>
      <c r="V443" s="19"/>
      <c r="W443" s="19"/>
    </row>
    <row r="444" spans="1:23" ht="14.25" customHeight="1" x14ac:dyDescent="0.3">
      <c r="A444" s="19"/>
      <c r="B444" s="19"/>
      <c r="C444" s="19"/>
      <c r="D444" s="19"/>
      <c r="E444" s="19"/>
      <c r="F444" s="19"/>
      <c r="G444" s="19"/>
      <c r="H444" s="19"/>
      <c r="I444" s="20"/>
      <c r="J444" s="244"/>
      <c r="K444" s="19"/>
      <c r="L444" s="19"/>
      <c r="M444" s="19"/>
      <c r="N444" s="19"/>
      <c r="O444" s="19"/>
      <c r="P444" s="19"/>
      <c r="Q444" s="19"/>
      <c r="R444" s="19"/>
      <c r="S444" s="19"/>
      <c r="T444" s="19"/>
      <c r="U444" s="19"/>
      <c r="V444" s="19"/>
      <c r="W444" s="19"/>
    </row>
    <row r="445" spans="1:23" ht="14.25" customHeight="1" x14ac:dyDescent="0.3">
      <c r="A445" s="19"/>
      <c r="B445" s="19"/>
      <c r="C445" s="19"/>
      <c r="D445" s="19"/>
      <c r="E445" s="19"/>
      <c r="F445" s="19"/>
      <c r="G445" s="19"/>
      <c r="H445" s="19"/>
      <c r="I445" s="20"/>
      <c r="J445" s="244"/>
      <c r="K445" s="19"/>
      <c r="L445" s="19"/>
      <c r="M445" s="19"/>
      <c r="N445" s="19"/>
      <c r="O445" s="19"/>
      <c r="P445" s="19"/>
      <c r="Q445" s="19"/>
      <c r="R445" s="19"/>
      <c r="S445" s="19"/>
      <c r="T445" s="19"/>
      <c r="U445" s="19"/>
      <c r="V445" s="19"/>
      <c r="W445" s="19"/>
    </row>
    <row r="446" spans="1:23" ht="14.25" customHeight="1" x14ac:dyDescent="0.3">
      <c r="A446" s="19"/>
      <c r="B446" s="19"/>
      <c r="C446" s="19"/>
      <c r="D446" s="19"/>
      <c r="E446" s="19"/>
      <c r="F446" s="19"/>
      <c r="G446" s="19"/>
      <c r="H446" s="19"/>
      <c r="I446" s="20"/>
      <c r="J446" s="244"/>
      <c r="K446" s="19"/>
      <c r="L446" s="19"/>
      <c r="M446" s="19"/>
      <c r="N446" s="19"/>
      <c r="O446" s="19"/>
      <c r="P446" s="19"/>
      <c r="Q446" s="19"/>
      <c r="R446" s="19"/>
      <c r="S446" s="19"/>
      <c r="T446" s="19"/>
      <c r="U446" s="19"/>
      <c r="V446" s="19"/>
      <c r="W446" s="19"/>
    </row>
    <row r="447" spans="1:23" ht="14.25" customHeight="1" x14ac:dyDescent="0.3">
      <c r="A447" s="19"/>
      <c r="B447" s="19"/>
      <c r="C447" s="19"/>
      <c r="D447" s="19"/>
      <c r="E447" s="19"/>
      <c r="F447" s="19"/>
      <c r="G447" s="19"/>
      <c r="H447" s="19"/>
      <c r="I447" s="20"/>
      <c r="J447" s="244"/>
      <c r="K447" s="19"/>
      <c r="L447" s="19"/>
      <c r="M447" s="19"/>
      <c r="N447" s="19"/>
      <c r="O447" s="19"/>
      <c r="P447" s="19"/>
      <c r="Q447" s="19"/>
      <c r="R447" s="19"/>
      <c r="S447" s="19"/>
      <c r="T447" s="19"/>
      <c r="U447" s="19"/>
      <c r="V447" s="19"/>
      <c r="W447" s="19"/>
    </row>
    <row r="448" spans="1:23" ht="14.25" customHeight="1" x14ac:dyDescent="0.3">
      <c r="A448" s="19"/>
      <c r="B448" s="19"/>
      <c r="C448" s="19"/>
      <c r="D448" s="19"/>
      <c r="E448" s="19"/>
      <c r="F448" s="19"/>
      <c r="G448" s="19"/>
      <c r="H448" s="19"/>
      <c r="I448" s="20"/>
      <c r="J448" s="244"/>
      <c r="K448" s="19"/>
      <c r="L448" s="19"/>
      <c r="M448" s="19"/>
      <c r="N448" s="19"/>
      <c r="O448" s="19"/>
      <c r="P448" s="19"/>
      <c r="Q448" s="19"/>
      <c r="R448" s="19"/>
      <c r="S448" s="19"/>
      <c r="T448" s="19"/>
      <c r="U448" s="19"/>
      <c r="V448" s="19"/>
      <c r="W448" s="19"/>
    </row>
    <row r="449" spans="1:23" ht="14.25" customHeight="1" x14ac:dyDescent="0.3">
      <c r="A449" s="19"/>
      <c r="B449" s="19"/>
      <c r="C449" s="19"/>
      <c r="D449" s="19"/>
      <c r="E449" s="19"/>
      <c r="F449" s="19"/>
      <c r="G449" s="19"/>
      <c r="H449" s="19"/>
      <c r="I449" s="20"/>
      <c r="J449" s="244"/>
      <c r="K449" s="19"/>
      <c r="L449" s="19"/>
      <c r="M449" s="19"/>
      <c r="N449" s="19"/>
      <c r="O449" s="19"/>
      <c r="P449" s="19"/>
      <c r="Q449" s="19"/>
      <c r="R449" s="19"/>
      <c r="S449" s="19"/>
      <c r="T449" s="19"/>
      <c r="U449" s="19"/>
      <c r="V449" s="19"/>
      <c r="W449" s="19"/>
    </row>
    <row r="450" spans="1:23" ht="14.25" customHeight="1" x14ac:dyDescent="0.3">
      <c r="A450" s="19"/>
      <c r="B450" s="19"/>
      <c r="C450" s="19"/>
      <c r="D450" s="19"/>
      <c r="E450" s="19"/>
      <c r="F450" s="19"/>
      <c r="G450" s="19"/>
      <c r="H450" s="19"/>
      <c r="I450" s="20"/>
      <c r="J450" s="244"/>
      <c r="K450" s="19"/>
      <c r="L450" s="19"/>
      <c r="M450" s="19"/>
      <c r="N450" s="19"/>
      <c r="O450" s="19"/>
      <c r="P450" s="19"/>
      <c r="Q450" s="19"/>
      <c r="R450" s="19"/>
      <c r="S450" s="19"/>
      <c r="T450" s="19"/>
      <c r="U450" s="19"/>
      <c r="V450" s="19"/>
      <c r="W450" s="19"/>
    </row>
    <row r="451" spans="1:23" ht="14.25" customHeight="1" x14ac:dyDescent="0.3">
      <c r="A451" s="19"/>
      <c r="B451" s="19"/>
      <c r="C451" s="19"/>
      <c r="D451" s="19"/>
      <c r="E451" s="19"/>
      <c r="F451" s="19"/>
      <c r="G451" s="19"/>
      <c r="H451" s="19"/>
      <c r="I451" s="20"/>
      <c r="J451" s="244"/>
      <c r="K451" s="19"/>
      <c r="L451" s="19"/>
      <c r="M451" s="19"/>
      <c r="N451" s="19"/>
      <c r="O451" s="19"/>
      <c r="P451" s="19"/>
      <c r="Q451" s="19"/>
      <c r="R451" s="19"/>
      <c r="S451" s="19"/>
      <c r="T451" s="19"/>
      <c r="U451" s="19"/>
      <c r="V451" s="19"/>
      <c r="W451" s="19"/>
    </row>
    <row r="452" spans="1:23" ht="14.25" customHeight="1" x14ac:dyDescent="0.3">
      <c r="A452" s="19"/>
      <c r="B452" s="19"/>
      <c r="C452" s="19"/>
      <c r="D452" s="19"/>
      <c r="E452" s="19"/>
      <c r="F452" s="19"/>
      <c r="G452" s="19"/>
      <c r="H452" s="19"/>
      <c r="I452" s="20"/>
      <c r="J452" s="244"/>
      <c r="K452" s="19"/>
      <c r="L452" s="19"/>
      <c r="M452" s="19"/>
      <c r="N452" s="19"/>
      <c r="O452" s="19"/>
      <c r="P452" s="19"/>
      <c r="Q452" s="19"/>
      <c r="R452" s="19"/>
      <c r="S452" s="19"/>
      <c r="T452" s="19"/>
      <c r="U452" s="19"/>
      <c r="V452" s="19"/>
      <c r="W452" s="19"/>
    </row>
    <row r="453" spans="1:23" ht="14.25" customHeight="1" x14ac:dyDescent="0.3">
      <c r="A453" s="19"/>
      <c r="B453" s="19"/>
      <c r="C453" s="19"/>
      <c r="D453" s="19"/>
      <c r="E453" s="19"/>
      <c r="F453" s="19"/>
      <c r="G453" s="19"/>
      <c r="H453" s="19"/>
      <c r="I453" s="20"/>
      <c r="J453" s="244"/>
      <c r="K453" s="19"/>
      <c r="L453" s="19"/>
      <c r="M453" s="19"/>
      <c r="N453" s="19"/>
      <c r="O453" s="19"/>
      <c r="P453" s="19"/>
      <c r="Q453" s="19"/>
      <c r="R453" s="19"/>
      <c r="S453" s="19"/>
      <c r="T453" s="19"/>
      <c r="U453" s="19"/>
      <c r="V453" s="19"/>
      <c r="W453" s="19"/>
    </row>
    <row r="454" spans="1:23" ht="14.25" customHeight="1" x14ac:dyDescent="0.3">
      <c r="A454" s="19"/>
      <c r="B454" s="19"/>
      <c r="C454" s="19"/>
      <c r="D454" s="19"/>
      <c r="E454" s="19"/>
      <c r="F454" s="19"/>
      <c r="G454" s="19"/>
      <c r="H454" s="19"/>
      <c r="I454" s="20"/>
      <c r="J454" s="244"/>
      <c r="K454" s="19"/>
      <c r="L454" s="19"/>
      <c r="M454" s="19"/>
      <c r="N454" s="19"/>
      <c r="O454" s="19"/>
      <c r="P454" s="19"/>
      <c r="Q454" s="19"/>
      <c r="R454" s="19"/>
      <c r="S454" s="19"/>
      <c r="T454" s="19"/>
      <c r="U454" s="19"/>
      <c r="V454" s="19"/>
      <c r="W454" s="19"/>
    </row>
    <row r="455" spans="1:23" ht="14.25" customHeight="1" x14ac:dyDescent="0.3">
      <c r="A455" s="19"/>
      <c r="B455" s="19"/>
      <c r="C455" s="19"/>
      <c r="D455" s="19"/>
      <c r="E455" s="19"/>
      <c r="F455" s="19"/>
      <c r="G455" s="19"/>
      <c r="H455" s="19"/>
      <c r="I455" s="20"/>
      <c r="J455" s="244"/>
      <c r="K455" s="19"/>
      <c r="L455" s="19"/>
      <c r="M455" s="19"/>
      <c r="N455" s="19"/>
      <c r="O455" s="19"/>
      <c r="P455" s="19"/>
      <c r="Q455" s="19"/>
      <c r="R455" s="19"/>
      <c r="S455" s="19"/>
      <c r="T455" s="19"/>
      <c r="U455" s="19"/>
      <c r="V455" s="19"/>
      <c r="W455" s="19"/>
    </row>
    <row r="456" spans="1:23" ht="14.25" customHeight="1" x14ac:dyDescent="0.3">
      <c r="A456" s="19"/>
      <c r="B456" s="19"/>
      <c r="C456" s="19"/>
      <c r="D456" s="19"/>
      <c r="E456" s="19"/>
      <c r="F456" s="19"/>
      <c r="G456" s="19"/>
      <c r="H456" s="19"/>
      <c r="I456" s="20"/>
      <c r="J456" s="244"/>
      <c r="K456" s="19"/>
      <c r="L456" s="19"/>
      <c r="M456" s="19"/>
      <c r="N456" s="19"/>
      <c r="O456" s="19"/>
      <c r="P456" s="19"/>
      <c r="Q456" s="19"/>
      <c r="R456" s="19"/>
      <c r="S456" s="19"/>
      <c r="T456" s="19"/>
      <c r="U456" s="19"/>
      <c r="V456" s="19"/>
      <c r="W456" s="19"/>
    </row>
    <row r="457" spans="1:23" ht="14.25" customHeight="1" x14ac:dyDescent="0.3">
      <c r="A457" s="19"/>
      <c r="B457" s="19"/>
      <c r="C457" s="19"/>
      <c r="D457" s="19"/>
      <c r="E457" s="19"/>
      <c r="F457" s="19"/>
      <c r="G457" s="19"/>
      <c r="H457" s="19"/>
      <c r="I457" s="20"/>
      <c r="J457" s="244"/>
      <c r="K457" s="19"/>
      <c r="L457" s="19"/>
      <c r="M457" s="19"/>
      <c r="N457" s="19"/>
      <c r="O457" s="19"/>
      <c r="P457" s="19"/>
      <c r="Q457" s="19"/>
      <c r="R457" s="19"/>
      <c r="S457" s="19"/>
      <c r="T457" s="19"/>
      <c r="U457" s="19"/>
      <c r="V457" s="19"/>
      <c r="W457" s="19"/>
    </row>
    <row r="458" spans="1:23" ht="14.25" customHeight="1" x14ac:dyDescent="0.3">
      <c r="A458" s="19"/>
      <c r="B458" s="19"/>
      <c r="C458" s="19"/>
      <c r="D458" s="19"/>
      <c r="E458" s="19"/>
      <c r="F458" s="19"/>
      <c r="G458" s="19"/>
      <c r="H458" s="19"/>
      <c r="I458" s="20"/>
      <c r="J458" s="244"/>
      <c r="K458" s="19"/>
      <c r="L458" s="19"/>
      <c r="M458" s="19"/>
      <c r="N458" s="19"/>
      <c r="O458" s="19"/>
      <c r="P458" s="19"/>
      <c r="Q458" s="19"/>
      <c r="R458" s="19"/>
      <c r="S458" s="19"/>
      <c r="T458" s="19"/>
      <c r="U458" s="19"/>
      <c r="V458" s="19"/>
      <c r="W458" s="19"/>
    </row>
    <row r="459" spans="1:23" ht="14.25" customHeight="1" x14ac:dyDescent="0.3">
      <c r="A459" s="19"/>
      <c r="B459" s="19"/>
      <c r="C459" s="19"/>
      <c r="D459" s="19"/>
      <c r="E459" s="19"/>
      <c r="F459" s="19"/>
      <c r="G459" s="19"/>
      <c r="H459" s="19"/>
      <c r="I459" s="20"/>
      <c r="J459" s="244"/>
      <c r="K459" s="19"/>
      <c r="L459" s="19"/>
      <c r="M459" s="19"/>
      <c r="N459" s="19"/>
      <c r="O459" s="19"/>
      <c r="P459" s="19"/>
      <c r="Q459" s="19"/>
      <c r="R459" s="19"/>
      <c r="S459" s="19"/>
      <c r="T459" s="19"/>
      <c r="U459" s="19"/>
      <c r="V459" s="19"/>
      <c r="W459" s="19"/>
    </row>
    <row r="460" spans="1:23" ht="14.25" customHeight="1" x14ac:dyDescent="0.3">
      <c r="A460" s="19"/>
      <c r="B460" s="19"/>
      <c r="C460" s="19"/>
      <c r="D460" s="19"/>
      <c r="E460" s="19"/>
      <c r="F460" s="19"/>
      <c r="G460" s="19"/>
      <c r="H460" s="19"/>
      <c r="I460" s="20"/>
      <c r="J460" s="244"/>
      <c r="K460" s="19"/>
      <c r="L460" s="19"/>
      <c r="M460" s="19"/>
      <c r="N460" s="19"/>
      <c r="O460" s="19"/>
      <c r="P460" s="19"/>
      <c r="Q460" s="19"/>
      <c r="R460" s="19"/>
      <c r="S460" s="19"/>
      <c r="T460" s="19"/>
      <c r="U460" s="19"/>
      <c r="V460" s="19"/>
      <c r="W460" s="19"/>
    </row>
    <row r="461" spans="1:23" ht="14.25" customHeight="1" x14ac:dyDescent="0.3">
      <c r="A461" s="19"/>
      <c r="B461" s="19"/>
      <c r="C461" s="19"/>
      <c r="D461" s="19"/>
      <c r="E461" s="19"/>
      <c r="F461" s="19"/>
      <c r="G461" s="19"/>
      <c r="H461" s="19"/>
      <c r="I461" s="20"/>
      <c r="J461" s="244"/>
      <c r="K461" s="19"/>
      <c r="L461" s="19"/>
      <c r="M461" s="19"/>
      <c r="N461" s="19"/>
      <c r="O461" s="19"/>
      <c r="P461" s="19"/>
      <c r="Q461" s="19"/>
      <c r="R461" s="19"/>
      <c r="S461" s="19"/>
      <c r="T461" s="19"/>
      <c r="U461" s="19"/>
      <c r="V461" s="19"/>
      <c r="W461" s="19"/>
    </row>
    <row r="462" spans="1:23" ht="14.25" customHeight="1" x14ac:dyDescent="0.3">
      <c r="A462" s="19"/>
      <c r="B462" s="19"/>
      <c r="C462" s="19"/>
      <c r="D462" s="19"/>
      <c r="E462" s="19"/>
      <c r="F462" s="19"/>
      <c r="G462" s="19"/>
      <c r="H462" s="19"/>
      <c r="I462" s="20"/>
      <c r="J462" s="244"/>
      <c r="K462" s="19"/>
      <c r="L462" s="19"/>
      <c r="M462" s="19"/>
      <c r="N462" s="19"/>
      <c r="O462" s="19"/>
      <c r="P462" s="19"/>
      <c r="Q462" s="19"/>
      <c r="R462" s="19"/>
      <c r="S462" s="19"/>
      <c r="T462" s="19"/>
      <c r="U462" s="19"/>
      <c r="V462" s="19"/>
      <c r="W462" s="19"/>
    </row>
    <row r="463" spans="1:23" ht="14.25" customHeight="1" x14ac:dyDescent="0.3">
      <c r="A463" s="19"/>
      <c r="B463" s="19"/>
      <c r="C463" s="19"/>
      <c r="D463" s="19"/>
      <c r="E463" s="19"/>
      <c r="F463" s="19"/>
      <c r="G463" s="19"/>
      <c r="H463" s="19"/>
      <c r="I463" s="20"/>
      <c r="J463" s="244"/>
      <c r="K463" s="19"/>
      <c r="L463" s="19"/>
      <c r="M463" s="19"/>
      <c r="N463" s="19"/>
      <c r="O463" s="19"/>
      <c r="P463" s="19"/>
      <c r="Q463" s="19"/>
      <c r="R463" s="19"/>
      <c r="S463" s="19"/>
      <c r="T463" s="19"/>
      <c r="U463" s="19"/>
      <c r="V463" s="19"/>
      <c r="W463" s="19"/>
    </row>
    <row r="464" spans="1:23" ht="14.25" customHeight="1" x14ac:dyDescent="0.3">
      <c r="A464" s="19"/>
      <c r="B464" s="19"/>
      <c r="C464" s="19"/>
      <c r="D464" s="19"/>
      <c r="E464" s="19"/>
      <c r="F464" s="19"/>
      <c r="G464" s="19"/>
      <c r="H464" s="19"/>
      <c r="I464" s="20"/>
      <c r="J464" s="244"/>
      <c r="K464" s="19"/>
      <c r="L464" s="19"/>
      <c r="M464" s="19"/>
      <c r="N464" s="19"/>
      <c r="O464" s="19"/>
      <c r="P464" s="19"/>
      <c r="Q464" s="19"/>
      <c r="R464" s="19"/>
      <c r="S464" s="19"/>
      <c r="T464" s="19"/>
      <c r="U464" s="19"/>
      <c r="V464" s="19"/>
      <c r="W464" s="19"/>
    </row>
    <row r="465" spans="1:23" ht="14.25" customHeight="1" x14ac:dyDescent="0.3">
      <c r="A465" s="19"/>
      <c r="B465" s="19"/>
      <c r="C465" s="19"/>
      <c r="D465" s="19"/>
      <c r="E465" s="19"/>
      <c r="F465" s="19"/>
      <c r="G465" s="19"/>
      <c r="H465" s="19"/>
      <c r="I465" s="20"/>
      <c r="J465" s="244"/>
      <c r="K465" s="19"/>
      <c r="L465" s="19"/>
      <c r="M465" s="19"/>
      <c r="N465" s="19"/>
      <c r="O465" s="19"/>
      <c r="P465" s="19"/>
      <c r="Q465" s="19"/>
      <c r="R465" s="19"/>
      <c r="S465" s="19"/>
      <c r="T465" s="19"/>
      <c r="U465" s="19"/>
      <c r="V465" s="19"/>
      <c r="W465" s="19"/>
    </row>
    <row r="466" spans="1:23" ht="14.25" customHeight="1" x14ac:dyDescent="0.3">
      <c r="A466" s="19"/>
      <c r="B466" s="19"/>
      <c r="C466" s="19"/>
      <c r="D466" s="19"/>
      <c r="E466" s="19"/>
      <c r="F466" s="19"/>
      <c r="G466" s="19"/>
      <c r="H466" s="19"/>
      <c r="I466" s="20"/>
      <c r="J466" s="244"/>
      <c r="K466" s="19"/>
      <c r="L466" s="19"/>
      <c r="M466" s="19"/>
      <c r="N466" s="19"/>
      <c r="O466" s="19"/>
      <c r="P466" s="19"/>
      <c r="Q466" s="19"/>
      <c r="R466" s="19"/>
      <c r="S466" s="19"/>
      <c r="T466" s="19"/>
      <c r="U466" s="19"/>
      <c r="V466" s="19"/>
      <c r="W466" s="19"/>
    </row>
    <row r="467" spans="1:23" ht="14.25" customHeight="1" x14ac:dyDescent="0.3">
      <c r="A467" s="19"/>
      <c r="B467" s="19"/>
      <c r="C467" s="19"/>
      <c r="D467" s="19"/>
      <c r="E467" s="19"/>
      <c r="F467" s="19"/>
      <c r="G467" s="19"/>
      <c r="H467" s="19"/>
      <c r="I467" s="20"/>
      <c r="J467" s="244"/>
      <c r="K467" s="19"/>
      <c r="L467" s="19"/>
      <c r="M467" s="19"/>
      <c r="N467" s="19"/>
      <c r="O467" s="19"/>
      <c r="P467" s="19"/>
      <c r="Q467" s="19"/>
      <c r="R467" s="19"/>
      <c r="S467" s="19"/>
      <c r="T467" s="19"/>
      <c r="U467" s="19"/>
      <c r="V467" s="19"/>
      <c r="W467" s="19"/>
    </row>
    <row r="468" spans="1:23" ht="14.25" customHeight="1" x14ac:dyDescent="0.3">
      <c r="A468" s="19"/>
      <c r="B468" s="19"/>
      <c r="C468" s="19"/>
      <c r="D468" s="19"/>
      <c r="E468" s="19"/>
      <c r="F468" s="19"/>
      <c r="G468" s="19"/>
      <c r="H468" s="19"/>
      <c r="I468" s="20"/>
      <c r="J468" s="244"/>
      <c r="K468" s="19"/>
      <c r="L468" s="19"/>
      <c r="M468" s="19"/>
      <c r="N468" s="19"/>
      <c r="O468" s="19"/>
      <c r="P468" s="19"/>
      <c r="Q468" s="19"/>
      <c r="R468" s="19"/>
      <c r="S468" s="19"/>
      <c r="T468" s="19"/>
      <c r="U468" s="19"/>
      <c r="V468" s="19"/>
      <c r="W468" s="19"/>
    </row>
    <row r="469" spans="1:23" ht="14.25" customHeight="1" x14ac:dyDescent="0.3">
      <c r="A469" s="19"/>
      <c r="B469" s="19"/>
      <c r="C469" s="19"/>
      <c r="D469" s="19"/>
      <c r="E469" s="19"/>
      <c r="F469" s="19"/>
      <c r="G469" s="19"/>
      <c r="H469" s="19"/>
      <c r="I469" s="20"/>
      <c r="J469" s="244"/>
      <c r="K469" s="19"/>
      <c r="L469" s="19"/>
      <c r="M469" s="19"/>
      <c r="N469" s="19"/>
      <c r="O469" s="19"/>
      <c r="P469" s="19"/>
      <c r="Q469" s="19"/>
      <c r="R469" s="19"/>
      <c r="S469" s="19"/>
      <c r="T469" s="19"/>
      <c r="U469" s="19"/>
      <c r="V469" s="19"/>
      <c r="W469" s="19"/>
    </row>
    <row r="470" spans="1:23" ht="14.25" customHeight="1" x14ac:dyDescent="0.3">
      <c r="A470" s="19"/>
      <c r="B470" s="19"/>
      <c r="C470" s="19"/>
      <c r="D470" s="19"/>
      <c r="E470" s="19"/>
      <c r="F470" s="19"/>
      <c r="G470" s="19"/>
      <c r="H470" s="19"/>
      <c r="I470" s="20"/>
      <c r="J470" s="244"/>
      <c r="K470" s="19"/>
      <c r="L470" s="19"/>
      <c r="M470" s="19"/>
      <c r="N470" s="19"/>
      <c r="O470" s="19"/>
      <c r="P470" s="19"/>
      <c r="Q470" s="19"/>
      <c r="R470" s="19"/>
      <c r="S470" s="19"/>
      <c r="T470" s="19"/>
      <c r="U470" s="19"/>
      <c r="V470" s="19"/>
      <c r="W470" s="19"/>
    </row>
    <row r="471" spans="1:23" ht="14.25" customHeight="1" x14ac:dyDescent="0.3">
      <c r="A471" s="19"/>
      <c r="B471" s="19"/>
      <c r="C471" s="19"/>
      <c r="D471" s="19"/>
      <c r="E471" s="19"/>
      <c r="F471" s="19"/>
      <c r="G471" s="19"/>
      <c r="H471" s="19"/>
      <c r="I471" s="20"/>
      <c r="J471" s="244"/>
      <c r="K471" s="19"/>
      <c r="L471" s="19"/>
      <c r="M471" s="19"/>
      <c r="N471" s="19"/>
      <c r="O471" s="19"/>
      <c r="P471" s="19"/>
      <c r="Q471" s="19"/>
      <c r="R471" s="19"/>
      <c r="S471" s="19"/>
      <c r="T471" s="19"/>
      <c r="U471" s="19"/>
      <c r="V471" s="19"/>
      <c r="W471" s="19"/>
    </row>
    <row r="472" spans="1:23" ht="14.25" customHeight="1" x14ac:dyDescent="0.3">
      <c r="A472" s="19"/>
      <c r="B472" s="19"/>
      <c r="C472" s="19"/>
      <c r="D472" s="19"/>
      <c r="E472" s="19"/>
      <c r="F472" s="19"/>
      <c r="G472" s="19"/>
      <c r="H472" s="19"/>
      <c r="I472" s="20"/>
      <c r="J472" s="244"/>
      <c r="K472" s="19"/>
      <c r="L472" s="19"/>
      <c r="M472" s="19"/>
      <c r="N472" s="19"/>
      <c r="O472" s="19"/>
      <c r="P472" s="19"/>
      <c r="Q472" s="19"/>
      <c r="R472" s="19"/>
      <c r="S472" s="19"/>
      <c r="T472" s="19"/>
      <c r="U472" s="19"/>
      <c r="V472" s="19"/>
      <c r="W472" s="19"/>
    </row>
    <row r="473" spans="1:23" ht="14.25" customHeight="1" x14ac:dyDescent="0.3">
      <c r="A473" s="19"/>
      <c r="B473" s="19"/>
      <c r="C473" s="19"/>
      <c r="D473" s="19"/>
      <c r="E473" s="19"/>
      <c r="F473" s="19"/>
      <c r="G473" s="19"/>
      <c r="H473" s="19"/>
      <c r="I473" s="20"/>
      <c r="J473" s="244"/>
      <c r="K473" s="19"/>
      <c r="L473" s="19"/>
      <c r="M473" s="19"/>
      <c r="N473" s="19"/>
      <c r="O473" s="19"/>
      <c r="P473" s="19"/>
      <c r="Q473" s="19"/>
      <c r="R473" s="19"/>
      <c r="S473" s="19"/>
      <c r="T473" s="19"/>
      <c r="U473" s="19"/>
      <c r="V473" s="19"/>
      <c r="W473" s="19"/>
    </row>
    <row r="474" spans="1:23" ht="14.25" customHeight="1" x14ac:dyDescent="0.3">
      <c r="A474" s="19"/>
      <c r="B474" s="19"/>
      <c r="C474" s="19"/>
      <c r="D474" s="19"/>
      <c r="E474" s="19"/>
      <c r="F474" s="19"/>
      <c r="G474" s="19"/>
      <c r="H474" s="19"/>
      <c r="I474" s="20"/>
      <c r="J474" s="244"/>
      <c r="K474" s="19"/>
      <c r="L474" s="19"/>
      <c r="M474" s="19"/>
      <c r="N474" s="19"/>
      <c r="O474" s="19"/>
      <c r="P474" s="19"/>
      <c r="Q474" s="19"/>
      <c r="R474" s="19"/>
      <c r="S474" s="19"/>
      <c r="T474" s="19"/>
      <c r="U474" s="19"/>
      <c r="V474" s="19"/>
      <c r="W474" s="19"/>
    </row>
    <row r="475" spans="1:23" ht="14.25" customHeight="1" x14ac:dyDescent="0.3">
      <c r="A475" s="19"/>
      <c r="B475" s="19"/>
      <c r="C475" s="19"/>
      <c r="D475" s="19"/>
      <c r="E475" s="19"/>
      <c r="F475" s="19"/>
      <c r="G475" s="19"/>
      <c r="H475" s="19"/>
      <c r="I475" s="20"/>
      <c r="J475" s="244"/>
      <c r="K475" s="19"/>
      <c r="L475" s="19"/>
      <c r="M475" s="19"/>
      <c r="N475" s="19"/>
      <c r="O475" s="19"/>
      <c r="P475" s="19"/>
      <c r="Q475" s="19"/>
      <c r="R475" s="19"/>
      <c r="S475" s="19"/>
      <c r="T475" s="19"/>
      <c r="U475" s="19"/>
      <c r="V475" s="19"/>
      <c r="W475" s="19"/>
    </row>
    <row r="476" spans="1:23" ht="14.25" customHeight="1" x14ac:dyDescent="0.3">
      <c r="A476" s="19"/>
      <c r="B476" s="19"/>
      <c r="C476" s="19"/>
      <c r="D476" s="19"/>
      <c r="E476" s="19"/>
      <c r="F476" s="19"/>
      <c r="G476" s="19"/>
      <c r="H476" s="19"/>
      <c r="I476" s="20"/>
      <c r="J476" s="244"/>
      <c r="K476" s="19"/>
      <c r="L476" s="19"/>
      <c r="M476" s="19"/>
      <c r="N476" s="19"/>
      <c r="O476" s="19"/>
      <c r="P476" s="19"/>
      <c r="Q476" s="19"/>
      <c r="R476" s="19"/>
      <c r="S476" s="19"/>
      <c r="T476" s="19"/>
      <c r="U476" s="19"/>
      <c r="V476" s="19"/>
      <c r="W476" s="19"/>
    </row>
    <row r="477" spans="1:23" ht="14.25" customHeight="1" x14ac:dyDescent="0.3">
      <c r="A477" s="19"/>
      <c r="B477" s="19"/>
      <c r="C477" s="19"/>
      <c r="D477" s="19"/>
      <c r="E477" s="19"/>
      <c r="F477" s="19"/>
      <c r="G477" s="19"/>
      <c r="H477" s="19"/>
      <c r="I477" s="20"/>
      <c r="J477" s="244"/>
      <c r="K477" s="19"/>
      <c r="L477" s="19"/>
      <c r="M477" s="19"/>
      <c r="N477" s="19"/>
      <c r="O477" s="19"/>
      <c r="P477" s="19"/>
      <c r="Q477" s="19"/>
      <c r="R477" s="19"/>
      <c r="S477" s="19"/>
      <c r="T477" s="19"/>
      <c r="U477" s="19"/>
      <c r="V477" s="19"/>
      <c r="W477" s="19"/>
    </row>
    <row r="478" spans="1:23" ht="14.25" customHeight="1" x14ac:dyDescent="0.3">
      <c r="A478" s="19"/>
      <c r="B478" s="19"/>
      <c r="C478" s="19"/>
      <c r="D478" s="19"/>
      <c r="E478" s="19"/>
      <c r="F478" s="19"/>
      <c r="G478" s="19"/>
      <c r="H478" s="19"/>
      <c r="I478" s="20"/>
      <c r="J478" s="244"/>
      <c r="K478" s="19"/>
      <c r="L478" s="19"/>
      <c r="M478" s="19"/>
      <c r="N478" s="19"/>
      <c r="O478" s="19"/>
      <c r="P478" s="19"/>
      <c r="Q478" s="19"/>
      <c r="R478" s="19"/>
      <c r="S478" s="19"/>
      <c r="T478" s="19"/>
      <c r="U478" s="19"/>
      <c r="V478" s="19"/>
      <c r="W478" s="19"/>
    </row>
    <row r="479" spans="1:23" ht="14.25" customHeight="1" x14ac:dyDescent="0.3">
      <c r="A479" s="19"/>
      <c r="B479" s="19"/>
      <c r="C479" s="19"/>
      <c r="D479" s="19"/>
      <c r="E479" s="19"/>
      <c r="F479" s="19"/>
      <c r="G479" s="19"/>
      <c r="H479" s="19"/>
      <c r="I479" s="20"/>
      <c r="J479" s="244"/>
      <c r="K479" s="19"/>
      <c r="L479" s="19"/>
      <c r="M479" s="19"/>
      <c r="N479" s="19"/>
      <c r="O479" s="19"/>
      <c r="P479" s="19"/>
      <c r="Q479" s="19"/>
      <c r="R479" s="19"/>
      <c r="S479" s="19"/>
      <c r="T479" s="19"/>
      <c r="U479" s="19"/>
      <c r="V479" s="19"/>
      <c r="W479" s="19"/>
    </row>
    <row r="480" spans="1:23" ht="14.25" customHeight="1" x14ac:dyDescent="0.3">
      <c r="A480" s="19"/>
      <c r="B480" s="19"/>
      <c r="C480" s="19"/>
      <c r="D480" s="19"/>
      <c r="E480" s="19"/>
      <c r="F480" s="19"/>
      <c r="G480" s="19"/>
      <c r="H480" s="19"/>
      <c r="I480" s="20"/>
      <c r="J480" s="244"/>
      <c r="K480" s="19"/>
      <c r="L480" s="19"/>
      <c r="M480" s="19"/>
      <c r="N480" s="19"/>
      <c r="O480" s="19"/>
      <c r="P480" s="19"/>
      <c r="Q480" s="19"/>
      <c r="R480" s="19"/>
      <c r="S480" s="19"/>
      <c r="T480" s="19"/>
      <c r="U480" s="19"/>
      <c r="V480" s="19"/>
      <c r="W480" s="19"/>
    </row>
    <row r="481" spans="1:23" ht="14.25" customHeight="1" x14ac:dyDescent="0.3">
      <c r="A481" s="19"/>
      <c r="B481" s="19"/>
      <c r="C481" s="19"/>
      <c r="D481" s="19"/>
      <c r="E481" s="19"/>
      <c r="F481" s="19"/>
      <c r="G481" s="19"/>
      <c r="H481" s="19"/>
      <c r="I481" s="20"/>
      <c r="J481" s="244"/>
      <c r="K481" s="19"/>
      <c r="L481" s="19"/>
      <c r="M481" s="19"/>
      <c r="N481" s="19"/>
      <c r="O481" s="19"/>
      <c r="P481" s="19"/>
      <c r="Q481" s="19"/>
      <c r="R481" s="19"/>
      <c r="S481" s="19"/>
      <c r="T481" s="19"/>
      <c r="U481" s="19"/>
      <c r="V481" s="19"/>
      <c r="W481" s="19"/>
    </row>
    <row r="482" spans="1:23" ht="14.25" customHeight="1" x14ac:dyDescent="0.3">
      <c r="A482" s="19"/>
      <c r="B482" s="19"/>
      <c r="C482" s="19"/>
      <c r="D482" s="19"/>
      <c r="E482" s="19"/>
      <c r="F482" s="19"/>
      <c r="G482" s="19"/>
      <c r="H482" s="19"/>
      <c r="I482" s="20"/>
      <c r="J482" s="244"/>
      <c r="K482" s="19"/>
      <c r="L482" s="19"/>
      <c r="M482" s="19"/>
      <c r="N482" s="19"/>
      <c r="O482" s="19"/>
      <c r="P482" s="19"/>
      <c r="Q482" s="19"/>
      <c r="R482" s="19"/>
      <c r="S482" s="19"/>
      <c r="T482" s="19"/>
      <c r="U482" s="19"/>
      <c r="V482" s="19"/>
      <c r="W482" s="19"/>
    </row>
    <row r="483" spans="1:23" ht="14.25" customHeight="1" x14ac:dyDescent="0.3">
      <c r="A483" s="19"/>
      <c r="B483" s="19"/>
      <c r="C483" s="19"/>
      <c r="D483" s="19"/>
      <c r="E483" s="19"/>
      <c r="F483" s="19"/>
      <c r="G483" s="19"/>
      <c r="H483" s="19"/>
      <c r="I483" s="20"/>
      <c r="J483" s="244"/>
      <c r="K483" s="19"/>
      <c r="L483" s="19"/>
      <c r="M483" s="19"/>
      <c r="N483" s="19"/>
      <c r="O483" s="19"/>
      <c r="P483" s="19"/>
      <c r="Q483" s="19"/>
      <c r="R483" s="19"/>
      <c r="S483" s="19"/>
      <c r="T483" s="19"/>
      <c r="U483" s="19"/>
      <c r="V483" s="19"/>
      <c r="W483" s="19"/>
    </row>
    <row r="484" spans="1:23" ht="14.25" customHeight="1" x14ac:dyDescent="0.3">
      <c r="A484" s="19"/>
      <c r="B484" s="19"/>
      <c r="C484" s="19"/>
      <c r="D484" s="19"/>
      <c r="E484" s="19"/>
      <c r="F484" s="19"/>
      <c r="G484" s="19"/>
      <c r="H484" s="19"/>
      <c r="I484" s="20"/>
      <c r="J484" s="244"/>
      <c r="K484" s="19"/>
      <c r="L484" s="19"/>
      <c r="M484" s="19"/>
      <c r="N484" s="19"/>
      <c r="O484" s="19"/>
      <c r="P484" s="19"/>
      <c r="Q484" s="19"/>
      <c r="R484" s="19"/>
      <c r="S484" s="19"/>
      <c r="T484" s="19"/>
      <c r="U484" s="19"/>
      <c r="V484" s="19"/>
      <c r="W484" s="19"/>
    </row>
    <row r="485" spans="1:23" ht="14.25" customHeight="1" x14ac:dyDescent="0.3">
      <c r="A485" s="19"/>
      <c r="B485" s="19"/>
      <c r="C485" s="19"/>
      <c r="D485" s="19"/>
      <c r="E485" s="19"/>
      <c r="F485" s="19"/>
      <c r="G485" s="19"/>
      <c r="H485" s="19"/>
      <c r="I485" s="20"/>
      <c r="J485" s="244"/>
      <c r="K485" s="19"/>
      <c r="L485" s="19"/>
      <c r="M485" s="19"/>
      <c r="N485" s="19"/>
      <c r="O485" s="19"/>
      <c r="P485" s="19"/>
      <c r="Q485" s="19"/>
      <c r="R485" s="19"/>
      <c r="S485" s="19"/>
      <c r="T485" s="19"/>
      <c r="U485" s="19"/>
      <c r="V485" s="19"/>
      <c r="W485" s="19"/>
    </row>
    <row r="486" spans="1:23" ht="14.25" customHeight="1" x14ac:dyDescent="0.3">
      <c r="A486" s="19"/>
      <c r="B486" s="19"/>
      <c r="C486" s="19"/>
      <c r="D486" s="19"/>
      <c r="E486" s="19"/>
      <c r="F486" s="19"/>
      <c r="G486" s="19"/>
      <c r="H486" s="19"/>
      <c r="I486" s="20"/>
      <c r="J486" s="244"/>
      <c r="K486" s="19"/>
      <c r="L486" s="19"/>
      <c r="M486" s="19"/>
      <c r="N486" s="19"/>
      <c r="O486" s="19"/>
      <c r="P486" s="19"/>
      <c r="Q486" s="19"/>
      <c r="R486" s="19"/>
      <c r="S486" s="19"/>
      <c r="T486" s="19"/>
      <c r="U486" s="19"/>
      <c r="V486" s="19"/>
      <c r="W486" s="19"/>
    </row>
    <row r="487" spans="1:23" ht="14.25" customHeight="1" x14ac:dyDescent="0.3">
      <c r="A487" s="19"/>
      <c r="B487" s="19"/>
      <c r="C487" s="19"/>
      <c r="D487" s="19"/>
      <c r="E487" s="19"/>
      <c r="F487" s="19"/>
      <c r="G487" s="19"/>
      <c r="H487" s="19"/>
      <c r="I487" s="20"/>
      <c r="J487" s="244"/>
      <c r="K487" s="19"/>
      <c r="L487" s="19"/>
      <c r="M487" s="19"/>
      <c r="N487" s="19"/>
      <c r="O487" s="19"/>
      <c r="P487" s="19"/>
      <c r="Q487" s="19"/>
      <c r="R487" s="19"/>
      <c r="S487" s="19"/>
      <c r="T487" s="19"/>
      <c r="U487" s="19"/>
      <c r="V487" s="19"/>
      <c r="W487" s="19"/>
    </row>
    <row r="488" spans="1:23" ht="14.25" customHeight="1" x14ac:dyDescent="0.3">
      <c r="A488" s="19"/>
      <c r="B488" s="19"/>
      <c r="C488" s="19"/>
      <c r="D488" s="19"/>
      <c r="E488" s="19"/>
      <c r="F488" s="19"/>
      <c r="G488" s="19"/>
      <c r="H488" s="19"/>
      <c r="I488" s="20"/>
      <c r="J488" s="244"/>
      <c r="K488" s="19"/>
      <c r="L488" s="19"/>
      <c r="M488" s="19"/>
      <c r="N488" s="19"/>
      <c r="O488" s="19"/>
      <c r="P488" s="19"/>
      <c r="Q488" s="19"/>
      <c r="R488" s="19"/>
      <c r="S488" s="19"/>
      <c r="T488" s="19"/>
      <c r="U488" s="19"/>
      <c r="V488" s="19"/>
      <c r="W488" s="19"/>
    </row>
    <row r="489" spans="1:23" ht="14.25" customHeight="1" x14ac:dyDescent="0.3">
      <c r="A489" s="19"/>
      <c r="B489" s="19"/>
      <c r="C489" s="19"/>
      <c r="D489" s="19"/>
      <c r="E489" s="19"/>
      <c r="F489" s="19"/>
      <c r="G489" s="19"/>
      <c r="H489" s="19"/>
      <c r="I489" s="20"/>
      <c r="J489" s="244"/>
      <c r="K489" s="19"/>
      <c r="L489" s="19"/>
      <c r="M489" s="19"/>
      <c r="N489" s="19"/>
      <c r="O489" s="19"/>
      <c r="P489" s="19"/>
      <c r="Q489" s="19"/>
      <c r="R489" s="19"/>
      <c r="S489" s="19"/>
      <c r="T489" s="19"/>
      <c r="U489" s="19"/>
      <c r="V489" s="19"/>
      <c r="W489" s="19"/>
    </row>
    <row r="490" spans="1:23" ht="14.25" customHeight="1" x14ac:dyDescent="0.3">
      <c r="A490" s="19"/>
      <c r="B490" s="19"/>
      <c r="C490" s="19"/>
      <c r="D490" s="19"/>
      <c r="E490" s="19"/>
      <c r="F490" s="19"/>
      <c r="G490" s="19"/>
      <c r="H490" s="19"/>
      <c r="I490" s="20"/>
      <c r="J490" s="244"/>
      <c r="K490" s="19"/>
      <c r="L490" s="19"/>
      <c r="M490" s="19"/>
      <c r="N490" s="19"/>
      <c r="O490" s="19"/>
      <c r="P490" s="19"/>
      <c r="Q490" s="19"/>
      <c r="R490" s="19"/>
      <c r="S490" s="19"/>
      <c r="T490" s="19"/>
      <c r="U490" s="19"/>
      <c r="V490" s="19"/>
      <c r="W490" s="19"/>
    </row>
    <row r="491" spans="1:23" ht="14.25" customHeight="1" x14ac:dyDescent="0.3">
      <c r="A491" s="19"/>
      <c r="B491" s="19"/>
      <c r="C491" s="19"/>
      <c r="D491" s="19"/>
      <c r="E491" s="19"/>
      <c r="F491" s="19"/>
      <c r="G491" s="19"/>
      <c r="H491" s="19"/>
      <c r="I491" s="20"/>
      <c r="J491" s="244"/>
      <c r="K491" s="19"/>
      <c r="L491" s="19"/>
      <c r="M491" s="19"/>
      <c r="N491" s="19"/>
      <c r="O491" s="19"/>
      <c r="P491" s="19"/>
      <c r="Q491" s="19"/>
      <c r="R491" s="19"/>
      <c r="S491" s="19"/>
      <c r="T491" s="19"/>
      <c r="U491" s="19"/>
      <c r="V491" s="19"/>
      <c r="W491" s="19"/>
    </row>
    <row r="492" spans="1:23" ht="14.25" customHeight="1" x14ac:dyDescent="0.3">
      <c r="A492" s="19"/>
      <c r="B492" s="19"/>
      <c r="C492" s="19"/>
      <c r="D492" s="19"/>
      <c r="E492" s="19"/>
      <c r="F492" s="19"/>
      <c r="G492" s="19"/>
      <c r="H492" s="19"/>
      <c r="I492" s="20"/>
      <c r="J492" s="244"/>
      <c r="K492" s="19"/>
      <c r="L492" s="19"/>
      <c r="M492" s="19"/>
      <c r="N492" s="19"/>
      <c r="O492" s="19"/>
      <c r="P492" s="19"/>
      <c r="Q492" s="19"/>
      <c r="R492" s="19"/>
      <c r="S492" s="19"/>
      <c r="T492" s="19"/>
      <c r="U492" s="19"/>
      <c r="V492" s="19"/>
      <c r="W492" s="19"/>
    </row>
    <row r="493" spans="1:23" ht="14.25" customHeight="1" x14ac:dyDescent="0.3">
      <c r="A493" s="19"/>
      <c r="B493" s="19"/>
      <c r="C493" s="19"/>
      <c r="D493" s="19"/>
      <c r="E493" s="19"/>
      <c r="F493" s="19"/>
      <c r="G493" s="19"/>
      <c r="H493" s="19"/>
      <c r="I493" s="20"/>
      <c r="J493" s="244"/>
      <c r="K493" s="19"/>
      <c r="L493" s="19"/>
      <c r="M493" s="19"/>
      <c r="N493" s="19"/>
      <c r="O493" s="19"/>
      <c r="P493" s="19"/>
      <c r="Q493" s="19"/>
      <c r="R493" s="19"/>
      <c r="S493" s="19"/>
      <c r="T493" s="19"/>
      <c r="U493" s="19"/>
      <c r="V493" s="19"/>
      <c r="W493" s="19"/>
    </row>
    <row r="494" spans="1:23" ht="14.25" customHeight="1" x14ac:dyDescent="0.3">
      <c r="A494" s="19"/>
      <c r="B494" s="19"/>
      <c r="C494" s="19"/>
      <c r="D494" s="19"/>
      <c r="E494" s="19"/>
      <c r="F494" s="19"/>
      <c r="G494" s="19"/>
      <c r="H494" s="19"/>
      <c r="I494" s="20"/>
      <c r="J494" s="244"/>
      <c r="K494" s="19"/>
      <c r="L494" s="19"/>
      <c r="M494" s="19"/>
      <c r="N494" s="19"/>
      <c r="O494" s="19"/>
      <c r="P494" s="19"/>
      <c r="Q494" s="19"/>
      <c r="R494" s="19"/>
      <c r="S494" s="19"/>
      <c r="T494" s="19"/>
      <c r="U494" s="19"/>
      <c r="V494" s="19"/>
      <c r="W494" s="19"/>
    </row>
    <row r="495" spans="1:23" ht="14.25" customHeight="1" x14ac:dyDescent="0.3">
      <c r="A495" s="19"/>
      <c r="B495" s="19"/>
      <c r="C495" s="19"/>
      <c r="D495" s="19"/>
      <c r="E495" s="19"/>
      <c r="F495" s="19"/>
      <c r="G495" s="19"/>
      <c r="H495" s="19"/>
      <c r="I495" s="20"/>
      <c r="J495" s="244"/>
      <c r="K495" s="19"/>
      <c r="L495" s="19"/>
      <c r="M495" s="19"/>
      <c r="N495" s="19"/>
      <c r="O495" s="19"/>
      <c r="P495" s="19"/>
      <c r="Q495" s="19"/>
      <c r="R495" s="19"/>
      <c r="S495" s="19"/>
      <c r="T495" s="19"/>
      <c r="U495" s="19"/>
      <c r="V495" s="19"/>
      <c r="W495" s="19"/>
    </row>
    <row r="496" spans="1:23" ht="14.25" customHeight="1" x14ac:dyDescent="0.3">
      <c r="A496" s="19"/>
      <c r="B496" s="19"/>
      <c r="C496" s="19"/>
      <c r="D496" s="19"/>
      <c r="E496" s="19"/>
      <c r="F496" s="19"/>
      <c r="G496" s="19"/>
      <c r="H496" s="19"/>
      <c r="I496" s="20"/>
      <c r="J496" s="244"/>
      <c r="K496" s="19"/>
      <c r="L496" s="19"/>
      <c r="M496" s="19"/>
      <c r="N496" s="19"/>
      <c r="O496" s="19"/>
      <c r="P496" s="19"/>
      <c r="Q496" s="19"/>
      <c r="R496" s="19"/>
      <c r="S496" s="19"/>
      <c r="T496" s="19"/>
      <c r="U496" s="19"/>
      <c r="V496" s="19"/>
      <c r="W496" s="19"/>
    </row>
    <row r="497" spans="1:23" ht="14.25" customHeight="1" x14ac:dyDescent="0.3">
      <c r="A497" s="19"/>
      <c r="B497" s="19"/>
      <c r="C497" s="19"/>
      <c r="D497" s="19"/>
      <c r="E497" s="19"/>
      <c r="F497" s="19"/>
      <c r="G497" s="19"/>
      <c r="H497" s="19"/>
      <c r="I497" s="20"/>
      <c r="J497" s="244"/>
      <c r="K497" s="19"/>
      <c r="L497" s="19"/>
      <c r="M497" s="19"/>
      <c r="N497" s="19"/>
      <c r="O497" s="19"/>
      <c r="P497" s="19"/>
      <c r="Q497" s="19"/>
      <c r="R497" s="19"/>
      <c r="S497" s="19"/>
      <c r="T497" s="19"/>
      <c r="U497" s="19"/>
      <c r="V497" s="19"/>
      <c r="W497" s="19"/>
    </row>
    <row r="498" spans="1:23" ht="14.25" customHeight="1" x14ac:dyDescent="0.3">
      <c r="A498" s="19"/>
      <c r="B498" s="19"/>
      <c r="C498" s="19"/>
      <c r="D498" s="19"/>
      <c r="E498" s="19"/>
      <c r="F498" s="19"/>
      <c r="G498" s="19"/>
      <c r="H498" s="19"/>
      <c r="I498" s="20"/>
      <c r="J498" s="244"/>
      <c r="K498" s="19"/>
      <c r="L498" s="19"/>
      <c r="M498" s="19"/>
      <c r="N498" s="19"/>
      <c r="O498" s="19"/>
      <c r="P498" s="19"/>
      <c r="Q498" s="19"/>
      <c r="R498" s="19"/>
      <c r="S498" s="19"/>
      <c r="T498" s="19"/>
      <c r="U498" s="19"/>
      <c r="V498" s="19"/>
      <c r="W498" s="19"/>
    </row>
    <row r="499" spans="1:23" ht="14.25" customHeight="1" x14ac:dyDescent="0.3">
      <c r="A499" s="19"/>
      <c r="B499" s="19"/>
      <c r="C499" s="19"/>
      <c r="D499" s="19"/>
      <c r="E499" s="19"/>
      <c r="F499" s="19"/>
      <c r="G499" s="19"/>
      <c r="H499" s="19"/>
      <c r="I499" s="20"/>
      <c r="J499" s="244"/>
      <c r="K499" s="19"/>
      <c r="L499" s="19"/>
      <c r="M499" s="19"/>
      <c r="N499" s="19"/>
      <c r="O499" s="19"/>
      <c r="P499" s="19"/>
      <c r="Q499" s="19"/>
      <c r="R499" s="19"/>
      <c r="S499" s="19"/>
      <c r="T499" s="19"/>
      <c r="U499" s="19"/>
      <c r="V499" s="19"/>
      <c r="W499" s="19"/>
    </row>
    <row r="500" spans="1:23" ht="14.25" customHeight="1" x14ac:dyDescent="0.3">
      <c r="A500" s="19"/>
      <c r="B500" s="19"/>
      <c r="C500" s="19"/>
      <c r="D500" s="19"/>
      <c r="E500" s="19"/>
      <c r="F500" s="19"/>
      <c r="G500" s="19"/>
      <c r="H500" s="19"/>
      <c r="I500" s="20"/>
      <c r="J500" s="244"/>
      <c r="K500" s="19"/>
      <c r="L500" s="19"/>
      <c r="M500" s="19"/>
      <c r="N500" s="19"/>
      <c r="O500" s="19"/>
      <c r="P500" s="19"/>
      <c r="Q500" s="19"/>
      <c r="R500" s="19"/>
      <c r="S500" s="19"/>
      <c r="T500" s="19"/>
      <c r="U500" s="19"/>
      <c r="V500" s="19"/>
      <c r="W500" s="19"/>
    </row>
    <row r="501" spans="1:23" ht="14.25" customHeight="1" x14ac:dyDescent="0.3">
      <c r="A501" s="19"/>
      <c r="B501" s="19"/>
      <c r="C501" s="19"/>
      <c r="D501" s="19"/>
      <c r="E501" s="19"/>
      <c r="F501" s="19"/>
      <c r="G501" s="19"/>
      <c r="H501" s="19"/>
      <c r="I501" s="20"/>
      <c r="J501" s="244"/>
      <c r="K501" s="19"/>
      <c r="L501" s="19"/>
      <c r="M501" s="19"/>
      <c r="N501" s="19"/>
      <c r="O501" s="19"/>
      <c r="P501" s="19"/>
      <c r="Q501" s="19"/>
      <c r="R501" s="19"/>
      <c r="S501" s="19"/>
      <c r="T501" s="19"/>
      <c r="U501" s="19"/>
      <c r="V501" s="19"/>
      <c r="W501" s="19"/>
    </row>
    <row r="502" spans="1:23" ht="14.25" customHeight="1" x14ac:dyDescent="0.3">
      <c r="A502" s="19"/>
      <c r="B502" s="19"/>
      <c r="C502" s="19"/>
      <c r="D502" s="19"/>
      <c r="E502" s="19"/>
      <c r="F502" s="19"/>
      <c r="G502" s="19"/>
      <c r="H502" s="19"/>
      <c r="I502" s="20"/>
      <c r="J502" s="244"/>
      <c r="K502" s="19"/>
      <c r="L502" s="19"/>
      <c r="M502" s="19"/>
      <c r="N502" s="19"/>
      <c r="O502" s="19"/>
      <c r="P502" s="19"/>
      <c r="Q502" s="19"/>
      <c r="R502" s="19"/>
      <c r="S502" s="19"/>
      <c r="T502" s="19"/>
      <c r="U502" s="19"/>
      <c r="V502" s="19"/>
      <c r="W502" s="19"/>
    </row>
    <row r="503" spans="1:23" ht="14.25" customHeight="1" x14ac:dyDescent="0.3">
      <c r="A503" s="19"/>
      <c r="B503" s="19"/>
      <c r="C503" s="19"/>
      <c r="D503" s="19"/>
      <c r="E503" s="19"/>
      <c r="F503" s="19"/>
      <c r="G503" s="19"/>
      <c r="H503" s="19"/>
      <c r="I503" s="20"/>
      <c r="J503" s="244"/>
      <c r="K503" s="19"/>
      <c r="L503" s="19"/>
      <c r="M503" s="19"/>
      <c r="N503" s="19"/>
      <c r="O503" s="19"/>
      <c r="P503" s="19"/>
      <c r="Q503" s="19"/>
      <c r="R503" s="19"/>
      <c r="S503" s="19"/>
      <c r="T503" s="19"/>
      <c r="U503" s="19"/>
      <c r="V503" s="19"/>
      <c r="W503" s="19"/>
    </row>
    <row r="504" spans="1:23" ht="14.25" customHeight="1" x14ac:dyDescent="0.3">
      <c r="A504" s="19"/>
      <c r="B504" s="19"/>
      <c r="C504" s="19"/>
      <c r="D504" s="19"/>
      <c r="E504" s="19"/>
      <c r="F504" s="19"/>
      <c r="G504" s="19"/>
      <c r="H504" s="19"/>
      <c r="I504" s="20"/>
      <c r="J504" s="244"/>
      <c r="K504" s="19"/>
      <c r="L504" s="19"/>
      <c r="M504" s="19"/>
      <c r="N504" s="19"/>
      <c r="O504" s="19"/>
      <c r="P504" s="19"/>
      <c r="Q504" s="19"/>
      <c r="R504" s="19"/>
      <c r="S504" s="19"/>
      <c r="T504" s="19"/>
      <c r="U504" s="19"/>
      <c r="V504" s="19"/>
      <c r="W504" s="19"/>
    </row>
    <row r="505" spans="1:23" ht="14.25" customHeight="1" x14ac:dyDescent="0.3">
      <c r="A505" s="19"/>
      <c r="B505" s="19"/>
      <c r="C505" s="19"/>
      <c r="D505" s="19"/>
      <c r="E505" s="19"/>
      <c r="F505" s="19"/>
      <c r="G505" s="19"/>
      <c r="H505" s="19"/>
      <c r="I505" s="20"/>
      <c r="J505" s="244"/>
      <c r="K505" s="19"/>
      <c r="L505" s="19"/>
      <c r="M505" s="19"/>
      <c r="N505" s="19"/>
      <c r="O505" s="19"/>
      <c r="P505" s="19"/>
      <c r="Q505" s="19"/>
      <c r="R505" s="19"/>
      <c r="S505" s="19"/>
      <c r="T505" s="19"/>
      <c r="U505" s="19"/>
      <c r="V505" s="19"/>
      <c r="W505" s="19"/>
    </row>
    <row r="506" spans="1:23" ht="14.25" customHeight="1" x14ac:dyDescent="0.3">
      <c r="A506" s="19"/>
      <c r="B506" s="19"/>
      <c r="C506" s="19"/>
      <c r="D506" s="19"/>
      <c r="E506" s="19"/>
      <c r="F506" s="19"/>
      <c r="G506" s="19"/>
      <c r="H506" s="19"/>
      <c r="I506" s="20"/>
      <c r="J506" s="244"/>
      <c r="K506" s="19"/>
      <c r="L506" s="19"/>
      <c r="M506" s="19"/>
      <c r="N506" s="19"/>
      <c r="O506" s="19"/>
      <c r="P506" s="19"/>
      <c r="Q506" s="19"/>
      <c r="R506" s="19"/>
      <c r="S506" s="19"/>
      <c r="T506" s="19"/>
      <c r="U506" s="19"/>
      <c r="V506" s="19"/>
      <c r="W506" s="19"/>
    </row>
    <row r="507" spans="1:23" ht="14.25" customHeight="1" x14ac:dyDescent="0.3">
      <c r="A507" s="19"/>
      <c r="B507" s="19"/>
      <c r="C507" s="19"/>
      <c r="D507" s="19"/>
      <c r="E507" s="19"/>
      <c r="F507" s="19"/>
      <c r="G507" s="19"/>
      <c r="H507" s="19"/>
      <c r="I507" s="20"/>
      <c r="J507" s="244"/>
      <c r="K507" s="19"/>
      <c r="L507" s="19"/>
      <c r="M507" s="19"/>
      <c r="N507" s="19"/>
      <c r="O507" s="19"/>
      <c r="P507" s="19"/>
      <c r="Q507" s="19"/>
      <c r="R507" s="19"/>
      <c r="S507" s="19"/>
      <c r="T507" s="19"/>
      <c r="U507" s="19"/>
      <c r="V507" s="19"/>
      <c r="W507" s="19"/>
    </row>
    <row r="508" spans="1:23" ht="14.25" customHeight="1" x14ac:dyDescent="0.3">
      <c r="A508" s="19"/>
      <c r="B508" s="19"/>
      <c r="C508" s="19"/>
      <c r="D508" s="19"/>
      <c r="E508" s="19"/>
      <c r="F508" s="19"/>
      <c r="G508" s="19"/>
      <c r="H508" s="19"/>
      <c r="I508" s="20"/>
      <c r="J508" s="244"/>
      <c r="K508" s="19"/>
      <c r="L508" s="19"/>
      <c r="M508" s="19"/>
      <c r="N508" s="19"/>
      <c r="O508" s="19"/>
      <c r="P508" s="19"/>
      <c r="Q508" s="19"/>
      <c r="R508" s="19"/>
      <c r="S508" s="19"/>
      <c r="T508" s="19"/>
      <c r="U508" s="19"/>
      <c r="V508" s="19"/>
      <c r="W508" s="19"/>
    </row>
    <row r="509" spans="1:23" ht="14.25" customHeight="1" x14ac:dyDescent="0.3">
      <c r="A509" s="19"/>
      <c r="B509" s="19"/>
      <c r="C509" s="19"/>
      <c r="D509" s="19"/>
      <c r="E509" s="19"/>
      <c r="F509" s="19"/>
      <c r="G509" s="19"/>
      <c r="H509" s="19"/>
      <c r="I509" s="20"/>
      <c r="J509" s="244"/>
      <c r="K509" s="19"/>
      <c r="L509" s="19"/>
      <c r="M509" s="19"/>
      <c r="N509" s="19"/>
      <c r="O509" s="19"/>
      <c r="P509" s="19"/>
      <c r="Q509" s="19"/>
      <c r="R509" s="19"/>
      <c r="S509" s="19"/>
      <c r="T509" s="19"/>
      <c r="U509" s="19"/>
      <c r="V509" s="19"/>
      <c r="W509" s="19"/>
    </row>
    <row r="510" spans="1:23" ht="14.25" customHeight="1" x14ac:dyDescent="0.3">
      <c r="A510" s="19"/>
      <c r="B510" s="19"/>
      <c r="C510" s="19"/>
      <c r="D510" s="19"/>
      <c r="E510" s="19"/>
      <c r="F510" s="19"/>
      <c r="G510" s="19"/>
      <c r="H510" s="19"/>
      <c r="I510" s="20"/>
      <c r="J510" s="244"/>
      <c r="K510" s="19"/>
      <c r="L510" s="19"/>
      <c r="M510" s="19"/>
      <c r="N510" s="19"/>
      <c r="O510" s="19"/>
      <c r="P510" s="19"/>
      <c r="Q510" s="19"/>
      <c r="R510" s="19"/>
      <c r="S510" s="19"/>
      <c r="T510" s="19"/>
      <c r="U510" s="19"/>
      <c r="V510" s="19"/>
      <c r="W510" s="19"/>
    </row>
    <row r="511" spans="1:23" ht="14.25" customHeight="1" x14ac:dyDescent="0.3">
      <c r="A511" s="19"/>
      <c r="B511" s="19"/>
      <c r="C511" s="19"/>
      <c r="D511" s="19"/>
      <c r="E511" s="19"/>
      <c r="F511" s="19"/>
      <c r="G511" s="19"/>
      <c r="H511" s="19"/>
      <c r="I511" s="20"/>
      <c r="J511" s="244"/>
      <c r="K511" s="19"/>
      <c r="L511" s="19"/>
      <c r="M511" s="19"/>
      <c r="N511" s="19"/>
      <c r="O511" s="19"/>
      <c r="P511" s="19"/>
      <c r="Q511" s="19"/>
      <c r="R511" s="19"/>
      <c r="S511" s="19"/>
      <c r="T511" s="19"/>
      <c r="U511" s="19"/>
      <c r="V511" s="19"/>
      <c r="W511" s="19"/>
    </row>
    <row r="512" spans="1:23" ht="14.25" customHeight="1" x14ac:dyDescent="0.3">
      <c r="A512" s="19"/>
      <c r="B512" s="19"/>
      <c r="C512" s="19"/>
      <c r="D512" s="19"/>
      <c r="E512" s="19"/>
      <c r="F512" s="19"/>
      <c r="G512" s="19"/>
      <c r="H512" s="19"/>
      <c r="I512" s="20"/>
      <c r="J512" s="244"/>
      <c r="K512" s="19"/>
      <c r="L512" s="19"/>
      <c r="M512" s="19"/>
      <c r="N512" s="19"/>
      <c r="O512" s="19"/>
      <c r="P512" s="19"/>
      <c r="Q512" s="19"/>
      <c r="R512" s="19"/>
      <c r="S512" s="19"/>
      <c r="T512" s="19"/>
      <c r="U512" s="19"/>
      <c r="V512" s="19"/>
      <c r="W512" s="19"/>
    </row>
    <row r="513" spans="1:23" ht="14.25" customHeight="1" x14ac:dyDescent="0.3">
      <c r="A513" s="19"/>
      <c r="B513" s="19"/>
      <c r="C513" s="19"/>
      <c r="D513" s="19"/>
      <c r="E513" s="19"/>
      <c r="F513" s="19"/>
      <c r="G513" s="19"/>
      <c r="H513" s="19"/>
      <c r="I513" s="20"/>
      <c r="J513" s="244"/>
      <c r="K513" s="19"/>
      <c r="L513" s="19"/>
      <c r="M513" s="19"/>
      <c r="N513" s="19"/>
      <c r="O513" s="19"/>
      <c r="P513" s="19"/>
      <c r="Q513" s="19"/>
      <c r="R513" s="19"/>
      <c r="S513" s="19"/>
      <c r="T513" s="19"/>
      <c r="U513" s="19"/>
      <c r="V513" s="19"/>
      <c r="W513" s="19"/>
    </row>
    <row r="514" spans="1:23" ht="14.25" customHeight="1" x14ac:dyDescent="0.3">
      <c r="A514" s="19"/>
      <c r="B514" s="19"/>
      <c r="C514" s="19"/>
      <c r="D514" s="19"/>
      <c r="E514" s="19"/>
      <c r="F514" s="19"/>
      <c r="G514" s="19"/>
      <c r="H514" s="19"/>
      <c r="I514" s="20"/>
      <c r="J514" s="244"/>
      <c r="K514" s="19"/>
      <c r="L514" s="19"/>
      <c r="M514" s="19"/>
      <c r="N514" s="19"/>
      <c r="O514" s="19"/>
      <c r="P514" s="19"/>
      <c r="Q514" s="19"/>
      <c r="R514" s="19"/>
      <c r="S514" s="19"/>
      <c r="T514" s="19"/>
      <c r="U514" s="19"/>
      <c r="V514" s="19"/>
      <c r="W514" s="19"/>
    </row>
    <row r="515" spans="1:23" ht="14.25" customHeight="1" x14ac:dyDescent="0.3">
      <c r="A515" s="19"/>
      <c r="B515" s="19"/>
      <c r="C515" s="19"/>
      <c r="D515" s="19"/>
      <c r="E515" s="19"/>
      <c r="F515" s="19"/>
      <c r="G515" s="19"/>
      <c r="H515" s="19"/>
      <c r="I515" s="20"/>
      <c r="J515" s="244"/>
      <c r="K515" s="19"/>
      <c r="L515" s="19"/>
      <c r="M515" s="19"/>
      <c r="N515" s="19"/>
      <c r="O515" s="19"/>
      <c r="P515" s="19"/>
      <c r="Q515" s="19"/>
      <c r="R515" s="19"/>
      <c r="S515" s="19"/>
      <c r="T515" s="19"/>
      <c r="U515" s="19"/>
      <c r="V515" s="19"/>
      <c r="W515" s="19"/>
    </row>
    <row r="516" spans="1:23" ht="14.25" customHeight="1" x14ac:dyDescent="0.3">
      <c r="A516" s="19"/>
      <c r="B516" s="19"/>
      <c r="C516" s="19"/>
      <c r="D516" s="19"/>
      <c r="E516" s="19"/>
      <c r="F516" s="19"/>
      <c r="G516" s="19"/>
      <c r="H516" s="19"/>
      <c r="I516" s="20"/>
      <c r="J516" s="244"/>
      <c r="K516" s="19"/>
      <c r="L516" s="19"/>
      <c r="M516" s="19"/>
      <c r="N516" s="19"/>
      <c r="O516" s="19"/>
      <c r="P516" s="19"/>
      <c r="Q516" s="19"/>
      <c r="R516" s="19"/>
      <c r="S516" s="19"/>
      <c r="T516" s="19"/>
      <c r="U516" s="19"/>
      <c r="V516" s="19"/>
      <c r="W516" s="19"/>
    </row>
    <row r="517" spans="1:23" ht="14.25" customHeight="1" x14ac:dyDescent="0.3">
      <c r="A517" s="19"/>
      <c r="B517" s="19"/>
      <c r="C517" s="19"/>
      <c r="D517" s="19"/>
      <c r="E517" s="19"/>
      <c r="F517" s="19"/>
      <c r="G517" s="19"/>
      <c r="H517" s="19"/>
      <c r="I517" s="20"/>
      <c r="J517" s="244"/>
      <c r="K517" s="19"/>
      <c r="L517" s="19"/>
      <c r="M517" s="19"/>
      <c r="N517" s="19"/>
      <c r="O517" s="19"/>
      <c r="P517" s="19"/>
      <c r="Q517" s="19"/>
      <c r="R517" s="19"/>
      <c r="S517" s="19"/>
      <c r="T517" s="19"/>
      <c r="U517" s="19"/>
      <c r="V517" s="19"/>
      <c r="W517" s="19"/>
    </row>
    <row r="518" spans="1:23" ht="14.25" customHeight="1" x14ac:dyDescent="0.3">
      <c r="A518" s="19"/>
      <c r="B518" s="19"/>
      <c r="C518" s="19"/>
      <c r="D518" s="19"/>
      <c r="E518" s="19"/>
      <c r="F518" s="19"/>
      <c r="G518" s="19"/>
      <c r="H518" s="19"/>
      <c r="I518" s="20"/>
      <c r="J518" s="244"/>
      <c r="K518" s="19"/>
      <c r="L518" s="19"/>
      <c r="M518" s="19"/>
      <c r="N518" s="19"/>
      <c r="O518" s="19"/>
      <c r="P518" s="19"/>
      <c r="Q518" s="19"/>
      <c r="R518" s="19"/>
      <c r="S518" s="19"/>
      <c r="T518" s="19"/>
      <c r="U518" s="19"/>
      <c r="V518" s="19"/>
      <c r="W518" s="19"/>
    </row>
    <row r="519" spans="1:23" ht="14.25" customHeight="1" x14ac:dyDescent="0.3">
      <c r="A519" s="19"/>
      <c r="B519" s="19"/>
      <c r="C519" s="19"/>
      <c r="D519" s="19"/>
      <c r="E519" s="19"/>
      <c r="F519" s="19"/>
      <c r="G519" s="19"/>
      <c r="H519" s="19"/>
      <c r="I519" s="20"/>
      <c r="J519" s="244"/>
      <c r="K519" s="19"/>
      <c r="L519" s="19"/>
      <c r="M519" s="19"/>
      <c r="N519" s="19"/>
      <c r="O519" s="19"/>
      <c r="P519" s="19"/>
      <c r="Q519" s="19"/>
      <c r="R519" s="19"/>
      <c r="S519" s="19"/>
      <c r="T519" s="19"/>
      <c r="U519" s="19"/>
      <c r="V519" s="19"/>
      <c r="W519" s="19"/>
    </row>
    <row r="520" spans="1:23" ht="14.25" customHeight="1" x14ac:dyDescent="0.3">
      <c r="A520" s="19"/>
      <c r="B520" s="19"/>
      <c r="C520" s="19"/>
      <c r="D520" s="19"/>
      <c r="E520" s="19"/>
      <c r="F520" s="19"/>
      <c r="G520" s="19"/>
      <c r="H520" s="19"/>
      <c r="I520" s="20"/>
      <c r="J520" s="244"/>
      <c r="K520" s="19"/>
      <c r="L520" s="19"/>
      <c r="M520" s="19"/>
      <c r="N520" s="19"/>
      <c r="O520" s="19"/>
      <c r="P520" s="19"/>
      <c r="Q520" s="19"/>
      <c r="R520" s="19"/>
      <c r="S520" s="19"/>
      <c r="T520" s="19"/>
      <c r="U520" s="19"/>
      <c r="V520" s="19"/>
      <c r="W520" s="19"/>
    </row>
    <row r="521" spans="1:23" ht="14.25" customHeight="1" x14ac:dyDescent="0.3">
      <c r="A521" s="19"/>
      <c r="B521" s="19"/>
      <c r="C521" s="19"/>
      <c r="D521" s="19"/>
      <c r="E521" s="19"/>
      <c r="F521" s="19"/>
      <c r="G521" s="19"/>
      <c r="H521" s="19"/>
      <c r="I521" s="20"/>
      <c r="J521" s="244"/>
      <c r="K521" s="19"/>
      <c r="L521" s="19"/>
      <c r="M521" s="19"/>
      <c r="N521" s="19"/>
      <c r="O521" s="19"/>
      <c r="P521" s="19"/>
      <c r="Q521" s="19"/>
      <c r="R521" s="19"/>
      <c r="S521" s="19"/>
      <c r="T521" s="19"/>
      <c r="U521" s="19"/>
      <c r="V521" s="19"/>
      <c r="W521" s="19"/>
    </row>
    <row r="522" spans="1:23" ht="14.25" customHeight="1" x14ac:dyDescent="0.3">
      <c r="A522" s="19"/>
      <c r="B522" s="19"/>
      <c r="C522" s="19"/>
      <c r="D522" s="19"/>
      <c r="E522" s="19"/>
      <c r="F522" s="19"/>
      <c r="G522" s="19"/>
      <c r="H522" s="19"/>
      <c r="I522" s="20"/>
      <c r="J522" s="244"/>
      <c r="K522" s="19"/>
      <c r="L522" s="19"/>
      <c r="M522" s="19"/>
      <c r="N522" s="19"/>
      <c r="O522" s="19"/>
      <c r="P522" s="19"/>
      <c r="Q522" s="19"/>
      <c r="R522" s="19"/>
      <c r="S522" s="19"/>
      <c r="T522" s="19"/>
      <c r="U522" s="19"/>
      <c r="V522" s="19"/>
      <c r="W522" s="19"/>
    </row>
    <row r="523" spans="1:23" ht="14.25" customHeight="1" x14ac:dyDescent="0.3">
      <c r="A523" s="19"/>
      <c r="B523" s="19"/>
      <c r="C523" s="19"/>
      <c r="D523" s="19"/>
      <c r="E523" s="19"/>
      <c r="F523" s="19"/>
      <c r="G523" s="19"/>
      <c r="H523" s="19"/>
      <c r="I523" s="20"/>
      <c r="J523" s="244"/>
      <c r="K523" s="19"/>
      <c r="L523" s="19"/>
      <c r="M523" s="19"/>
      <c r="N523" s="19"/>
      <c r="O523" s="19"/>
      <c r="P523" s="19"/>
      <c r="Q523" s="19"/>
      <c r="R523" s="19"/>
      <c r="S523" s="19"/>
      <c r="T523" s="19"/>
      <c r="U523" s="19"/>
      <c r="V523" s="19"/>
      <c r="W523" s="19"/>
    </row>
    <row r="524" spans="1:23" ht="14.25" customHeight="1" x14ac:dyDescent="0.3">
      <c r="A524" s="19"/>
      <c r="B524" s="19"/>
      <c r="C524" s="19"/>
      <c r="D524" s="19"/>
      <c r="E524" s="19"/>
      <c r="F524" s="19"/>
      <c r="G524" s="19"/>
      <c r="H524" s="19"/>
      <c r="I524" s="20"/>
      <c r="J524" s="244"/>
      <c r="K524" s="19"/>
      <c r="L524" s="19"/>
      <c r="M524" s="19"/>
      <c r="N524" s="19"/>
      <c r="O524" s="19"/>
      <c r="P524" s="19"/>
      <c r="Q524" s="19"/>
      <c r="R524" s="19"/>
      <c r="S524" s="19"/>
      <c r="T524" s="19"/>
      <c r="U524" s="19"/>
      <c r="V524" s="19"/>
      <c r="W524" s="19"/>
    </row>
    <row r="525" spans="1:23" ht="14.25" customHeight="1" x14ac:dyDescent="0.3">
      <c r="A525" s="19"/>
      <c r="B525" s="19"/>
      <c r="C525" s="19"/>
      <c r="D525" s="19"/>
      <c r="E525" s="19"/>
      <c r="F525" s="19"/>
      <c r="G525" s="19"/>
      <c r="H525" s="19"/>
      <c r="I525" s="20"/>
      <c r="J525" s="244"/>
      <c r="K525" s="19"/>
      <c r="L525" s="19"/>
      <c r="M525" s="19"/>
      <c r="N525" s="19"/>
      <c r="O525" s="19"/>
      <c r="P525" s="19"/>
      <c r="Q525" s="19"/>
      <c r="R525" s="19"/>
      <c r="S525" s="19"/>
      <c r="T525" s="19"/>
      <c r="U525" s="19"/>
      <c r="V525" s="19"/>
      <c r="W525" s="19"/>
    </row>
    <row r="526" spans="1:23" ht="14.25" customHeight="1" x14ac:dyDescent="0.3">
      <c r="A526" s="19"/>
      <c r="B526" s="19"/>
      <c r="C526" s="19"/>
      <c r="D526" s="19"/>
      <c r="E526" s="19"/>
      <c r="F526" s="19"/>
      <c r="G526" s="19"/>
      <c r="H526" s="19"/>
      <c r="I526" s="20"/>
      <c r="J526" s="244"/>
      <c r="K526" s="19"/>
      <c r="L526" s="19"/>
      <c r="M526" s="19"/>
      <c r="N526" s="19"/>
      <c r="O526" s="19"/>
      <c r="P526" s="19"/>
      <c r="Q526" s="19"/>
      <c r="R526" s="19"/>
      <c r="S526" s="19"/>
      <c r="T526" s="19"/>
      <c r="U526" s="19"/>
      <c r="V526" s="19"/>
      <c r="W526" s="19"/>
    </row>
    <row r="527" spans="1:23" ht="14.25" customHeight="1" x14ac:dyDescent="0.3">
      <c r="A527" s="19"/>
      <c r="B527" s="19"/>
      <c r="C527" s="19"/>
      <c r="D527" s="19"/>
      <c r="E527" s="19"/>
      <c r="F527" s="19"/>
      <c r="G527" s="19"/>
      <c r="H527" s="19"/>
      <c r="I527" s="20"/>
      <c r="J527" s="244"/>
      <c r="K527" s="19"/>
      <c r="L527" s="19"/>
      <c r="M527" s="19"/>
      <c r="N527" s="19"/>
      <c r="O527" s="19"/>
      <c r="P527" s="19"/>
      <c r="Q527" s="19"/>
      <c r="R527" s="19"/>
      <c r="S527" s="19"/>
      <c r="T527" s="19"/>
      <c r="U527" s="19"/>
      <c r="V527" s="19"/>
      <c r="W527" s="19"/>
    </row>
    <row r="528" spans="1:23" ht="14.25" customHeight="1" x14ac:dyDescent="0.3">
      <c r="A528" s="19"/>
      <c r="B528" s="19"/>
      <c r="C528" s="19"/>
      <c r="D528" s="19"/>
      <c r="E528" s="19"/>
      <c r="F528" s="19"/>
      <c r="G528" s="19"/>
      <c r="H528" s="19"/>
      <c r="I528" s="20"/>
      <c r="J528" s="244"/>
      <c r="K528" s="19"/>
      <c r="L528" s="19"/>
      <c r="M528" s="19"/>
      <c r="N528" s="19"/>
      <c r="O528" s="19"/>
      <c r="P528" s="19"/>
      <c r="Q528" s="19"/>
      <c r="R528" s="19"/>
      <c r="S528" s="19"/>
      <c r="T528" s="19"/>
      <c r="U528" s="19"/>
      <c r="V528" s="19"/>
      <c r="W528" s="19"/>
    </row>
    <row r="529" spans="1:23" ht="14.25" customHeight="1" x14ac:dyDescent="0.3">
      <c r="A529" s="19"/>
      <c r="B529" s="19"/>
      <c r="C529" s="19"/>
      <c r="D529" s="19"/>
      <c r="E529" s="19"/>
      <c r="F529" s="19"/>
      <c r="G529" s="19"/>
      <c r="H529" s="19"/>
      <c r="I529" s="20"/>
      <c r="J529" s="244"/>
      <c r="K529" s="19"/>
      <c r="L529" s="19"/>
      <c r="M529" s="19"/>
      <c r="N529" s="19"/>
      <c r="O529" s="19"/>
      <c r="P529" s="19"/>
      <c r="Q529" s="19"/>
      <c r="R529" s="19"/>
      <c r="S529" s="19"/>
      <c r="T529" s="19"/>
      <c r="U529" s="19"/>
      <c r="V529" s="19"/>
      <c r="W529" s="19"/>
    </row>
    <row r="530" spans="1:23" ht="14.25" customHeight="1" x14ac:dyDescent="0.3">
      <c r="A530" s="19"/>
      <c r="B530" s="19"/>
      <c r="C530" s="19"/>
      <c r="D530" s="19"/>
      <c r="E530" s="19"/>
      <c r="F530" s="19"/>
      <c r="G530" s="19"/>
      <c r="H530" s="19"/>
      <c r="I530" s="20"/>
      <c r="J530" s="244"/>
      <c r="K530" s="19"/>
      <c r="L530" s="19"/>
      <c r="M530" s="19"/>
      <c r="N530" s="19"/>
      <c r="O530" s="19"/>
      <c r="P530" s="19"/>
      <c r="Q530" s="19"/>
      <c r="R530" s="19"/>
      <c r="S530" s="19"/>
      <c r="T530" s="19"/>
      <c r="U530" s="19"/>
      <c r="V530" s="19"/>
      <c r="W530" s="19"/>
    </row>
    <row r="531" spans="1:23" ht="14.25" customHeight="1" x14ac:dyDescent="0.3">
      <c r="A531" s="19"/>
      <c r="B531" s="19"/>
      <c r="C531" s="19"/>
      <c r="D531" s="19"/>
      <c r="E531" s="19"/>
      <c r="F531" s="19"/>
      <c r="G531" s="19"/>
      <c r="H531" s="19"/>
      <c r="I531" s="20"/>
      <c r="J531" s="244"/>
      <c r="K531" s="19"/>
      <c r="L531" s="19"/>
      <c r="M531" s="19"/>
      <c r="N531" s="19"/>
      <c r="O531" s="19"/>
      <c r="P531" s="19"/>
      <c r="Q531" s="19"/>
      <c r="R531" s="19"/>
      <c r="S531" s="19"/>
      <c r="T531" s="19"/>
      <c r="U531" s="19"/>
      <c r="V531" s="19"/>
      <c r="W531" s="19"/>
    </row>
    <row r="532" spans="1:23" ht="14.25" customHeight="1" x14ac:dyDescent="0.3">
      <c r="A532" s="19"/>
      <c r="B532" s="19"/>
      <c r="C532" s="19"/>
      <c r="D532" s="19"/>
      <c r="E532" s="19"/>
      <c r="F532" s="19"/>
      <c r="G532" s="19"/>
      <c r="H532" s="19"/>
      <c r="I532" s="20"/>
      <c r="J532" s="244"/>
      <c r="K532" s="19"/>
      <c r="L532" s="19"/>
      <c r="M532" s="19"/>
      <c r="N532" s="19"/>
      <c r="O532" s="19"/>
      <c r="P532" s="19"/>
      <c r="Q532" s="19"/>
      <c r="R532" s="19"/>
      <c r="S532" s="19"/>
      <c r="T532" s="19"/>
      <c r="U532" s="19"/>
      <c r="V532" s="19"/>
      <c r="W532" s="19"/>
    </row>
    <row r="533" spans="1:23" ht="14.25" customHeight="1" x14ac:dyDescent="0.3">
      <c r="A533" s="19"/>
      <c r="B533" s="19"/>
      <c r="C533" s="19"/>
      <c r="D533" s="19"/>
      <c r="E533" s="19"/>
      <c r="F533" s="19"/>
      <c r="G533" s="19"/>
      <c r="H533" s="19"/>
      <c r="I533" s="20"/>
      <c r="J533" s="244"/>
      <c r="K533" s="19"/>
      <c r="L533" s="19"/>
      <c r="M533" s="19"/>
      <c r="N533" s="19"/>
      <c r="O533" s="19"/>
      <c r="P533" s="19"/>
      <c r="Q533" s="19"/>
      <c r="R533" s="19"/>
      <c r="S533" s="19"/>
      <c r="T533" s="19"/>
      <c r="U533" s="19"/>
      <c r="V533" s="19"/>
      <c r="W533" s="19"/>
    </row>
    <row r="534" spans="1:23" ht="14.25" customHeight="1" x14ac:dyDescent="0.3">
      <c r="A534" s="19"/>
      <c r="B534" s="19"/>
      <c r="C534" s="19"/>
      <c r="D534" s="19"/>
      <c r="E534" s="19"/>
      <c r="F534" s="19"/>
      <c r="G534" s="19"/>
      <c r="H534" s="19"/>
      <c r="I534" s="20"/>
      <c r="J534" s="244"/>
      <c r="K534" s="19"/>
      <c r="L534" s="19"/>
      <c r="M534" s="19"/>
      <c r="N534" s="19"/>
      <c r="O534" s="19"/>
      <c r="P534" s="19"/>
      <c r="Q534" s="19"/>
      <c r="R534" s="19"/>
      <c r="S534" s="19"/>
      <c r="T534" s="19"/>
      <c r="U534" s="19"/>
      <c r="V534" s="19"/>
      <c r="W534" s="19"/>
    </row>
    <row r="535" spans="1:23" ht="14.25" customHeight="1" x14ac:dyDescent="0.3">
      <c r="A535" s="19"/>
      <c r="B535" s="19"/>
      <c r="C535" s="19"/>
      <c r="D535" s="19"/>
      <c r="E535" s="19"/>
      <c r="F535" s="19"/>
      <c r="G535" s="19"/>
      <c r="H535" s="19"/>
      <c r="I535" s="20"/>
      <c r="J535" s="244"/>
      <c r="K535" s="19"/>
      <c r="L535" s="19"/>
      <c r="M535" s="19"/>
      <c r="N535" s="19"/>
      <c r="O535" s="19"/>
      <c r="P535" s="19"/>
      <c r="Q535" s="19"/>
      <c r="R535" s="19"/>
      <c r="S535" s="19"/>
      <c r="T535" s="19"/>
      <c r="U535" s="19"/>
      <c r="V535" s="19"/>
      <c r="W535" s="19"/>
    </row>
    <row r="536" spans="1:23" ht="14.25" customHeight="1" x14ac:dyDescent="0.3">
      <c r="A536" s="19"/>
      <c r="B536" s="19"/>
      <c r="C536" s="19"/>
      <c r="D536" s="19"/>
      <c r="E536" s="19"/>
      <c r="F536" s="19"/>
      <c r="G536" s="19"/>
      <c r="H536" s="19"/>
      <c r="I536" s="20"/>
      <c r="J536" s="244"/>
      <c r="K536" s="19"/>
      <c r="L536" s="19"/>
      <c r="M536" s="19"/>
      <c r="N536" s="19"/>
      <c r="O536" s="19"/>
      <c r="P536" s="19"/>
      <c r="Q536" s="19"/>
      <c r="R536" s="19"/>
      <c r="S536" s="19"/>
      <c r="T536" s="19"/>
      <c r="U536" s="19"/>
      <c r="V536" s="19"/>
      <c r="W536" s="19"/>
    </row>
    <row r="537" spans="1:23" ht="14.25" customHeight="1" x14ac:dyDescent="0.3">
      <c r="A537" s="19"/>
      <c r="B537" s="19"/>
      <c r="C537" s="19"/>
      <c r="D537" s="19"/>
      <c r="E537" s="19"/>
      <c r="F537" s="19"/>
      <c r="G537" s="19"/>
      <c r="H537" s="19"/>
      <c r="I537" s="20"/>
      <c r="J537" s="244"/>
      <c r="K537" s="19"/>
      <c r="L537" s="19"/>
      <c r="M537" s="19"/>
      <c r="N537" s="19"/>
      <c r="O537" s="19"/>
      <c r="P537" s="19"/>
      <c r="Q537" s="19"/>
      <c r="R537" s="19"/>
      <c r="S537" s="19"/>
      <c r="T537" s="19"/>
      <c r="U537" s="19"/>
      <c r="V537" s="19"/>
      <c r="W537" s="19"/>
    </row>
    <row r="538" spans="1:23" ht="14.25" customHeight="1" x14ac:dyDescent="0.3">
      <c r="A538" s="19"/>
      <c r="B538" s="19"/>
      <c r="C538" s="19"/>
      <c r="D538" s="19"/>
      <c r="E538" s="19"/>
      <c r="F538" s="19"/>
      <c r="G538" s="19"/>
      <c r="H538" s="19"/>
      <c r="I538" s="20"/>
      <c r="J538" s="244"/>
      <c r="K538" s="19"/>
      <c r="L538" s="19"/>
      <c r="M538" s="19"/>
      <c r="N538" s="19"/>
      <c r="O538" s="19"/>
      <c r="P538" s="19"/>
      <c r="Q538" s="19"/>
      <c r="R538" s="19"/>
      <c r="S538" s="19"/>
      <c r="T538" s="19"/>
      <c r="U538" s="19"/>
      <c r="V538" s="19"/>
      <c r="W538" s="19"/>
    </row>
    <row r="539" spans="1:23" ht="14.25" customHeight="1" x14ac:dyDescent="0.3">
      <c r="A539" s="19"/>
      <c r="B539" s="19"/>
      <c r="C539" s="19"/>
      <c r="D539" s="19"/>
      <c r="E539" s="19"/>
      <c r="F539" s="19"/>
      <c r="G539" s="19"/>
      <c r="H539" s="19"/>
      <c r="I539" s="20"/>
      <c r="J539" s="244"/>
      <c r="K539" s="19"/>
      <c r="L539" s="19"/>
      <c r="M539" s="19"/>
      <c r="N539" s="19"/>
      <c r="O539" s="19"/>
      <c r="P539" s="19"/>
      <c r="Q539" s="19"/>
      <c r="R539" s="19"/>
      <c r="S539" s="19"/>
      <c r="T539" s="19"/>
      <c r="U539" s="19"/>
      <c r="V539" s="19"/>
      <c r="W539" s="19"/>
    </row>
    <row r="540" spans="1:23" ht="14.25" customHeight="1" x14ac:dyDescent="0.3">
      <c r="A540" s="19"/>
      <c r="B540" s="19"/>
      <c r="C540" s="19"/>
      <c r="D540" s="19"/>
      <c r="E540" s="19"/>
      <c r="F540" s="19"/>
      <c r="G540" s="19"/>
      <c r="H540" s="19"/>
      <c r="I540" s="20"/>
      <c r="J540" s="244"/>
      <c r="K540" s="19"/>
      <c r="L540" s="19"/>
      <c r="M540" s="19"/>
      <c r="N540" s="19"/>
      <c r="O540" s="19"/>
      <c r="P540" s="19"/>
      <c r="Q540" s="19"/>
      <c r="R540" s="19"/>
      <c r="S540" s="19"/>
      <c r="T540" s="19"/>
      <c r="U540" s="19"/>
      <c r="V540" s="19"/>
      <c r="W540" s="19"/>
    </row>
    <row r="541" spans="1:23" ht="14.25" customHeight="1" x14ac:dyDescent="0.3">
      <c r="A541" s="19"/>
      <c r="B541" s="19"/>
      <c r="C541" s="19"/>
      <c r="D541" s="19"/>
      <c r="E541" s="19"/>
      <c r="F541" s="19"/>
      <c r="G541" s="19"/>
      <c r="H541" s="19"/>
      <c r="I541" s="20"/>
      <c r="J541" s="244"/>
      <c r="K541" s="19"/>
      <c r="L541" s="19"/>
      <c r="M541" s="19"/>
      <c r="N541" s="19"/>
      <c r="O541" s="19"/>
      <c r="P541" s="19"/>
      <c r="Q541" s="19"/>
      <c r="R541" s="19"/>
      <c r="S541" s="19"/>
      <c r="T541" s="19"/>
      <c r="U541" s="19"/>
      <c r="V541" s="19"/>
      <c r="W541" s="19"/>
    </row>
    <row r="542" spans="1:23" ht="14.25" customHeight="1" x14ac:dyDescent="0.3">
      <c r="A542" s="19"/>
      <c r="B542" s="19"/>
      <c r="C542" s="19"/>
      <c r="D542" s="19"/>
      <c r="E542" s="19"/>
      <c r="F542" s="19"/>
      <c r="G542" s="19"/>
      <c r="H542" s="19"/>
      <c r="I542" s="20"/>
      <c r="J542" s="244"/>
      <c r="K542" s="19"/>
      <c r="L542" s="19"/>
      <c r="M542" s="19"/>
      <c r="N542" s="19"/>
      <c r="O542" s="19"/>
      <c r="P542" s="19"/>
      <c r="Q542" s="19"/>
      <c r="R542" s="19"/>
      <c r="S542" s="19"/>
      <c r="T542" s="19"/>
      <c r="U542" s="19"/>
      <c r="V542" s="19"/>
      <c r="W542" s="19"/>
    </row>
    <row r="543" spans="1:23" ht="14.25" customHeight="1" x14ac:dyDescent="0.3">
      <c r="A543" s="19"/>
      <c r="B543" s="19"/>
      <c r="C543" s="19"/>
      <c r="D543" s="19"/>
      <c r="E543" s="19"/>
      <c r="F543" s="19"/>
      <c r="G543" s="19"/>
      <c r="H543" s="19"/>
      <c r="I543" s="20"/>
      <c r="J543" s="244"/>
      <c r="K543" s="19"/>
      <c r="L543" s="19"/>
      <c r="M543" s="19"/>
      <c r="N543" s="19"/>
      <c r="O543" s="19"/>
      <c r="P543" s="19"/>
      <c r="Q543" s="19"/>
      <c r="R543" s="19"/>
      <c r="S543" s="19"/>
      <c r="T543" s="19"/>
      <c r="U543" s="19"/>
      <c r="V543" s="19"/>
      <c r="W543" s="19"/>
    </row>
    <row r="544" spans="1:23" ht="14.25" customHeight="1" x14ac:dyDescent="0.3">
      <c r="A544" s="19"/>
      <c r="B544" s="19"/>
      <c r="C544" s="19"/>
      <c r="D544" s="19"/>
      <c r="E544" s="19"/>
      <c r="F544" s="19"/>
      <c r="G544" s="19"/>
      <c r="H544" s="19"/>
      <c r="I544" s="20"/>
      <c r="J544" s="244"/>
      <c r="K544" s="19"/>
      <c r="L544" s="19"/>
      <c r="M544" s="19"/>
      <c r="N544" s="19"/>
      <c r="O544" s="19"/>
      <c r="P544" s="19"/>
      <c r="Q544" s="19"/>
      <c r="R544" s="19"/>
      <c r="S544" s="19"/>
      <c r="T544" s="19"/>
      <c r="U544" s="19"/>
      <c r="V544" s="19"/>
      <c r="W544" s="19"/>
    </row>
    <row r="545" spans="1:23" ht="14.25" customHeight="1" x14ac:dyDescent="0.3">
      <c r="A545" s="19"/>
      <c r="B545" s="19"/>
      <c r="C545" s="19"/>
      <c r="D545" s="19"/>
      <c r="E545" s="19"/>
      <c r="F545" s="19"/>
      <c r="G545" s="19"/>
      <c r="H545" s="19"/>
      <c r="I545" s="20"/>
      <c r="J545" s="244"/>
      <c r="K545" s="19"/>
      <c r="L545" s="19"/>
      <c r="M545" s="19"/>
      <c r="N545" s="19"/>
      <c r="O545" s="19"/>
      <c r="P545" s="19"/>
      <c r="Q545" s="19"/>
      <c r="R545" s="19"/>
      <c r="S545" s="19"/>
      <c r="T545" s="19"/>
      <c r="U545" s="19"/>
      <c r="V545" s="19"/>
      <c r="W545" s="19"/>
    </row>
    <row r="546" spans="1:23" ht="14.25" customHeight="1" x14ac:dyDescent="0.3">
      <c r="A546" s="19"/>
      <c r="B546" s="19"/>
      <c r="C546" s="19"/>
      <c r="D546" s="19"/>
      <c r="E546" s="19"/>
      <c r="F546" s="19"/>
      <c r="G546" s="19"/>
      <c r="H546" s="19"/>
      <c r="I546" s="20"/>
      <c r="J546" s="244"/>
      <c r="K546" s="19"/>
      <c r="L546" s="19"/>
      <c r="M546" s="19"/>
      <c r="N546" s="19"/>
      <c r="O546" s="19"/>
      <c r="P546" s="19"/>
      <c r="Q546" s="19"/>
      <c r="R546" s="19"/>
      <c r="S546" s="19"/>
      <c r="T546" s="19"/>
      <c r="U546" s="19"/>
      <c r="V546" s="19"/>
      <c r="W546" s="19"/>
    </row>
    <row r="547" spans="1:23" ht="14.25" customHeight="1" x14ac:dyDescent="0.3">
      <c r="A547" s="19"/>
      <c r="B547" s="19"/>
      <c r="C547" s="19"/>
      <c r="D547" s="19"/>
      <c r="E547" s="19"/>
      <c r="F547" s="19"/>
      <c r="G547" s="19"/>
      <c r="H547" s="19"/>
      <c r="I547" s="20"/>
      <c r="J547" s="244"/>
      <c r="K547" s="19"/>
      <c r="L547" s="19"/>
      <c r="M547" s="19"/>
      <c r="N547" s="19"/>
      <c r="O547" s="19"/>
      <c r="P547" s="19"/>
      <c r="Q547" s="19"/>
      <c r="R547" s="19"/>
      <c r="S547" s="19"/>
      <c r="T547" s="19"/>
      <c r="U547" s="19"/>
      <c r="V547" s="19"/>
      <c r="W547" s="19"/>
    </row>
    <row r="548" spans="1:23" ht="14.25" customHeight="1" x14ac:dyDescent="0.3">
      <c r="A548" s="19"/>
      <c r="B548" s="19"/>
      <c r="C548" s="19"/>
      <c r="D548" s="19"/>
      <c r="E548" s="19"/>
      <c r="F548" s="19"/>
      <c r="G548" s="19"/>
      <c r="H548" s="19"/>
      <c r="I548" s="20"/>
      <c r="J548" s="244"/>
      <c r="K548" s="19"/>
      <c r="L548" s="19"/>
      <c r="M548" s="19"/>
      <c r="N548" s="19"/>
      <c r="O548" s="19"/>
      <c r="P548" s="19"/>
      <c r="Q548" s="19"/>
      <c r="R548" s="19"/>
      <c r="S548" s="19"/>
      <c r="T548" s="19"/>
      <c r="U548" s="19"/>
      <c r="V548" s="19"/>
      <c r="W548" s="19"/>
    </row>
    <row r="549" spans="1:23" ht="14.25" customHeight="1" x14ac:dyDescent="0.3">
      <c r="A549" s="19"/>
      <c r="B549" s="19"/>
      <c r="C549" s="19"/>
      <c r="D549" s="19"/>
      <c r="E549" s="19"/>
      <c r="F549" s="19"/>
      <c r="G549" s="19"/>
      <c r="H549" s="19"/>
      <c r="I549" s="20"/>
      <c r="J549" s="244"/>
      <c r="K549" s="19"/>
      <c r="L549" s="19"/>
      <c r="M549" s="19"/>
      <c r="N549" s="19"/>
      <c r="O549" s="19"/>
      <c r="P549" s="19"/>
      <c r="Q549" s="19"/>
      <c r="R549" s="19"/>
      <c r="S549" s="19"/>
      <c r="T549" s="19"/>
      <c r="U549" s="19"/>
      <c r="V549" s="19"/>
      <c r="W549" s="19"/>
    </row>
    <row r="550" spans="1:23" ht="14.25" customHeight="1" x14ac:dyDescent="0.3">
      <c r="A550" s="19"/>
      <c r="B550" s="19"/>
      <c r="C550" s="19"/>
      <c r="D550" s="19"/>
      <c r="E550" s="19"/>
      <c r="F550" s="19"/>
      <c r="G550" s="19"/>
      <c r="H550" s="19"/>
      <c r="I550" s="20"/>
      <c r="J550" s="244"/>
      <c r="K550" s="19"/>
      <c r="L550" s="19"/>
      <c r="M550" s="19"/>
      <c r="N550" s="19"/>
      <c r="O550" s="19"/>
      <c r="P550" s="19"/>
      <c r="Q550" s="19"/>
      <c r="R550" s="19"/>
      <c r="S550" s="19"/>
      <c r="T550" s="19"/>
      <c r="U550" s="19"/>
      <c r="V550" s="19"/>
      <c r="W550" s="19"/>
    </row>
    <row r="551" spans="1:23" ht="14.25" customHeight="1" x14ac:dyDescent="0.3">
      <c r="A551" s="19"/>
      <c r="B551" s="19"/>
      <c r="C551" s="19"/>
      <c r="D551" s="19"/>
      <c r="E551" s="19"/>
      <c r="F551" s="19"/>
      <c r="G551" s="19"/>
      <c r="H551" s="19"/>
      <c r="I551" s="20"/>
      <c r="J551" s="244"/>
      <c r="K551" s="19"/>
      <c r="L551" s="19"/>
      <c r="M551" s="19"/>
      <c r="N551" s="19"/>
      <c r="O551" s="19"/>
      <c r="P551" s="19"/>
      <c r="Q551" s="19"/>
      <c r="R551" s="19"/>
      <c r="S551" s="19"/>
      <c r="T551" s="19"/>
      <c r="U551" s="19"/>
      <c r="V551" s="19"/>
      <c r="W551" s="19"/>
    </row>
    <row r="552" spans="1:23" ht="14.25" customHeight="1" x14ac:dyDescent="0.3">
      <c r="A552" s="19"/>
      <c r="B552" s="19"/>
      <c r="C552" s="19"/>
      <c r="D552" s="19"/>
      <c r="E552" s="19"/>
      <c r="F552" s="19"/>
      <c r="G552" s="19"/>
      <c r="H552" s="19"/>
      <c r="I552" s="20"/>
      <c r="J552" s="244"/>
      <c r="K552" s="19"/>
      <c r="L552" s="19"/>
      <c r="M552" s="19"/>
      <c r="N552" s="19"/>
      <c r="O552" s="19"/>
      <c r="P552" s="19"/>
      <c r="Q552" s="19"/>
      <c r="R552" s="19"/>
      <c r="S552" s="19"/>
      <c r="T552" s="19"/>
      <c r="U552" s="19"/>
      <c r="V552" s="19"/>
      <c r="W552" s="19"/>
    </row>
    <row r="553" spans="1:23" ht="14.25" customHeight="1" x14ac:dyDescent="0.3">
      <c r="A553" s="19"/>
      <c r="B553" s="19"/>
      <c r="C553" s="19"/>
      <c r="D553" s="19"/>
      <c r="E553" s="19"/>
      <c r="F553" s="19"/>
      <c r="G553" s="19"/>
      <c r="H553" s="19"/>
      <c r="I553" s="20"/>
      <c r="J553" s="244"/>
      <c r="K553" s="19"/>
      <c r="L553" s="19"/>
      <c r="M553" s="19"/>
      <c r="N553" s="19"/>
      <c r="O553" s="19"/>
      <c r="P553" s="19"/>
      <c r="Q553" s="19"/>
      <c r="R553" s="19"/>
      <c r="S553" s="19"/>
      <c r="T553" s="19"/>
      <c r="U553" s="19"/>
      <c r="V553" s="19"/>
      <c r="W553" s="19"/>
    </row>
    <row r="554" spans="1:23" ht="14.25" customHeight="1" x14ac:dyDescent="0.3">
      <c r="A554" s="19"/>
      <c r="B554" s="19"/>
      <c r="C554" s="19"/>
      <c r="D554" s="19"/>
      <c r="E554" s="19"/>
      <c r="F554" s="19"/>
      <c r="G554" s="19"/>
      <c r="H554" s="19"/>
      <c r="I554" s="20"/>
      <c r="J554" s="244"/>
      <c r="K554" s="19"/>
      <c r="L554" s="19"/>
      <c r="M554" s="19"/>
      <c r="N554" s="19"/>
      <c r="O554" s="19"/>
      <c r="P554" s="19"/>
      <c r="Q554" s="19"/>
      <c r="R554" s="19"/>
      <c r="S554" s="19"/>
      <c r="T554" s="19"/>
      <c r="U554" s="19"/>
      <c r="V554" s="19"/>
      <c r="W554" s="19"/>
    </row>
    <row r="555" spans="1:23" ht="14.25" customHeight="1" x14ac:dyDescent="0.3">
      <c r="A555" s="19"/>
      <c r="B555" s="19"/>
      <c r="C555" s="19"/>
      <c r="D555" s="19"/>
      <c r="E555" s="19"/>
      <c r="F555" s="19"/>
      <c r="G555" s="19"/>
      <c r="H555" s="19"/>
      <c r="I555" s="20"/>
      <c r="J555" s="244"/>
      <c r="K555" s="19"/>
      <c r="L555" s="19"/>
      <c r="M555" s="19"/>
      <c r="N555" s="19"/>
      <c r="O555" s="19"/>
      <c r="P555" s="19"/>
      <c r="Q555" s="19"/>
      <c r="R555" s="19"/>
      <c r="S555" s="19"/>
      <c r="T555" s="19"/>
      <c r="U555" s="19"/>
      <c r="V555" s="19"/>
      <c r="W555" s="19"/>
    </row>
    <row r="556" spans="1:23" ht="14.25" customHeight="1" x14ac:dyDescent="0.3">
      <c r="A556" s="19"/>
      <c r="B556" s="19"/>
      <c r="C556" s="19"/>
      <c r="D556" s="19"/>
      <c r="E556" s="19"/>
      <c r="F556" s="19"/>
      <c r="G556" s="19"/>
      <c r="H556" s="19"/>
      <c r="I556" s="20"/>
      <c r="J556" s="244"/>
      <c r="K556" s="19"/>
      <c r="L556" s="19"/>
      <c r="M556" s="19"/>
      <c r="N556" s="19"/>
      <c r="O556" s="19"/>
      <c r="P556" s="19"/>
      <c r="Q556" s="19"/>
      <c r="R556" s="19"/>
      <c r="S556" s="19"/>
      <c r="T556" s="19"/>
      <c r="U556" s="19"/>
      <c r="V556" s="19"/>
      <c r="W556" s="19"/>
    </row>
    <row r="557" spans="1:23" ht="14.25" customHeight="1" x14ac:dyDescent="0.3">
      <c r="A557" s="19"/>
      <c r="B557" s="19"/>
      <c r="C557" s="19"/>
      <c r="D557" s="19"/>
      <c r="E557" s="19"/>
      <c r="F557" s="19"/>
      <c r="G557" s="19"/>
      <c r="H557" s="19"/>
      <c r="I557" s="20"/>
      <c r="J557" s="244"/>
      <c r="K557" s="19"/>
      <c r="L557" s="19"/>
      <c r="M557" s="19"/>
      <c r="N557" s="19"/>
      <c r="O557" s="19"/>
      <c r="P557" s="19"/>
      <c r="Q557" s="19"/>
      <c r="R557" s="19"/>
      <c r="S557" s="19"/>
      <c r="T557" s="19"/>
      <c r="U557" s="19"/>
      <c r="V557" s="19"/>
      <c r="W557" s="19"/>
    </row>
    <row r="558" spans="1:23" ht="14.25" customHeight="1" x14ac:dyDescent="0.3">
      <c r="A558" s="19"/>
      <c r="B558" s="19"/>
      <c r="C558" s="19"/>
      <c r="D558" s="19"/>
      <c r="E558" s="19"/>
      <c r="F558" s="19"/>
      <c r="G558" s="19"/>
      <c r="H558" s="19"/>
      <c r="I558" s="20"/>
      <c r="J558" s="244"/>
      <c r="K558" s="19"/>
      <c r="L558" s="19"/>
      <c r="M558" s="19"/>
      <c r="N558" s="19"/>
      <c r="O558" s="19"/>
      <c r="P558" s="19"/>
      <c r="Q558" s="19"/>
      <c r="R558" s="19"/>
      <c r="S558" s="19"/>
      <c r="T558" s="19"/>
      <c r="U558" s="19"/>
      <c r="V558" s="19"/>
      <c r="W558" s="19"/>
    </row>
    <row r="559" spans="1:23" ht="14.25" customHeight="1" x14ac:dyDescent="0.3">
      <c r="A559" s="19"/>
      <c r="B559" s="19"/>
      <c r="C559" s="19"/>
      <c r="D559" s="19"/>
      <c r="E559" s="19"/>
      <c r="F559" s="19"/>
      <c r="G559" s="19"/>
      <c r="H559" s="19"/>
      <c r="I559" s="20"/>
      <c r="J559" s="244"/>
      <c r="K559" s="19"/>
      <c r="L559" s="19"/>
      <c r="M559" s="19"/>
      <c r="N559" s="19"/>
      <c r="O559" s="19"/>
      <c r="P559" s="19"/>
      <c r="Q559" s="19"/>
      <c r="R559" s="19"/>
      <c r="S559" s="19"/>
      <c r="T559" s="19"/>
      <c r="U559" s="19"/>
      <c r="V559" s="19"/>
      <c r="W559" s="19"/>
    </row>
    <row r="560" spans="1:23" ht="14.25" customHeight="1" x14ac:dyDescent="0.3">
      <c r="A560" s="19"/>
      <c r="B560" s="19"/>
      <c r="C560" s="19"/>
      <c r="D560" s="19"/>
      <c r="E560" s="19"/>
      <c r="F560" s="19"/>
      <c r="G560" s="19"/>
      <c r="H560" s="19"/>
      <c r="I560" s="20"/>
      <c r="J560" s="244"/>
      <c r="K560" s="19"/>
      <c r="L560" s="19"/>
      <c r="M560" s="19"/>
      <c r="N560" s="19"/>
      <c r="O560" s="19"/>
      <c r="P560" s="19"/>
      <c r="Q560" s="19"/>
      <c r="R560" s="19"/>
      <c r="S560" s="19"/>
      <c r="T560" s="19"/>
      <c r="U560" s="19"/>
      <c r="V560" s="19"/>
      <c r="W560" s="19"/>
    </row>
    <row r="561" spans="1:23" ht="14.25" customHeight="1" x14ac:dyDescent="0.3">
      <c r="A561" s="19"/>
      <c r="B561" s="19"/>
      <c r="C561" s="19"/>
      <c r="D561" s="19"/>
      <c r="E561" s="19"/>
      <c r="F561" s="19"/>
      <c r="G561" s="19"/>
      <c r="H561" s="19"/>
      <c r="I561" s="20"/>
      <c r="J561" s="244"/>
      <c r="K561" s="19"/>
      <c r="L561" s="19"/>
      <c r="M561" s="19"/>
      <c r="N561" s="19"/>
      <c r="O561" s="19"/>
      <c r="P561" s="19"/>
      <c r="Q561" s="19"/>
      <c r="R561" s="19"/>
      <c r="S561" s="19"/>
      <c r="T561" s="19"/>
      <c r="U561" s="19"/>
      <c r="V561" s="19"/>
      <c r="W561" s="19"/>
    </row>
    <row r="562" spans="1:23" ht="14.25" customHeight="1" x14ac:dyDescent="0.3">
      <c r="A562" s="19"/>
      <c r="B562" s="19"/>
      <c r="C562" s="19"/>
      <c r="D562" s="19"/>
      <c r="E562" s="19"/>
      <c r="F562" s="19"/>
      <c r="G562" s="19"/>
      <c r="H562" s="19"/>
      <c r="I562" s="20"/>
      <c r="J562" s="244"/>
      <c r="K562" s="19"/>
      <c r="L562" s="19"/>
      <c r="M562" s="19"/>
      <c r="N562" s="19"/>
      <c r="O562" s="19"/>
      <c r="P562" s="19"/>
      <c r="Q562" s="19"/>
      <c r="R562" s="19"/>
      <c r="S562" s="19"/>
      <c r="T562" s="19"/>
      <c r="U562" s="19"/>
      <c r="V562" s="19"/>
      <c r="W562" s="19"/>
    </row>
    <row r="563" spans="1:23" ht="14.25" customHeight="1" x14ac:dyDescent="0.3">
      <c r="A563" s="19"/>
      <c r="B563" s="19"/>
      <c r="C563" s="19"/>
      <c r="D563" s="19"/>
      <c r="E563" s="19"/>
      <c r="F563" s="19"/>
      <c r="G563" s="19"/>
      <c r="H563" s="19"/>
      <c r="I563" s="20"/>
      <c r="J563" s="244"/>
      <c r="K563" s="19"/>
      <c r="L563" s="19"/>
      <c r="M563" s="19"/>
      <c r="N563" s="19"/>
      <c r="O563" s="19"/>
      <c r="P563" s="19"/>
      <c r="Q563" s="19"/>
      <c r="R563" s="19"/>
      <c r="S563" s="19"/>
      <c r="T563" s="19"/>
      <c r="U563" s="19"/>
      <c r="V563" s="19"/>
      <c r="W563" s="19"/>
    </row>
    <row r="564" spans="1:23" ht="14.25" customHeight="1" x14ac:dyDescent="0.3">
      <c r="A564" s="19"/>
      <c r="B564" s="19"/>
      <c r="C564" s="19"/>
      <c r="D564" s="19"/>
      <c r="E564" s="19"/>
      <c r="F564" s="19"/>
      <c r="G564" s="19"/>
      <c r="H564" s="19"/>
      <c r="I564" s="20"/>
      <c r="J564" s="244"/>
      <c r="K564" s="19"/>
      <c r="L564" s="19"/>
      <c r="M564" s="19"/>
      <c r="N564" s="19"/>
      <c r="O564" s="19"/>
      <c r="P564" s="19"/>
      <c r="Q564" s="19"/>
      <c r="R564" s="19"/>
      <c r="S564" s="19"/>
      <c r="T564" s="19"/>
      <c r="U564" s="19"/>
      <c r="V564" s="19"/>
      <c r="W564" s="19"/>
    </row>
    <row r="565" spans="1:23" ht="14.25" customHeight="1" x14ac:dyDescent="0.3">
      <c r="A565" s="19"/>
      <c r="B565" s="19"/>
      <c r="C565" s="19"/>
      <c r="D565" s="19"/>
      <c r="E565" s="19"/>
      <c r="F565" s="19"/>
      <c r="G565" s="19"/>
      <c r="H565" s="19"/>
      <c r="I565" s="20"/>
      <c r="J565" s="244"/>
      <c r="K565" s="19"/>
      <c r="L565" s="19"/>
      <c r="M565" s="19"/>
      <c r="N565" s="19"/>
      <c r="O565" s="19"/>
      <c r="P565" s="19"/>
      <c r="Q565" s="19"/>
      <c r="R565" s="19"/>
      <c r="S565" s="19"/>
      <c r="T565" s="19"/>
      <c r="U565" s="19"/>
      <c r="V565" s="19"/>
      <c r="W565" s="19"/>
    </row>
    <row r="566" spans="1:23" ht="14.25" customHeight="1" x14ac:dyDescent="0.3">
      <c r="A566" s="19"/>
      <c r="B566" s="19"/>
      <c r="C566" s="19"/>
      <c r="D566" s="19"/>
      <c r="E566" s="19"/>
      <c r="F566" s="19"/>
      <c r="G566" s="19"/>
      <c r="H566" s="19"/>
      <c r="I566" s="20"/>
      <c r="J566" s="244"/>
      <c r="K566" s="19"/>
      <c r="L566" s="19"/>
      <c r="M566" s="19"/>
      <c r="N566" s="19"/>
      <c r="O566" s="19"/>
      <c r="P566" s="19"/>
      <c r="Q566" s="19"/>
      <c r="R566" s="19"/>
      <c r="S566" s="19"/>
      <c r="T566" s="19"/>
      <c r="U566" s="19"/>
      <c r="V566" s="19"/>
      <c r="W566" s="19"/>
    </row>
    <row r="567" spans="1:23" ht="14.25" customHeight="1" x14ac:dyDescent="0.3">
      <c r="A567" s="19"/>
      <c r="B567" s="19"/>
      <c r="C567" s="19"/>
      <c r="D567" s="19"/>
      <c r="E567" s="19"/>
      <c r="F567" s="19"/>
      <c r="G567" s="19"/>
      <c r="H567" s="19"/>
      <c r="I567" s="20"/>
      <c r="J567" s="244"/>
      <c r="K567" s="19"/>
      <c r="L567" s="19"/>
      <c r="M567" s="19"/>
      <c r="N567" s="19"/>
      <c r="O567" s="19"/>
      <c r="P567" s="19"/>
      <c r="Q567" s="19"/>
      <c r="R567" s="19"/>
      <c r="S567" s="19"/>
      <c r="T567" s="19"/>
      <c r="U567" s="19"/>
      <c r="V567" s="19"/>
      <c r="W567" s="19"/>
    </row>
    <row r="568" spans="1:23" ht="14.25" customHeight="1" x14ac:dyDescent="0.3">
      <c r="A568" s="19"/>
      <c r="B568" s="19"/>
      <c r="C568" s="19"/>
      <c r="D568" s="19"/>
      <c r="E568" s="19"/>
      <c r="F568" s="19"/>
      <c r="G568" s="19"/>
      <c r="H568" s="19"/>
      <c r="I568" s="20"/>
      <c r="J568" s="244"/>
      <c r="K568" s="19"/>
      <c r="L568" s="19"/>
      <c r="M568" s="19"/>
      <c r="N568" s="19"/>
      <c r="O568" s="19"/>
      <c r="P568" s="19"/>
      <c r="Q568" s="19"/>
      <c r="R568" s="19"/>
      <c r="S568" s="19"/>
      <c r="T568" s="19"/>
      <c r="U568" s="19"/>
      <c r="V568" s="19"/>
      <c r="W568" s="19"/>
    </row>
    <row r="569" spans="1:23" ht="14.25" customHeight="1" x14ac:dyDescent="0.3">
      <c r="A569" s="19"/>
      <c r="B569" s="19"/>
      <c r="C569" s="19"/>
      <c r="D569" s="19"/>
      <c r="E569" s="19"/>
      <c r="F569" s="19"/>
      <c r="G569" s="19"/>
      <c r="H569" s="19"/>
      <c r="I569" s="20"/>
      <c r="J569" s="244"/>
      <c r="K569" s="19"/>
      <c r="L569" s="19"/>
      <c r="M569" s="19"/>
      <c r="N569" s="19"/>
      <c r="O569" s="19"/>
      <c r="P569" s="19"/>
      <c r="Q569" s="19"/>
      <c r="R569" s="19"/>
      <c r="S569" s="19"/>
      <c r="T569" s="19"/>
      <c r="U569" s="19"/>
      <c r="V569" s="19"/>
      <c r="W569" s="19"/>
    </row>
    <row r="570" spans="1:23" ht="14.25" customHeight="1" x14ac:dyDescent="0.3">
      <c r="A570" s="19"/>
      <c r="B570" s="19"/>
      <c r="C570" s="19"/>
      <c r="D570" s="19"/>
      <c r="E570" s="19"/>
      <c r="F570" s="19"/>
      <c r="G570" s="19"/>
      <c r="H570" s="19"/>
      <c r="I570" s="20"/>
      <c r="J570" s="244"/>
      <c r="K570" s="19"/>
      <c r="L570" s="19"/>
      <c r="M570" s="19"/>
      <c r="N570" s="19"/>
      <c r="O570" s="19"/>
      <c r="P570" s="19"/>
      <c r="Q570" s="19"/>
      <c r="R570" s="19"/>
      <c r="S570" s="19"/>
      <c r="T570" s="19"/>
      <c r="U570" s="19"/>
      <c r="V570" s="19"/>
      <c r="W570" s="19"/>
    </row>
    <row r="571" spans="1:23" ht="14.25" customHeight="1" x14ac:dyDescent="0.3">
      <c r="A571" s="19"/>
      <c r="B571" s="19"/>
      <c r="C571" s="19"/>
      <c r="D571" s="19"/>
      <c r="E571" s="19"/>
      <c r="F571" s="19"/>
      <c r="G571" s="19"/>
      <c r="H571" s="19"/>
      <c r="I571" s="20"/>
      <c r="J571" s="244"/>
      <c r="K571" s="19"/>
      <c r="L571" s="19"/>
      <c r="M571" s="19"/>
      <c r="N571" s="19"/>
      <c r="O571" s="19"/>
      <c r="P571" s="19"/>
      <c r="Q571" s="19"/>
      <c r="R571" s="19"/>
      <c r="S571" s="19"/>
      <c r="T571" s="19"/>
      <c r="U571" s="19"/>
      <c r="V571" s="19"/>
      <c r="W571" s="19"/>
    </row>
    <row r="572" spans="1:23" ht="14.25" customHeight="1" x14ac:dyDescent="0.3">
      <c r="A572" s="19"/>
      <c r="B572" s="19"/>
      <c r="C572" s="19"/>
      <c r="D572" s="19"/>
      <c r="E572" s="19"/>
      <c r="F572" s="19"/>
      <c r="G572" s="19"/>
      <c r="H572" s="19"/>
      <c r="I572" s="20"/>
      <c r="J572" s="244"/>
      <c r="K572" s="19"/>
      <c r="L572" s="19"/>
      <c r="M572" s="19"/>
      <c r="N572" s="19"/>
      <c r="O572" s="19"/>
      <c r="P572" s="19"/>
      <c r="Q572" s="19"/>
      <c r="R572" s="19"/>
      <c r="S572" s="19"/>
      <c r="T572" s="19"/>
      <c r="U572" s="19"/>
      <c r="V572" s="19"/>
      <c r="W572" s="19"/>
    </row>
    <row r="573" spans="1:23" ht="14.25" customHeight="1" x14ac:dyDescent="0.3">
      <c r="A573" s="19"/>
      <c r="B573" s="19"/>
      <c r="C573" s="19"/>
      <c r="D573" s="19"/>
      <c r="E573" s="19"/>
      <c r="F573" s="19"/>
      <c r="G573" s="19"/>
      <c r="H573" s="19"/>
      <c r="I573" s="20"/>
      <c r="J573" s="244"/>
      <c r="K573" s="19"/>
      <c r="L573" s="19"/>
      <c r="M573" s="19"/>
      <c r="N573" s="19"/>
      <c r="O573" s="19"/>
      <c r="P573" s="19"/>
      <c r="Q573" s="19"/>
      <c r="R573" s="19"/>
      <c r="S573" s="19"/>
      <c r="T573" s="19"/>
      <c r="U573" s="19"/>
      <c r="V573" s="19"/>
      <c r="W573" s="19"/>
    </row>
    <row r="574" spans="1:23" ht="14.25" customHeight="1" x14ac:dyDescent="0.3">
      <c r="A574" s="19"/>
      <c r="B574" s="19"/>
      <c r="C574" s="19"/>
      <c r="D574" s="19"/>
      <c r="E574" s="19"/>
      <c r="F574" s="19"/>
      <c r="G574" s="19"/>
      <c r="H574" s="19"/>
      <c r="I574" s="20"/>
      <c r="J574" s="244"/>
      <c r="K574" s="19"/>
      <c r="L574" s="19"/>
      <c r="M574" s="19"/>
      <c r="N574" s="19"/>
      <c r="O574" s="19"/>
      <c r="P574" s="19"/>
      <c r="Q574" s="19"/>
      <c r="R574" s="19"/>
      <c r="S574" s="19"/>
      <c r="T574" s="19"/>
      <c r="U574" s="19"/>
      <c r="V574" s="19"/>
      <c r="W574" s="19"/>
    </row>
    <row r="575" spans="1:23" ht="14.25" customHeight="1" x14ac:dyDescent="0.3">
      <c r="A575" s="19"/>
      <c r="B575" s="19"/>
      <c r="C575" s="19"/>
      <c r="D575" s="19"/>
      <c r="E575" s="19"/>
      <c r="F575" s="19"/>
      <c r="G575" s="19"/>
      <c r="H575" s="19"/>
      <c r="I575" s="20"/>
      <c r="J575" s="244"/>
      <c r="K575" s="19"/>
      <c r="L575" s="19"/>
      <c r="M575" s="19"/>
      <c r="N575" s="19"/>
      <c r="O575" s="19"/>
      <c r="P575" s="19"/>
      <c r="Q575" s="19"/>
      <c r="R575" s="19"/>
      <c r="S575" s="19"/>
      <c r="T575" s="19"/>
      <c r="U575" s="19"/>
      <c r="V575" s="19"/>
      <c r="W575" s="19"/>
    </row>
    <row r="576" spans="1:23" ht="14.25" customHeight="1" x14ac:dyDescent="0.3">
      <c r="A576" s="19"/>
      <c r="B576" s="19"/>
      <c r="C576" s="19"/>
      <c r="D576" s="19"/>
      <c r="E576" s="19"/>
      <c r="F576" s="19"/>
      <c r="G576" s="19"/>
      <c r="H576" s="19"/>
      <c r="I576" s="20"/>
      <c r="J576" s="244"/>
      <c r="K576" s="19"/>
      <c r="L576" s="19"/>
      <c r="M576" s="19"/>
      <c r="N576" s="19"/>
      <c r="O576" s="19"/>
      <c r="P576" s="19"/>
      <c r="Q576" s="19"/>
      <c r="R576" s="19"/>
      <c r="S576" s="19"/>
      <c r="T576" s="19"/>
      <c r="U576" s="19"/>
      <c r="V576" s="19"/>
      <c r="W576" s="19"/>
    </row>
    <row r="577" spans="1:23" ht="14.25" customHeight="1" x14ac:dyDescent="0.3">
      <c r="A577" s="19"/>
      <c r="B577" s="19"/>
      <c r="C577" s="19"/>
      <c r="D577" s="19"/>
      <c r="E577" s="19"/>
      <c r="F577" s="19"/>
      <c r="G577" s="19"/>
      <c r="H577" s="19"/>
      <c r="I577" s="20"/>
      <c r="J577" s="244"/>
      <c r="K577" s="19"/>
      <c r="L577" s="19"/>
      <c r="M577" s="19"/>
      <c r="N577" s="19"/>
      <c r="O577" s="19"/>
      <c r="P577" s="19"/>
      <c r="Q577" s="19"/>
      <c r="R577" s="19"/>
      <c r="S577" s="19"/>
      <c r="T577" s="19"/>
      <c r="U577" s="19"/>
      <c r="V577" s="19"/>
      <c r="W577" s="19"/>
    </row>
    <row r="578" spans="1:23" ht="14.25" customHeight="1" x14ac:dyDescent="0.3">
      <c r="A578" s="19"/>
      <c r="B578" s="19"/>
      <c r="C578" s="19"/>
      <c r="D578" s="19"/>
      <c r="E578" s="19"/>
      <c r="F578" s="19"/>
      <c r="G578" s="19"/>
      <c r="H578" s="19"/>
      <c r="I578" s="20"/>
      <c r="J578" s="244"/>
      <c r="K578" s="19"/>
      <c r="L578" s="19"/>
      <c r="M578" s="19"/>
      <c r="N578" s="19"/>
      <c r="O578" s="19"/>
      <c r="P578" s="19"/>
      <c r="Q578" s="19"/>
      <c r="R578" s="19"/>
      <c r="S578" s="19"/>
      <c r="T578" s="19"/>
      <c r="U578" s="19"/>
      <c r="V578" s="19"/>
      <c r="W578" s="19"/>
    </row>
    <row r="579" spans="1:23" ht="14.25" customHeight="1" x14ac:dyDescent="0.3">
      <c r="A579" s="19"/>
      <c r="B579" s="19"/>
      <c r="C579" s="19"/>
      <c r="D579" s="19"/>
      <c r="E579" s="19"/>
      <c r="F579" s="19"/>
      <c r="G579" s="19"/>
      <c r="H579" s="19"/>
      <c r="I579" s="20"/>
      <c r="J579" s="244"/>
      <c r="K579" s="19"/>
      <c r="L579" s="19"/>
      <c r="M579" s="19"/>
      <c r="N579" s="19"/>
      <c r="O579" s="19"/>
      <c r="P579" s="19"/>
      <c r="Q579" s="19"/>
      <c r="R579" s="19"/>
      <c r="S579" s="19"/>
      <c r="T579" s="19"/>
      <c r="U579" s="19"/>
      <c r="V579" s="19"/>
      <c r="W579" s="19"/>
    </row>
    <row r="580" spans="1:23" ht="14.25" customHeight="1" x14ac:dyDescent="0.3">
      <c r="A580" s="19"/>
      <c r="B580" s="19"/>
      <c r="C580" s="19"/>
      <c r="D580" s="19"/>
      <c r="E580" s="19"/>
      <c r="F580" s="19"/>
      <c r="G580" s="19"/>
      <c r="H580" s="19"/>
      <c r="I580" s="20"/>
      <c r="J580" s="244"/>
      <c r="K580" s="19"/>
      <c r="L580" s="19"/>
      <c r="M580" s="19"/>
      <c r="N580" s="19"/>
      <c r="O580" s="19"/>
      <c r="P580" s="19"/>
      <c r="Q580" s="19"/>
      <c r="R580" s="19"/>
      <c r="S580" s="19"/>
      <c r="T580" s="19"/>
      <c r="U580" s="19"/>
      <c r="V580" s="19"/>
      <c r="W580" s="19"/>
    </row>
    <row r="581" spans="1:23" ht="14.25" customHeight="1" x14ac:dyDescent="0.3">
      <c r="A581" s="19"/>
      <c r="B581" s="19"/>
      <c r="C581" s="19"/>
      <c r="D581" s="19"/>
      <c r="E581" s="19"/>
      <c r="F581" s="19"/>
      <c r="G581" s="19"/>
      <c r="H581" s="19"/>
      <c r="I581" s="20"/>
      <c r="J581" s="244"/>
      <c r="K581" s="19"/>
      <c r="L581" s="19"/>
      <c r="M581" s="19"/>
      <c r="N581" s="19"/>
      <c r="O581" s="19"/>
      <c r="P581" s="19"/>
      <c r="Q581" s="19"/>
      <c r="R581" s="19"/>
      <c r="S581" s="19"/>
      <c r="T581" s="19"/>
      <c r="U581" s="19"/>
      <c r="V581" s="19"/>
      <c r="W581" s="19"/>
    </row>
    <row r="582" spans="1:23" ht="14.25" customHeight="1" x14ac:dyDescent="0.3">
      <c r="A582" s="19"/>
      <c r="B582" s="19"/>
      <c r="C582" s="19"/>
      <c r="D582" s="19"/>
      <c r="E582" s="19"/>
      <c r="F582" s="19"/>
      <c r="G582" s="19"/>
      <c r="H582" s="19"/>
      <c r="I582" s="20"/>
      <c r="J582" s="244"/>
      <c r="K582" s="19"/>
      <c r="L582" s="19"/>
      <c r="M582" s="19"/>
      <c r="N582" s="19"/>
      <c r="O582" s="19"/>
      <c r="P582" s="19"/>
      <c r="Q582" s="19"/>
      <c r="R582" s="19"/>
      <c r="S582" s="19"/>
      <c r="T582" s="19"/>
      <c r="U582" s="19"/>
      <c r="V582" s="19"/>
      <c r="W582" s="19"/>
    </row>
    <row r="583" spans="1:23" ht="14.25" customHeight="1" x14ac:dyDescent="0.3">
      <c r="A583" s="19"/>
      <c r="B583" s="19"/>
      <c r="C583" s="19"/>
      <c r="D583" s="19"/>
      <c r="E583" s="19"/>
      <c r="F583" s="19"/>
      <c r="G583" s="19"/>
      <c r="H583" s="19"/>
      <c r="I583" s="20"/>
      <c r="J583" s="244"/>
      <c r="K583" s="19"/>
      <c r="L583" s="19"/>
      <c r="M583" s="19"/>
      <c r="N583" s="19"/>
      <c r="O583" s="19"/>
      <c r="P583" s="19"/>
      <c r="Q583" s="19"/>
      <c r="R583" s="19"/>
      <c r="S583" s="19"/>
      <c r="T583" s="19"/>
      <c r="U583" s="19"/>
      <c r="V583" s="19"/>
      <c r="W583" s="19"/>
    </row>
    <row r="584" spans="1:23" ht="14.25" customHeight="1" x14ac:dyDescent="0.3">
      <c r="A584" s="19"/>
      <c r="B584" s="19"/>
      <c r="C584" s="19"/>
      <c r="D584" s="19"/>
      <c r="E584" s="19"/>
      <c r="F584" s="19"/>
      <c r="G584" s="19"/>
      <c r="H584" s="19"/>
      <c r="I584" s="20"/>
      <c r="J584" s="244"/>
      <c r="K584" s="19"/>
      <c r="L584" s="19"/>
      <c r="M584" s="19"/>
      <c r="N584" s="19"/>
      <c r="O584" s="19"/>
      <c r="P584" s="19"/>
      <c r="Q584" s="19"/>
      <c r="R584" s="19"/>
      <c r="S584" s="19"/>
      <c r="T584" s="19"/>
      <c r="U584" s="19"/>
      <c r="V584" s="19"/>
      <c r="W584" s="19"/>
    </row>
    <row r="585" spans="1:23" ht="14.25" customHeight="1" x14ac:dyDescent="0.3">
      <c r="A585" s="19"/>
      <c r="B585" s="19"/>
      <c r="C585" s="19"/>
      <c r="D585" s="19"/>
      <c r="E585" s="19"/>
      <c r="F585" s="19"/>
      <c r="G585" s="19"/>
      <c r="H585" s="19"/>
      <c r="I585" s="20"/>
      <c r="J585" s="244"/>
      <c r="K585" s="19"/>
      <c r="L585" s="19"/>
      <c r="M585" s="19"/>
      <c r="N585" s="19"/>
      <c r="O585" s="19"/>
      <c r="P585" s="19"/>
      <c r="Q585" s="19"/>
      <c r="R585" s="19"/>
      <c r="S585" s="19"/>
      <c r="T585" s="19"/>
      <c r="U585" s="19"/>
      <c r="V585" s="19"/>
      <c r="W585" s="19"/>
    </row>
    <row r="586" spans="1:23" ht="14.25" customHeight="1" x14ac:dyDescent="0.3">
      <c r="A586" s="19"/>
      <c r="B586" s="19"/>
      <c r="C586" s="19"/>
      <c r="D586" s="19"/>
      <c r="E586" s="19"/>
      <c r="F586" s="19"/>
      <c r="G586" s="19"/>
      <c r="H586" s="19"/>
      <c r="I586" s="20"/>
      <c r="J586" s="244"/>
      <c r="K586" s="19"/>
      <c r="L586" s="19"/>
      <c r="M586" s="19"/>
      <c r="N586" s="19"/>
      <c r="O586" s="19"/>
      <c r="P586" s="19"/>
      <c r="Q586" s="19"/>
      <c r="R586" s="19"/>
      <c r="S586" s="19"/>
      <c r="T586" s="19"/>
      <c r="U586" s="19"/>
      <c r="V586" s="19"/>
      <c r="W586" s="19"/>
    </row>
    <row r="587" spans="1:23" ht="14.25" customHeight="1" x14ac:dyDescent="0.3">
      <c r="A587" s="19"/>
      <c r="B587" s="19"/>
      <c r="C587" s="19"/>
      <c r="D587" s="19"/>
      <c r="E587" s="19"/>
      <c r="F587" s="19"/>
      <c r="G587" s="19"/>
      <c r="H587" s="19"/>
      <c r="I587" s="20"/>
      <c r="J587" s="244"/>
      <c r="K587" s="19"/>
      <c r="L587" s="19"/>
      <c r="M587" s="19"/>
      <c r="N587" s="19"/>
      <c r="O587" s="19"/>
      <c r="P587" s="19"/>
      <c r="Q587" s="19"/>
      <c r="R587" s="19"/>
      <c r="S587" s="19"/>
      <c r="T587" s="19"/>
      <c r="U587" s="19"/>
      <c r="V587" s="19"/>
      <c r="W587" s="19"/>
    </row>
    <row r="588" spans="1:23" ht="14.25" customHeight="1" x14ac:dyDescent="0.3">
      <c r="A588" s="19"/>
      <c r="B588" s="19"/>
      <c r="C588" s="19"/>
      <c r="D588" s="19"/>
      <c r="E588" s="19"/>
      <c r="F588" s="19"/>
      <c r="G588" s="19"/>
      <c r="H588" s="19"/>
      <c r="I588" s="20"/>
      <c r="J588" s="244"/>
      <c r="K588" s="19"/>
      <c r="L588" s="19"/>
      <c r="M588" s="19"/>
      <c r="N588" s="19"/>
      <c r="O588" s="19"/>
      <c r="P588" s="19"/>
      <c r="Q588" s="19"/>
      <c r="R588" s="19"/>
      <c r="S588" s="19"/>
      <c r="T588" s="19"/>
      <c r="U588" s="19"/>
      <c r="V588" s="19"/>
      <c r="W588" s="19"/>
    </row>
    <row r="589" spans="1:23" ht="14.25" customHeight="1" x14ac:dyDescent="0.3">
      <c r="A589" s="19"/>
      <c r="B589" s="19"/>
      <c r="C589" s="19"/>
      <c r="D589" s="19"/>
      <c r="E589" s="19"/>
      <c r="F589" s="19"/>
      <c r="G589" s="19"/>
      <c r="H589" s="19"/>
      <c r="I589" s="20"/>
      <c r="J589" s="244"/>
      <c r="K589" s="19"/>
      <c r="L589" s="19"/>
      <c r="M589" s="19"/>
      <c r="N589" s="19"/>
      <c r="O589" s="19"/>
      <c r="P589" s="19"/>
      <c r="Q589" s="19"/>
      <c r="R589" s="19"/>
      <c r="S589" s="19"/>
      <c r="T589" s="19"/>
      <c r="U589" s="19"/>
      <c r="V589" s="19"/>
      <c r="W589" s="19"/>
    </row>
    <row r="590" spans="1:23" ht="14.25" customHeight="1" x14ac:dyDescent="0.3">
      <c r="A590" s="19"/>
      <c r="B590" s="19"/>
      <c r="C590" s="19"/>
      <c r="D590" s="19"/>
      <c r="E590" s="19"/>
      <c r="F590" s="19"/>
      <c r="G590" s="19"/>
      <c r="H590" s="19"/>
      <c r="I590" s="20"/>
      <c r="J590" s="244"/>
      <c r="K590" s="19"/>
      <c r="L590" s="19"/>
      <c r="M590" s="19"/>
      <c r="N590" s="19"/>
      <c r="O590" s="19"/>
      <c r="P590" s="19"/>
      <c r="Q590" s="19"/>
      <c r="R590" s="19"/>
      <c r="S590" s="19"/>
      <c r="T590" s="19"/>
      <c r="U590" s="19"/>
      <c r="V590" s="19"/>
      <c r="W590" s="19"/>
    </row>
    <row r="591" spans="1:23" ht="14.25" customHeight="1" x14ac:dyDescent="0.3">
      <c r="A591" s="19"/>
      <c r="B591" s="19"/>
      <c r="C591" s="19"/>
      <c r="D591" s="19"/>
      <c r="E591" s="19"/>
      <c r="F591" s="19"/>
      <c r="G591" s="19"/>
      <c r="H591" s="19"/>
      <c r="I591" s="20"/>
      <c r="J591" s="244"/>
      <c r="K591" s="19"/>
      <c r="L591" s="19"/>
      <c r="M591" s="19"/>
      <c r="N591" s="19"/>
      <c r="O591" s="19"/>
      <c r="P591" s="19"/>
      <c r="Q591" s="19"/>
      <c r="R591" s="19"/>
      <c r="S591" s="19"/>
      <c r="T591" s="19"/>
      <c r="U591" s="19"/>
      <c r="V591" s="19"/>
      <c r="W591" s="19"/>
    </row>
    <row r="592" spans="1:23" ht="14.25" customHeight="1" x14ac:dyDescent="0.3">
      <c r="A592" s="19"/>
      <c r="B592" s="19"/>
      <c r="C592" s="19"/>
      <c r="D592" s="19"/>
      <c r="E592" s="19"/>
      <c r="F592" s="19"/>
      <c r="G592" s="19"/>
      <c r="H592" s="19"/>
      <c r="I592" s="20"/>
      <c r="J592" s="244"/>
      <c r="K592" s="19"/>
      <c r="L592" s="19"/>
      <c r="M592" s="19"/>
      <c r="N592" s="19"/>
      <c r="O592" s="19"/>
      <c r="P592" s="19"/>
      <c r="Q592" s="19"/>
      <c r="R592" s="19"/>
      <c r="S592" s="19"/>
      <c r="T592" s="19"/>
      <c r="U592" s="19"/>
      <c r="V592" s="19"/>
      <c r="W592" s="19"/>
    </row>
    <row r="593" spans="1:23" ht="14.25" customHeight="1" x14ac:dyDescent="0.3">
      <c r="A593" s="19"/>
      <c r="B593" s="19"/>
      <c r="C593" s="19"/>
      <c r="D593" s="19"/>
      <c r="E593" s="19"/>
      <c r="F593" s="19"/>
      <c r="G593" s="19"/>
      <c r="H593" s="19"/>
      <c r="I593" s="20"/>
      <c r="J593" s="244"/>
      <c r="K593" s="19"/>
      <c r="L593" s="19"/>
      <c r="M593" s="19"/>
      <c r="N593" s="19"/>
      <c r="O593" s="19"/>
      <c r="P593" s="19"/>
      <c r="Q593" s="19"/>
      <c r="R593" s="19"/>
      <c r="S593" s="19"/>
      <c r="T593" s="19"/>
      <c r="U593" s="19"/>
      <c r="V593" s="19"/>
      <c r="W593" s="19"/>
    </row>
    <row r="594" spans="1:23" ht="14.25" customHeight="1" x14ac:dyDescent="0.3">
      <c r="A594" s="19"/>
      <c r="B594" s="19"/>
      <c r="C594" s="19"/>
      <c r="D594" s="19"/>
      <c r="E594" s="19"/>
      <c r="F594" s="19"/>
      <c r="G594" s="19"/>
      <c r="H594" s="19"/>
      <c r="I594" s="20"/>
      <c r="J594" s="244"/>
      <c r="K594" s="19"/>
      <c r="L594" s="19"/>
      <c r="M594" s="19"/>
      <c r="N594" s="19"/>
      <c r="O594" s="19"/>
      <c r="P594" s="19"/>
      <c r="Q594" s="19"/>
      <c r="R594" s="19"/>
      <c r="S594" s="19"/>
      <c r="T594" s="19"/>
      <c r="U594" s="19"/>
      <c r="V594" s="19"/>
      <c r="W594" s="19"/>
    </row>
    <row r="595" spans="1:23" ht="14.25" customHeight="1" x14ac:dyDescent="0.3">
      <c r="A595" s="19"/>
      <c r="B595" s="19"/>
      <c r="C595" s="19"/>
      <c r="D595" s="19"/>
      <c r="E595" s="19"/>
      <c r="F595" s="19"/>
      <c r="G595" s="19"/>
      <c r="H595" s="19"/>
      <c r="I595" s="20"/>
      <c r="J595" s="244"/>
      <c r="K595" s="19"/>
      <c r="L595" s="19"/>
      <c r="M595" s="19"/>
      <c r="N595" s="19"/>
      <c r="O595" s="19"/>
      <c r="P595" s="19"/>
      <c r="Q595" s="19"/>
      <c r="R595" s="19"/>
      <c r="S595" s="19"/>
      <c r="T595" s="19"/>
      <c r="U595" s="19"/>
      <c r="V595" s="19"/>
      <c r="W595" s="19"/>
    </row>
    <row r="596" spans="1:23" ht="14.25" customHeight="1" x14ac:dyDescent="0.3">
      <c r="A596" s="19"/>
      <c r="B596" s="19"/>
      <c r="C596" s="19"/>
      <c r="D596" s="19"/>
      <c r="E596" s="19"/>
      <c r="F596" s="19"/>
      <c r="G596" s="19"/>
      <c r="H596" s="19"/>
      <c r="I596" s="20"/>
      <c r="J596" s="244"/>
      <c r="K596" s="19"/>
      <c r="L596" s="19"/>
      <c r="M596" s="19"/>
      <c r="N596" s="19"/>
      <c r="O596" s="19"/>
      <c r="P596" s="19"/>
      <c r="Q596" s="19"/>
      <c r="R596" s="19"/>
      <c r="S596" s="19"/>
      <c r="T596" s="19"/>
      <c r="U596" s="19"/>
      <c r="V596" s="19"/>
      <c r="W596" s="19"/>
    </row>
    <row r="597" spans="1:23" ht="14.25" customHeight="1" x14ac:dyDescent="0.3">
      <c r="A597" s="19"/>
      <c r="B597" s="19"/>
      <c r="C597" s="19"/>
      <c r="D597" s="19"/>
      <c r="E597" s="19"/>
      <c r="F597" s="19"/>
      <c r="G597" s="19"/>
      <c r="H597" s="19"/>
      <c r="I597" s="20"/>
      <c r="J597" s="244"/>
      <c r="K597" s="19"/>
      <c r="L597" s="19"/>
      <c r="M597" s="19"/>
      <c r="N597" s="19"/>
      <c r="O597" s="19"/>
      <c r="P597" s="19"/>
      <c r="Q597" s="19"/>
      <c r="R597" s="19"/>
      <c r="S597" s="19"/>
      <c r="T597" s="19"/>
      <c r="U597" s="19"/>
      <c r="V597" s="19"/>
      <c r="W597" s="19"/>
    </row>
    <row r="598" spans="1:23" ht="14.25" customHeight="1" x14ac:dyDescent="0.3">
      <c r="A598" s="19"/>
      <c r="B598" s="19"/>
      <c r="C598" s="19"/>
      <c r="D598" s="19"/>
      <c r="E598" s="19"/>
      <c r="F598" s="19"/>
      <c r="G598" s="19"/>
      <c r="H598" s="19"/>
      <c r="I598" s="20"/>
      <c r="J598" s="244"/>
      <c r="K598" s="19"/>
      <c r="L598" s="19"/>
      <c r="M598" s="19"/>
      <c r="N598" s="19"/>
      <c r="O598" s="19"/>
      <c r="P598" s="19"/>
      <c r="Q598" s="19"/>
      <c r="R598" s="19"/>
      <c r="S598" s="19"/>
      <c r="T598" s="19"/>
      <c r="U598" s="19"/>
      <c r="V598" s="19"/>
      <c r="W598" s="19"/>
    </row>
    <row r="599" spans="1:23" ht="14.25" customHeight="1" x14ac:dyDescent="0.3">
      <c r="A599" s="19"/>
      <c r="B599" s="19"/>
      <c r="C599" s="19"/>
      <c r="D599" s="19"/>
      <c r="E599" s="19"/>
      <c r="F599" s="19"/>
      <c r="G599" s="19"/>
      <c r="H599" s="19"/>
      <c r="I599" s="20"/>
      <c r="J599" s="244"/>
      <c r="K599" s="19"/>
      <c r="L599" s="19"/>
      <c r="M599" s="19"/>
      <c r="N599" s="19"/>
      <c r="O599" s="19"/>
      <c r="P599" s="19"/>
      <c r="Q599" s="19"/>
      <c r="R599" s="19"/>
      <c r="S599" s="19"/>
      <c r="T599" s="19"/>
      <c r="U599" s="19"/>
      <c r="V599" s="19"/>
      <c r="W599" s="19"/>
    </row>
    <row r="600" spans="1:23" ht="14.25" customHeight="1" x14ac:dyDescent="0.3">
      <c r="A600" s="19"/>
      <c r="B600" s="19"/>
      <c r="C600" s="19"/>
      <c r="D600" s="19"/>
      <c r="E600" s="19"/>
      <c r="F600" s="19"/>
      <c r="G600" s="19"/>
      <c r="H600" s="19"/>
      <c r="I600" s="20"/>
      <c r="J600" s="244"/>
      <c r="K600" s="19"/>
      <c r="L600" s="19"/>
      <c r="M600" s="19"/>
      <c r="N600" s="19"/>
      <c r="O600" s="19"/>
      <c r="P600" s="19"/>
      <c r="Q600" s="19"/>
      <c r="R600" s="19"/>
      <c r="S600" s="19"/>
      <c r="T600" s="19"/>
      <c r="U600" s="19"/>
      <c r="V600" s="19"/>
      <c r="W600" s="19"/>
    </row>
    <row r="601" spans="1:23" ht="14.25" customHeight="1" x14ac:dyDescent="0.3">
      <c r="A601" s="19"/>
      <c r="B601" s="19"/>
      <c r="C601" s="19"/>
      <c r="D601" s="19"/>
      <c r="E601" s="19"/>
      <c r="F601" s="19"/>
      <c r="G601" s="19"/>
      <c r="H601" s="19"/>
      <c r="I601" s="20"/>
      <c r="J601" s="244"/>
      <c r="K601" s="19"/>
      <c r="L601" s="19"/>
      <c r="M601" s="19"/>
      <c r="N601" s="19"/>
      <c r="O601" s="19"/>
      <c r="P601" s="19"/>
      <c r="Q601" s="19"/>
      <c r="R601" s="19"/>
      <c r="S601" s="19"/>
      <c r="T601" s="19"/>
      <c r="U601" s="19"/>
      <c r="V601" s="19"/>
      <c r="W601" s="19"/>
    </row>
    <row r="602" spans="1:23" ht="14.25" customHeight="1" x14ac:dyDescent="0.3">
      <c r="A602" s="19"/>
      <c r="B602" s="19"/>
      <c r="C602" s="19"/>
      <c r="D602" s="19"/>
      <c r="E602" s="19"/>
      <c r="F602" s="19"/>
      <c r="G602" s="19"/>
      <c r="H602" s="19"/>
      <c r="I602" s="20"/>
      <c r="J602" s="244"/>
      <c r="K602" s="19"/>
      <c r="L602" s="19"/>
      <c r="M602" s="19"/>
      <c r="N602" s="19"/>
      <c r="O602" s="19"/>
      <c r="P602" s="19"/>
      <c r="Q602" s="19"/>
      <c r="R602" s="19"/>
      <c r="S602" s="19"/>
      <c r="T602" s="19"/>
      <c r="U602" s="19"/>
      <c r="V602" s="19"/>
      <c r="W602" s="19"/>
    </row>
    <row r="603" spans="1:23" ht="14.25" customHeight="1" x14ac:dyDescent="0.3">
      <c r="A603" s="19"/>
      <c r="B603" s="19"/>
      <c r="C603" s="19"/>
      <c r="D603" s="19"/>
      <c r="E603" s="19"/>
      <c r="F603" s="19"/>
      <c r="G603" s="19"/>
      <c r="H603" s="19"/>
      <c r="I603" s="20"/>
      <c r="J603" s="244"/>
      <c r="K603" s="19"/>
      <c r="L603" s="19"/>
      <c r="M603" s="19"/>
      <c r="N603" s="19"/>
      <c r="O603" s="19"/>
      <c r="P603" s="19"/>
      <c r="Q603" s="19"/>
      <c r="R603" s="19"/>
      <c r="S603" s="19"/>
      <c r="T603" s="19"/>
      <c r="U603" s="19"/>
      <c r="V603" s="19"/>
      <c r="W603" s="19"/>
    </row>
    <row r="604" spans="1:23" ht="14.25" customHeight="1" x14ac:dyDescent="0.3">
      <c r="A604" s="19"/>
      <c r="B604" s="19"/>
      <c r="C604" s="19"/>
      <c r="D604" s="19"/>
      <c r="E604" s="19"/>
      <c r="F604" s="19"/>
      <c r="G604" s="19"/>
      <c r="H604" s="19"/>
      <c r="I604" s="20"/>
      <c r="J604" s="244"/>
      <c r="K604" s="19"/>
      <c r="L604" s="19"/>
      <c r="M604" s="19"/>
      <c r="N604" s="19"/>
      <c r="O604" s="19"/>
      <c r="P604" s="19"/>
      <c r="Q604" s="19"/>
      <c r="R604" s="19"/>
      <c r="S604" s="19"/>
      <c r="T604" s="19"/>
      <c r="U604" s="19"/>
      <c r="V604" s="19"/>
      <c r="W604" s="19"/>
    </row>
    <row r="605" spans="1:23" ht="14.25" customHeight="1" x14ac:dyDescent="0.3">
      <c r="A605" s="19"/>
      <c r="B605" s="19"/>
      <c r="C605" s="19"/>
      <c r="D605" s="19"/>
      <c r="E605" s="19"/>
      <c r="F605" s="19"/>
      <c r="G605" s="19"/>
      <c r="H605" s="19"/>
      <c r="I605" s="20"/>
      <c r="J605" s="244"/>
      <c r="K605" s="19"/>
      <c r="L605" s="19"/>
      <c r="M605" s="19"/>
      <c r="N605" s="19"/>
      <c r="O605" s="19"/>
      <c r="P605" s="19"/>
      <c r="Q605" s="19"/>
      <c r="R605" s="19"/>
      <c r="S605" s="19"/>
      <c r="T605" s="19"/>
      <c r="U605" s="19"/>
      <c r="V605" s="19"/>
      <c r="W605" s="19"/>
    </row>
    <row r="606" spans="1:23" ht="14.25" customHeight="1" x14ac:dyDescent="0.3">
      <c r="A606" s="19"/>
      <c r="B606" s="19"/>
      <c r="C606" s="19"/>
      <c r="D606" s="19"/>
      <c r="E606" s="19"/>
      <c r="F606" s="19"/>
      <c r="G606" s="19"/>
      <c r="H606" s="19"/>
      <c r="I606" s="20"/>
      <c r="J606" s="244"/>
      <c r="K606" s="19"/>
      <c r="L606" s="19"/>
      <c r="M606" s="19"/>
      <c r="N606" s="19"/>
      <c r="O606" s="19"/>
      <c r="P606" s="19"/>
      <c r="Q606" s="19"/>
      <c r="R606" s="19"/>
      <c r="S606" s="19"/>
      <c r="T606" s="19"/>
      <c r="U606" s="19"/>
      <c r="V606" s="19"/>
      <c r="W606" s="19"/>
    </row>
    <row r="607" spans="1:23" ht="14.25" customHeight="1" x14ac:dyDescent="0.3">
      <c r="A607" s="19"/>
      <c r="B607" s="19"/>
      <c r="C607" s="19"/>
      <c r="D607" s="19"/>
      <c r="E607" s="19"/>
      <c r="F607" s="19"/>
      <c r="G607" s="19"/>
      <c r="H607" s="19"/>
      <c r="I607" s="20"/>
      <c r="J607" s="244"/>
      <c r="K607" s="19"/>
      <c r="L607" s="19"/>
      <c r="M607" s="19"/>
      <c r="N607" s="19"/>
      <c r="O607" s="19"/>
      <c r="P607" s="19"/>
      <c r="Q607" s="19"/>
      <c r="R607" s="19"/>
      <c r="S607" s="19"/>
      <c r="T607" s="19"/>
      <c r="U607" s="19"/>
      <c r="V607" s="19"/>
      <c r="W607" s="19"/>
    </row>
    <row r="608" spans="1:23" ht="14.25" customHeight="1" x14ac:dyDescent="0.3">
      <c r="A608" s="19"/>
      <c r="B608" s="19"/>
      <c r="C608" s="19"/>
      <c r="D608" s="19"/>
      <c r="E608" s="19"/>
      <c r="F608" s="19"/>
      <c r="G608" s="19"/>
      <c r="H608" s="19"/>
      <c r="I608" s="20"/>
      <c r="J608" s="244"/>
      <c r="K608" s="19"/>
      <c r="L608" s="19"/>
      <c r="M608" s="19"/>
      <c r="N608" s="19"/>
      <c r="O608" s="19"/>
      <c r="P608" s="19"/>
      <c r="Q608" s="19"/>
      <c r="R608" s="19"/>
      <c r="S608" s="19"/>
      <c r="T608" s="19"/>
      <c r="U608" s="19"/>
      <c r="V608" s="19"/>
      <c r="W608" s="19"/>
    </row>
    <row r="609" spans="1:23" ht="14.25" customHeight="1" x14ac:dyDescent="0.3">
      <c r="A609" s="19"/>
      <c r="B609" s="19"/>
      <c r="C609" s="19"/>
      <c r="D609" s="19"/>
      <c r="E609" s="19"/>
      <c r="F609" s="19"/>
      <c r="G609" s="19"/>
      <c r="H609" s="19"/>
      <c r="I609" s="20"/>
      <c r="J609" s="244"/>
      <c r="K609" s="19"/>
      <c r="L609" s="19"/>
      <c r="M609" s="19"/>
      <c r="N609" s="19"/>
      <c r="O609" s="19"/>
      <c r="P609" s="19"/>
      <c r="Q609" s="19"/>
      <c r="R609" s="19"/>
      <c r="S609" s="19"/>
      <c r="T609" s="19"/>
      <c r="U609" s="19"/>
      <c r="V609" s="19"/>
      <c r="W609" s="19"/>
    </row>
    <row r="610" spans="1:23" ht="14.25" customHeight="1" x14ac:dyDescent="0.3">
      <c r="A610" s="19"/>
      <c r="B610" s="19"/>
      <c r="C610" s="19"/>
      <c r="D610" s="19"/>
      <c r="E610" s="19"/>
      <c r="F610" s="19"/>
      <c r="G610" s="19"/>
      <c r="H610" s="19"/>
      <c r="I610" s="20"/>
      <c r="J610" s="244"/>
      <c r="K610" s="19"/>
      <c r="L610" s="19"/>
      <c r="M610" s="19"/>
      <c r="N610" s="19"/>
      <c r="O610" s="19"/>
      <c r="P610" s="19"/>
      <c r="Q610" s="19"/>
      <c r="R610" s="19"/>
      <c r="S610" s="19"/>
      <c r="T610" s="19"/>
      <c r="U610" s="19"/>
      <c r="V610" s="19"/>
      <c r="W610" s="19"/>
    </row>
    <row r="611" spans="1:23" ht="14.25" customHeight="1" x14ac:dyDescent="0.3">
      <c r="A611" s="19"/>
      <c r="B611" s="19"/>
      <c r="C611" s="19"/>
      <c r="D611" s="19"/>
      <c r="E611" s="19"/>
      <c r="F611" s="19"/>
      <c r="G611" s="19"/>
      <c r="H611" s="19"/>
      <c r="I611" s="20"/>
      <c r="J611" s="244"/>
      <c r="K611" s="19"/>
      <c r="L611" s="19"/>
      <c r="M611" s="19"/>
      <c r="N611" s="19"/>
      <c r="O611" s="19"/>
      <c r="P611" s="19"/>
      <c r="Q611" s="19"/>
      <c r="R611" s="19"/>
      <c r="S611" s="19"/>
      <c r="T611" s="19"/>
      <c r="U611" s="19"/>
      <c r="V611" s="19"/>
      <c r="W611" s="19"/>
    </row>
    <row r="612" spans="1:23" ht="14.25" customHeight="1" x14ac:dyDescent="0.3">
      <c r="A612" s="19"/>
      <c r="B612" s="19"/>
      <c r="C612" s="19"/>
      <c r="D612" s="19"/>
      <c r="E612" s="19"/>
      <c r="F612" s="19"/>
      <c r="G612" s="19"/>
      <c r="H612" s="19"/>
      <c r="I612" s="20"/>
      <c r="J612" s="244"/>
      <c r="K612" s="19"/>
      <c r="L612" s="19"/>
      <c r="M612" s="19"/>
      <c r="N612" s="19"/>
      <c r="O612" s="19"/>
      <c r="P612" s="19"/>
      <c r="Q612" s="19"/>
      <c r="R612" s="19"/>
      <c r="S612" s="19"/>
      <c r="T612" s="19"/>
      <c r="U612" s="19"/>
      <c r="V612" s="19"/>
      <c r="W612" s="19"/>
    </row>
    <row r="613" spans="1:23" ht="14.25" customHeight="1" x14ac:dyDescent="0.3">
      <c r="A613" s="19"/>
      <c r="B613" s="19"/>
      <c r="C613" s="19"/>
      <c r="D613" s="19"/>
      <c r="E613" s="19"/>
      <c r="F613" s="19"/>
      <c r="G613" s="19"/>
      <c r="H613" s="19"/>
      <c r="I613" s="20"/>
      <c r="J613" s="244"/>
      <c r="K613" s="19"/>
      <c r="L613" s="19"/>
      <c r="M613" s="19"/>
      <c r="N613" s="19"/>
      <c r="O613" s="19"/>
      <c r="P613" s="19"/>
      <c r="Q613" s="19"/>
      <c r="R613" s="19"/>
      <c r="S613" s="19"/>
      <c r="T613" s="19"/>
      <c r="U613" s="19"/>
      <c r="V613" s="19"/>
      <c r="W613" s="19"/>
    </row>
    <row r="614" spans="1:23" ht="14.25" customHeight="1" x14ac:dyDescent="0.3">
      <c r="A614" s="19"/>
      <c r="B614" s="19"/>
      <c r="C614" s="19"/>
      <c r="D614" s="19"/>
      <c r="E614" s="19"/>
      <c r="F614" s="19"/>
      <c r="G614" s="19"/>
      <c r="H614" s="19"/>
      <c r="I614" s="20"/>
      <c r="J614" s="244"/>
      <c r="K614" s="19"/>
      <c r="L614" s="19"/>
      <c r="M614" s="19"/>
      <c r="N614" s="19"/>
      <c r="O614" s="19"/>
      <c r="P614" s="19"/>
      <c r="Q614" s="19"/>
      <c r="R614" s="19"/>
      <c r="S614" s="19"/>
      <c r="T614" s="19"/>
      <c r="U614" s="19"/>
      <c r="V614" s="19"/>
      <c r="W614" s="19"/>
    </row>
    <row r="615" spans="1:23" ht="14.25" customHeight="1" x14ac:dyDescent="0.3">
      <c r="A615" s="19"/>
      <c r="B615" s="19"/>
      <c r="C615" s="19"/>
      <c r="D615" s="19"/>
      <c r="E615" s="19"/>
      <c r="F615" s="19"/>
      <c r="G615" s="19"/>
      <c r="H615" s="19"/>
      <c r="I615" s="20"/>
      <c r="J615" s="244"/>
      <c r="K615" s="19"/>
      <c r="L615" s="19"/>
      <c r="M615" s="19"/>
      <c r="N615" s="19"/>
      <c r="O615" s="19"/>
      <c r="P615" s="19"/>
      <c r="Q615" s="19"/>
      <c r="R615" s="19"/>
      <c r="S615" s="19"/>
      <c r="T615" s="19"/>
      <c r="U615" s="19"/>
      <c r="V615" s="19"/>
      <c r="W615" s="19"/>
    </row>
    <row r="616" spans="1:23" ht="14.25" customHeight="1" x14ac:dyDescent="0.3">
      <c r="A616" s="19"/>
      <c r="B616" s="19"/>
      <c r="C616" s="19"/>
      <c r="D616" s="19"/>
      <c r="E616" s="19"/>
      <c r="F616" s="19"/>
      <c r="G616" s="19"/>
      <c r="H616" s="19"/>
      <c r="I616" s="20"/>
      <c r="J616" s="244"/>
      <c r="K616" s="19"/>
      <c r="L616" s="19"/>
      <c r="M616" s="19"/>
      <c r="N616" s="19"/>
      <c r="O616" s="19"/>
      <c r="P616" s="19"/>
      <c r="Q616" s="19"/>
      <c r="R616" s="19"/>
      <c r="S616" s="19"/>
      <c r="T616" s="19"/>
      <c r="U616" s="19"/>
      <c r="V616" s="19"/>
      <c r="W616" s="19"/>
    </row>
    <row r="617" spans="1:23" ht="14.25" customHeight="1" x14ac:dyDescent="0.3">
      <c r="A617" s="19"/>
      <c r="B617" s="19"/>
      <c r="C617" s="19"/>
      <c r="D617" s="19"/>
      <c r="E617" s="19"/>
      <c r="F617" s="19"/>
      <c r="G617" s="19"/>
      <c r="H617" s="19"/>
      <c r="I617" s="20"/>
      <c r="J617" s="244"/>
      <c r="K617" s="19"/>
      <c r="L617" s="19"/>
      <c r="M617" s="19"/>
      <c r="N617" s="19"/>
      <c r="O617" s="19"/>
      <c r="P617" s="19"/>
      <c r="Q617" s="19"/>
      <c r="R617" s="19"/>
      <c r="S617" s="19"/>
      <c r="T617" s="19"/>
      <c r="U617" s="19"/>
      <c r="V617" s="19"/>
      <c r="W617" s="19"/>
    </row>
    <row r="618" spans="1:23" ht="14.25" customHeight="1" x14ac:dyDescent="0.3">
      <c r="A618" s="19"/>
      <c r="B618" s="19"/>
      <c r="C618" s="19"/>
      <c r="D618" s="19"/>
      <c r="E618" s="19"/>
      <c r="F618" s="19"/>
      <c r="G618" s="19"/>
      <c r="H618" s="19"/>
      <c r="I618" s="20"/>
      <c r="J618" s="244"/>
      <c r="K618" s="19"/>
      <c r="L618" s="19"/>
      <c r="M618" s="19"/>
      <c r="N618" s="19"/>
      <c r="O618" s="19"/>
      <c r="P618" s="19"/>
      <c r="Q618" s="19"/>
      <c r="R618" s="19"/>
      <c r="S618" s="19"/>
      <c r="T618" s="19"/>
      <c r="U618" s="19"/>
      <c r="V618" s="19"/>
      <c r="W618" s="19"/>
    </row>
    <row r="619" spans="1:23" ht="14.25" customHeight="1" x14ac:dyDescent="0.3">
      <c r="A619" s="19"/>
      <c r="B619" s="19"/>
      <c r="C619" s="19"/>
      <c r="D619" s="19"/>
      <c r="E619" s="19"/>
      <c r="F619" s="19"/>
      <c r="G619" s="19"/>
      <c r="H619" s="19"/>
      <c r="I619" s="20"/>
      <c r="J619" s="244"/>
      <c r="K619" s="19"/>
      <c r="L619" s="19"/>
      <c r="M619" s="19"/>
      <c r="N619" s="19"/>
      <c r="O619" s="19"/>
      <c r="P619" s="19"/>
      <c r="Q619" s="19"/>
      <c r="R619" s="19"/>
      <c r="S619" s="19"/>
      <c r="T619" s="19"/>
      <c r="U619" s="19"/>
      <c r="V619" s="19"/>
      <c r="W619" s="19"/>
    </row>
    <row r="620" spans="1:23" ht="14.25" customHeight="1" x14ac:dyDescent="0.3">
      <c r="A620" s="19"/>
      <c r="B620" s="19"/>
      <c r="C620" s="19"/>
      <c r="D620" s="19"/>
      <c r="E620" s="19"/>
      <c r="F620" s="19"/>
      <c r="G620" s="19"/>
      <c r="H620" s="19"/>
      <c r="I620" s="20"/>
      <c r="J620" s="244"/>
      <c r="K620" s="19"/>
      <c r="L620" s="19"/>
      <c r="M620" s="19"/>
      <c r="N620" s="19"/>
      <c r="O620" s="19"/>
      <c r="P620" s="19"/>
      <c r="Q620" s="19"/>
      <c r="R620" s="19"/>
      <c r="S620" s="19"/>
      <c r="T620" s="19"/>
      <c r="U620" s="19"/>
      <c r="V620" s="19"/>
      <c r="W620" s="19"/>
    </row>
    <row r="621" spans="1:23" ht="14.25" customHeight="1" x14ac:dyDescent="0.3">
      <c r="A621" s="19"/>
      <c r="B621" s="19"/>
      <c r="C621" s="19"/>
      <c r="D621" s="19"/>
      <c r="E621" s="19"/>
      <c r="F621" s="19"/>
      <c r="G621" s="19"/>
      <c r="H621" s="19"/>
      <c r="I621" s="20"/>
      <c r="J621" s="244"/>
      <c r="K621" s="19"/>
      <c r="L621" s="19"/>
      <c r="M621" s="19"/>
      <c r="N621" s="19"/>
      <c r="O621" s="19"/>
      <c r="P621" s="19"/>
      <c r="Q621" s="19"/>
      <c r="R621" s="19"/>
      <c r="S621" s="19"/>
      <c r="T621" s="19"/>
      <c r="U621" s="19"/>
      <c r="V621" s="19"/>
      <c r="W621" s="19"/>
    </row>
    <row r="622" spans="1:23" ht="14.25" customHeight="1" x14ac:dyDescent="0.3">
      <c r="A622" s="19"/>
      <c r="B622" s="19"/>
      <c r="C622" s="19"/>
      <c r="D622" s="19"/>
      <c r="E622" s="19"/>
      <c r="F622" s="19"/>
      <c r="G622" s="19"/>
      <c r="H622" s="19"/>
      <c r="I622" s="20"/>
      <c r="J622" s="244"/>
      <c r="K622" s="19"/>
      <c r="L622" s="19"/>
      <c r="M622" s="19"/>
      <c r="N622" s="19"/>
      <c r="O622" s="19"/>
      <c r="P622" s="19"/>
      <c r="Q622" s="19"/>
      <c r="R622" s="19"/>
      <c r="S622" s="19"/>
      <c r="T622" s="19"/>
      <c r="U622" s="19"/>
      <c r="V622" s="19"/>
      <c r="W622" s="19"/>
    </row>
    <row r="623" spans="1:23" ht="14.25" customHeight="1" x14ac:dyDescent="0.3">
      <c r="A623" s="19"/>
      <c r="B623" s="19"/>
      <c r="C623" s="19"/>
      <c r="D623" s="19"/>
      <c r="E623" s="19"/>
      <c r="F623" s="19"/>
      <c r="G623" s="19"/>
      <c r="H623" s="19"/>
      <c r="I623" s="20"/>
      <c r="J623" s="244"/>
      <c r="K623" s="19"/>
      <c r="L623" s="19"/>
      <c r="M623" s="19"/>
      <c r="N623" s="19"/>
      <c r="O623" s="19"/>
      <c r="P623" s="19"/>
      <c r="Q623" s="19"/>
      <c r="R623" s="19"/>
      <c r="S623" s="19"/>
      <c r="T623" s="19"/>
      <c r="U623" s="19"/>
      <c r="V623" s="19"/>
      <c r="W623" s="19"/>
    </row>
    <row r="624" spans="1:23" ht="14.25" customHeight="1" x14ac:dyDescent="0.3">
      <c r="A624" s="19"/>
      <c r="B624" s="19"/>
      <c r="C624" s="19"/>
      <c r="D624" s="19"/>
      <c r="E624" s="19"/>
      <c r="F624" s="19"/>
      <c r="G624" s="19"/>
      <c r="H624" s="19"/>
      <c r="I624" s="20"/>
      <c r="J624" s="244"/>
      <c r="K624" s="19"/>
      <c r="L624" s="19"/>
      <c r="M624" s="19"/>
      <c r="N624" s="19"/>
      <c r="O624" s="19"/>
      <c r="P624" s="19"/>
      <c r="Q624" s="19"/>
      <c r="R624" s="19"/>
      <c r="S624" s="19"/>
      <c r="T624" s="19"/>
      <c r="U624" s="19"/>
      <c r="V624" s="19"/>
      <c r="W624" s="19"/>
    </row>
    <row r="625" spans="1:23" ht="14.25" customHeight="1" x14ac:dyDescent="0.3">
      <c r="A625" s="19"/>
      <c r="B625" s="19"/>
      <c r="C625" s="19"/>
      <c r="D625" s="19"/>
      <c r="E625" s="19"/>
      <c r="F625" s="19"/>
      <c r="G625" s="19"/>
      <c r="H625" s="19"/>
      <c r="I625" s="20"/>
      <c r="J625" s="244"/>
      <c r="K625" s="19"/>
      <c r="L625" s="19"/>
      <c r="M625" s="19"/>
      <c r="N625" s="19"/>
      <c r="O625" s="19"/>
      <c r="P625" s="19"/>
      <c r="Q625" s="19"/>
      <c r="R625" s="19"/>
      <c r="S625" s="19"/>
      <c r="T625" s="19"/>
      <c r="U625" s="19"/>
      <c r="V625" s="19"/>
      <c r="W625" s="19"/>
    </row>
    <row r="626" spans="1:23" ht="14.25" customHeight="1" x14ac:dyDescent="0.3">
      <c r="A626" s="19"/>
      <c r="B626" s="19"/>
      <c r="C626" s="19"/>
      <c r="D626" s="19"/>
      <c r="E626" s="19"/>
      <c r="F626" s="19"/>
      <c r="G626" s="19"/>
      <c r="H626" s="19"/>
      <c r="I626" s="20"/>
      <c r="J626" s="244"/>
      <c r="K626" s="19"/>
      <c r="L626" s="19"/>
      <c r="M626" s="19"/>
      <c r="N626" s="19"/>
      <c r="O626" s="19"/>
      <c r="P626" s="19"/>
      <c r="Q626" s="19"/>
      <c r="R626" s="19"/>
      <c r="S626" s="19"/>
      <c r="T626" s="19"/>
      <c r="U626" s="19"/>
      <c r="V626" s="19"/>
      <c r="W626" s="19"/>
    </row>
    <row r="627" spans="1:23" ht="14.25" customHeight="1" x14ac:dyDescent="0.3">
      <c r="A627" s="19"/>
      <c r="B627" s="19"/>
      <c r="C627" s="19"/>
      <c r="D627" s="19"/>
      <c r="E627" s="19"/>
      <c r="F627" s="19"/>
      <c r="G627" s="19"/>
      <c r="H627" s="19"/>
      <c r="I627" s="20"/>
      <c r="J627" s="244"/>
      <c r="K627" s="19"/>
      <c r="L627" s="19"/>
      <c r="M627" s="19"/>
      <c r="N627" s="19"/>
      <c r="O627" s="19"/>
      <c r="P627" s="19"/>
      <c r="Q627" s="19"/>
      <c r="R627" s="19"/>
      <c r="S627" s="19"/>
      <c r="T627" s="19"/>
      <c r="U627" s="19"/>
      <c r="V627" s="19"/>
      <c r="W627" s="19"/>
    </row>
    <row r="628" spans="1:23" ht="14.25" customHeight="1" x14ac:dyDescent="0.3">
      <c r="A628" s="19"/>
      <c r="B628" s="19"/>
      <c r="C628" s="19"/>
      <c r="D628" s="19"/>
      <c r="E628" s="19"/>
      <c r="F628" s="19"/>
      <c r="G628" s="19"/>
      <c r="H628" s="19"/>
      <c r="I628" s="20"/>
      <c r="J628" s="244"/>
      <c r="K628" s="19"/>
      <c r="L628" s="19"/>
      <c r="M628" s="19"/>
      <c r="N628" s="19"/>
      <c r="O628" s="19"/>
      <c r="P628" s="19"/>
      <c r="Q628" s="19"/>
      <c r="R628" s="19"/>
      <c r="S628" s="19"/>
      <c r="T628" s="19"/>
      <c r="U628" s="19"/>
      <c r="V628" s="19"/>
      <c r="W628" s="19"/>
    </row>
    <row r="629" spans="1:23" ht="14.25" customHeight="1" x14ac:dyDescent="0.3">
      <c r="A629" s="19"/>
      <c r="B629" s="19"/>
      <c r="C629" s="19"/>
      <c r="D629" s="19"/>
      <c r="E629" s="19"/>
      <c r="F629" s="19"/>
      <c r="G629" s="19"/>
      <c r="H629" s="19"/>
      <c r="I629" s="20"/>
      <c r="J629" s="244"/>
      <c r="K629" s="19"/>
      <c r="L629" s="19"/>
      <c r="M629" s="19"/>
      <c r="N629" s="19"/>
      <c r="O629" s="19"/>
      <c r="P629" s="19"/>
      <c r="Q629" s="19"/>
      <c r="R629" s="19"/>
      <c r="S629" s="19"/>
      <c r="T629" s="19"/>
      <c r="U629" s="19"/>
      <c r="V629" s="19"/>
      <c r="W629" s="19"/>
    </row>
    <row r="630" spans="1:23" ht="14.25" customHeight="1" x14ac:dyDescent="0.3">
      <c r="A630" s="19"/>
      <c r="B630" s="19"/>
      <c r="C630" s="19"/>
      <c r="D630" s="19"/>
      <c r="E630" s="19"/>
      <c r="F630" s="19"/>
      <c r="G630" s="19"/>
      <c r="H630" s="19"/>
      <c r="I630" s="20"/>
      <c r="J630" s="244"/>
      <c r="K630" s="19"/>
      <c r="L630" s="19"/>
      <c r="M630" s="19"/>
      <c r="N630" s="19"/>
      <c r="O630" s="19"/>
      <c r="P630" s="19"/>
      <c r="Q630" s="19"/>
      <c r="R630" s="19"/>
      <c r="S630" s="19"/>
      <c r="T630" s="19"/>
      <c r="U630" s="19"/>
      <c r="V630" s="19"/>
      <c r="W630" s="19"/>
    </row>
    <row r="631" spans="1:23" ht="14.25" customHeight="1" x14ac:dyDescent="0.3">
      <c r="A631" s="19"/>
      <c r="B631" s="19"/>
      <c r="C631" s="19"/>
      <c r="D631" s="19"/>
      <c r="E631" s="19"/>
      <c r="F631" s="19"/>
      <c r="G631" s="19"/>
      <c r="H631" s="19"/>
      <c r="I631" s="20"/>
      <c r="J631" s="244"/>
      <c r="K631" s="19"/>
      <c r="L631" s="19"/>
      <c r="M631" s="19"/>
      <c r="N631" s="19"/>
      <c r="O631" s="19"/>
      <c r="P631" s="19"/>
      <c r="Q631" s="19"/>
      <c r="R631" s="19"/>
      <c r="S631" s="19"/>
      <c r="T631" s="19"/>
      <c r="U631" s="19"/>
      <c r="V631" s="19"/>
      <c r="W631" s="19"/>
    </row>
    <row r="632" spans="1:23" ht="14.25" customHeight="1" x14ac:dyDescent="0.3">
      <c r="A632" s="19"/>
      <c r="B632" s="19"/>
      <c r="C632" s="19"/>
      <c r="D632" s="19"/>
      <c r="E632" s="19"/>
      <c r="F632" s="19"/>
      <c r="G632" s="19"/>
      <c r="H632" s="19"/>
      <c r="I632" s="20"/>
      <c r="J632" s="244"/>
      <c r="K632" s="19"/>
      <c r="L632" s="19"/>
      <c r="M632" s="19"/>
      <c r="N632" s="19"/>
      <c r="O632" s="19"/>
      <c r="P632" s="19"/>
      <c r="Q632" s="19"/>
      <c r="R632" s="19"/>
      <c r="S632" s="19"/>
      <c r="T632" s="19"/>
      <c r="U632" s="19"/>
      <c r="V632" s="19"/>
      <c r="W632" s="19"/>
    </row>
    <row r="633" spans="1:23" ht="14.25" customHeight="1" x14ac:dyDescent="0.3">
      <c r="A633" s="19"/>
      <c r="B633" s="19"/>
      <c r="C633" s="19"/>
      <c r="D633" s="19"/>
      <c r="E633" s="19"/>
      <c r="F633" s="19"/>
      <c r="G633" s="19"/>
      <c r="H633" s="19"/>
      <c r="I633" s="20"/>
      <c r="J633" s="244"/>
      <c r="K633" s="19"/>
      <c r="L633" s="19"/>
      <c r="M633" s="19"/>
      <c r="N633" s="19"/>
      <c r="O633" s="19"/>
      <c r="P633" s="19"/>
      <c r="Q633" s="19"/>
      <c r="R633" s="19"/>
      <c r="S633" s="19"/>
      <c r="T633" s="19"/>
      <c r="U633" s="19"/>
      <c r="V633" s="19"/>
      <c r="W633" s="19"/>
    </row>
    <row r="634" spans="1:23" ht="14.25" customHeight="1" x14ac:dyDescent="0.3">
      <c r="A634" s="19"/>
      <c r="B634" s="19"/>
      <c r="C634" s="19"/>
      <c r="D634" s="19"/>
      <c r="E634" s="19"/>
      <c r="F634" s="19"/>
      <c r="G634" s="19"/>
      <c r="H634" s="19"/>
      <c r="I634" s="20"/>
      <c r="J634" s="244"/>
      <c r="K634" s="19"/>
      <c r="L634" s="19"/>
      <c r="M634" s="19"/>
      <c r="N634" s="19"/>
      <c r="O634" s="19"/>
      <c r="P634" s="19"/>
      <c r="Q634" s="19"/>
      <c r="R634" s="19"/>
      <c r="S634" s="19"/>
      <c r="T634" s="19"/>
      <c r="U634" s="19"/>
      <c r="V634" s="19"/>
      <c r="W634" s="19"/>
    </row>
    <row r="635" spans="1:23" ht="14.25" customHeight="1" x14ac:dyDescent="0.3">
      <c r="A635" s="19"/>
      <c r="B635" s="19"/>
      <c r="C635" s="19"/>
      <c r="D635" s="19"/>
      <c r="E635" s="19"/>
      <c r="F635" s="19"/>
      <c r="G635" s="19"/>
      <c r="H635" s="19"/>
      <c r="I635" s="20"/>
      <c r="J635" s="244"/>
      <c r="K635" s="19"/>
      <c r="L635" s="19"/>
      <c r="M635" s="19"/>
      <c r="N635" s="19"/>
      <c r="O635" s="19"/>
      <c r="P635" s="19"/>
      <c r="Q635" s="19"/>
      <c r="R635" s="19"/>
      <c r="S635" s="19"/>
      <c r="T635" s="19"/>
      <c r="U635" s="19"/>
      <c r="V635" s="19"/>
      <c r="W635" s="19"/>
    </row>
    <row r="636" spans="1:23" ht="14.25" customHeight="1" x14ac:dyDescent="0.3">
      <c r="A636" s="19"/>
      <c r="B636" s="19"/>
      <c r="C636" s="19"/>
      <c r="D636" s="19"/>
      <c r="E636" s="19"/>
      <c r="F636" s="19"/>
      <c r="G636" s="19"/>
      <c r="H636" s="19"/>
      <c r="I636" s="20"/>
      <c r="J636" s="244"/>
      <c r="K636" s="19"/>
      <c r="L636" s="19"/>
      <c r="M636" s="19"/>
      <c r="N636" s="19"/>
      <c r="O636" s="19"/>
      <c r="P636" s="19"/>
      <c r="Q636" s="19"/>
      <c r="R636" s="19"/>
      <c r="S636" s="19"/>
      <c r="T636" s="19"/>
      <c r="U636" s="19"/>
      <c r="V636" s="19"/>
      <c r="W636" s="19"/>
    </row>
    <row r="637" spans="1:23" ht="14.25" customHeight="1" x14ac:dyDescent="0.3">
      <c r="A637" s="19"/>
      <c r="B637" s="19"/>
      <c r="C637" s="19"/>
      <c r="D637" s="19"/>
      <c r="E637" s="19"/>
      <c r="F637" s="19"/>
      <c r="G637" s="19"/>
      <c r="H637" s="19"/>
      <c r="I637" s="20"/>
      <c r="J637" s="244"/>
      <c r="K637" s="19"/>
      <c r="L637" s="19"/>
      <c r="M637" s="19"/>
      <c r="N637" s="19"/>
      <c r="O637" s="19"/>
      <c r="P637" s="19"/>
      <c r="Q637" s="19"/>
      <c r="R637" s="19"/>
      <c r="S637" s="19"/>
      <c r="T637" s="19"/>
      <c r="U637" s="19"/>
      <c r="V637" s="19"/>
      <c r="W637" s="19"/>
    </row>
    <row r="638" spans="1:23" ht="14.25" customHeight="1" x14ac:dyDescent="0.3">
      <c r="A638" s="19"/>
      <c r="B638" s="19"/>
      <c r="C638" s="19"/>
      <c r="D638" s="19"/>
      <c r="E638" s="19"/>
      <c r="F638" s="19"/>
      <c r="G638" s="19"/>
      <c r="H638" s="19"/>
      <c r="I638" s="20"/>
      <c r="J638" s="244"/>
      <c r="K638" s="19"/>
      <c r="L638" s="19"/>
      <c r="M638" s="19"/>
      <c r="N638" s="19"/>
      <c r="O638" s="19"/>
      <c r="P638" s="19"/>
      <c r="Q638" s="19"/>
      <c r="R638" s="19"/>
      <c r="S638" s="19"/>
      <c r="T638" s="19"/>
      <c r="U638" s="19"/>
      <c r="V638" s="19"/>
      <c r="W638" s="19"/>
    </row>
    <row r="639" spans="1:23" ht="14.25" customHeight="1" x14ac:dyDescent="0.3">
      <c r="A639" s="19"/>
      <c r="B639" s="19"/>
      <c r="C639" s="19"/>
      <c r="D639" s="19"/>
      <c r="E639" s="19"/>
      <c r="F639" s="19"/>
      <c r="G639" s="19"/>
      <c r="H639" s="19"/>
      <c r="I639" s="20"/>
      <c r="J639" s="244"/>
      <c r="K639" s="19"/>
      <c r="L639" s="19"/>
      <c r="M639" s="19"/>
      <c r="N639" s="19"/>
      <c r="O639" s="19"/>
      <c r="P639" s="19"/>
      <c r="Q639" s="19"/>
      <c r="R639" s="19"/>
      <c r="S639" s="19"/>
      <c r="T639" s="19"/>
      <c r="U639" s="19"/>
      <c r="V639" s="19"/>
      <c r="W639" s="19"/>
    </row>
    <row r="640" spans="1:23" ht="14.25" customHeight="1" x14ac:dyDescent="0.3">
      <c r="A640" s="19"/>
      <c r="B640" s="19"/>
      <c r="C640" s="19"/>
      <c r="D640" s="19"/>
      <c r="E640" s="19"/>
      <c r="F640" s="19"/>
      <c r="G640" s="19"/>
      <c r="H640" s="19"/>
      <c r="I640" s="20"/>
      <c r="J640" s="244"/>
      <c r="K640" s="19"/>
      <c r="L640" s="19"/>
      <c r="M640" s="19"/>
      <c r="N640" s="19"/>
      <c r="O640" s="19"/>
      <c r="P640" s="19"/>
      <c r="Q640" s="19"/>
      <c r="R640" s="19"/>
      <c r="S640" s="19"/>
      <c r="T640" s="19"/>
      <c r="U640" s="19"/>
      <c r="V640" s="19"/>
      <c r="W640" s="19"/>
    </row>
    <row r="641" spans="1:23" ht="14.25" customHeight="1" x14ac:dyDescent="0.3">
      <c r="A641" s="19"/>
      <c r="B641" s="19"/>
      <c r="C641" s="19"/>
      <c r="D641" s="19"/>
      <c r="E641" s="19"/>
      <c r="F641" s="19"/>
      <c r="G641" s="19"/>
      <c r="H641" s="19"/>
      <c r="I641" s="20"/>
      <c r="J641" s="244"/>
      <c r="K641" s="19"/>
      <c r="L641" s="19"/>
      <c r="M641" s="19"/>
      <c r="N641" s="19"/>
      <c r="O641" s="19"/>
      <c r="P641" s="19"/>
      <c r="Q641" s="19"/>
      <c r="R641" s="19"/>
      <c r="S641" s="19"/>
      <c r="T641" s="19"/>
      <c r="U641" s="19"/>
      <c r="V641" s="19"/>
      <c r="W641" s="19"/>
    </row>
    <row r="642" spans="1:23" ht="14.25" customHeight="1" x14ac:dyDescent="0.3">
      <c r="A642" s="19"/>
      <c r="B642" s="19"/>
      <c r="C642" s="19"/>
      <c r="D642" s="19"/>
      <c r="E642" s="19"/>
      <c r="F642" s="19"/>
      <c r="G642" s="19"/>
      <c r="H642" s="19"/>
      <c r="I642" s="20"/>
      <c r="J642" s="244"/>
      <c r="K642" s="19"/>
      <c r="L642" s="19"/>
      <c r="M642" s="19"/>
      <c r="N642" s="19"/>
      <c r="O642" s="19"/>
      <c r="P642" s="19"/>
      <c r="Q642" s="19"/>
      <c r="R642" s="19"/>
      <c r="S642" s="19"/>
      <c r="T642" s="19"/>
      <c r="U642" s="19"/>
      <c r="V642" s="19"/>
      <c r="W642" s="19"/>
    </row>
    <row r="643" spans="1:23" ht="14.25" customHeight="1" x14ac:dyDescent="0.3">
      <c r="A643" s="19"/>
      <c r="B643" s="19"/>
      <c r="C643" s="19"/>
      <c r="D643" s="19"/>
      <c r="E643" s="19"/>
      <c r="F643" s="19"/>
      <c r="G643" s="19"/>
      <c r="H643" s="19"/>
      <c r="I643" s="20"/>
      <c r="J643" s="244"/>
      <c r="K643" s="19"/>
      <c r="L643" s="19"/>
      <c r="M643" s="19"/>
      <c r="N643" s="19"/>
      <c r="O643" s="19"/>
      <c r="P643" s="19"/>
      <c r="Q643" s="19"/>
      <c r="R643" s="19"/>
      <c r="S643" s="19"/>
      <c r="T643" s="19"/>
      <c r="U643" s="19"/>
      <c r="V643" s="19"/>
      <c r="W643" s="19"/>
    </row>
    <row r="644" spans="1:23" ht="14.25" customHeight="1" x14ac:dyDescent="0.3">
      <c r="A644" s="19"/>
      <c r="B644" s="19"/>
      <c r="C644" s="19"/>
      <c r="D644" s="19"/>
      <c r="E644" s="19"/>
      <c r="F644" s="19"/>
      <c r="G644" s="19"/>
      <c r="H644" s="19"/>
      <c r="I644" s="20"/>
      <c r="J644" s="244"/>
      <c r="K644" s="19"/>
      <c r="L644" s="19"/>
      <c r="M644" s="19"/>
      <c r="N644" s="19"/>
      <c r="O644" s="19"/>
      <c r="P644" s="19"/>
      <c r="Q644" s="19"/>
      <c r="R644" s="19"/>
      <c r="S644" s="19"/>
      <c r="T644" s="19"/>
      <c r="U644" s="19"/>
      <c r="V644" s="19"/>
      <c r="W644" s="19"/>
    </row>
    <row r="645" spans="1:23" ht="14.25" customHeight="1" x14ac:dyDescent="0.3">
      <c r="A645" s="19"/>
      <c r="B645" s="19"/>
      <c r="C645" s="19"/>
      <c r="D645" s="19"/>
      <c r="E645" s="19"/>
      <c r="F645" s="19"/>
      <c r="G645" s="19"/>
      <c r="H645" s="19"/>
      <c r="I645" s="20"/>
      <c r="J645" s="244"/>
      <c r="K645" s="19"/>
      <c r="L645" s="19"/>
      <c r="M645" s="19"/>
      <c r="N645" s="19"/>
      <c r="O645" s="19"/>
      <c r="P645" s="19"/>
      <c r="Q645" s="19"/>
      <c r="R645" s="19"/>
      <c r="S645" s="19"/>
      <c r="T645" s="19"/>
      <c r="U645" s="19"/>
      <c r="V645" s="19"/>
      <c r="W645" s="19"/>
    </row>
    <row r="646" spans="1:23" ht="14.25" customHeight="1" x14ac:dyDescent="0.3">
      <c r="A646" s="19"/>
      <c r="B646" s="19"/>
      <c r="C646" s="19"/>
      <c r="D646" s="19"/>
      <c r="E646" s="19"/>
      <c r="F646" s="19"/>
      <c r="G646" s="19"/>
      <c r="H646" s="19"/>
      <c r="I646" s="20"/>
      <c r="J646" s="244"/>
      <c r="K646" s="19"/>
      <c r="L646" s="19"/>
      <c r="M646" s="19"/>
      <c r="N646" s="19"/>
      <c r="O646" s="19"/>
      <c r="P646" s="19"/>
      <c r="Q646" s="19"/>
      <c r="R646" s="19"/>
      <c r="S646" s="19"/>
      <c r="T646" s="19"/>
      <c r="U646" s="19"/>
      <c r="V646" s="19"/>
      <c r="W646" s="19"/>
    </row>
    <row r="647" spans="1:23" ht="14.25" customHeight="1" x14ac:dyDescent="0.3">
      <c r="A647" s="19"/>
      <c r="B647" s="19"/>
      <c r="C647" s="19"/>
      <c r="D647" s="19"/>
      <c r="E647" s="19"/>
      <c r="F647" s="19"/>
      <c r="G647" s="19"/>
      <c r="H647" s="19"/>
      <c r="I647" s="20"/>
      <c r="J647" s="244"/>
      <c r="K647" s="19"/>
      <c r="L647" s="19"/>
      <c r="M647" s="19"/>
      <c r="N647" s="19"/>
      <c r="O647" s="19"/>
      <c r="P647" s="19"/>
      <c r="Q647" s="19"/>
      <c r="R647" s="19"/>
      <c r="S647" s="19"/>
      <c r="T647" s="19"/>
      <c r="U647" s="19"/>
      <c r="V647" s="19"/>
      <c r="W647" s="19"/>
    </row>
    <row r="648" spans="1:23" ht="14.25" customHeight="1" x14ac:dyDescent="0.3">
      <c r="A648" s="19"/>
      <c r="B648" s="19"/>
      <c r="C648" s="19"/>
      <c r="D648" s="19"/>
      <c r="E648" s="19"/>
      <c r="F648" s="19"/>
      <c r="G648" s="19"/>
      <c r="H648" s="19"/>
      <c r="I648" s="20"/>
      <c r="J648" s="244"/>
      <c r="K648" s="19"/>
      <c r="L648" s="19"/>
      <c r="M648" s="19"/>
      <c r="N648" s="19"/>
      <c r="O648" s="19"/>
      <c r="P648" s="19"/>
      <c r="Q648" s="19"/>
      <c r="R648" s="19"/>
      <c r="S648" s="19"/>
      <c r="T648" s="19"/>
      <c r="U648" s="19"/>
      <c r="V648" s="19"/>
      <c r="W648" s="19"/>
    </row>
    <row r="649" spans="1:23" ht="14.25" customHeight="1" x14ac:dyDescent="0.3">
      <c r="A649" s="19"/>
      <c r="B649" s="19"/>
      <c r="C649" s="19"/>
      <c r="D649" s="19"/>
      <c r="E649" s="19"/>
      <c r="F649" s="19"/>
      <c r="G649" s="19"/>
      <c r="H649" s="19"/>
      <c r="I649" s="20"/>
      <c r="J649" s="244"/>
      <c r="K649" s="19"/>
      <c r="L649" s="19"/>
      <c r="M649" s="19"/>
      <c r="N649" s="19"/>
      <c r="O649" s="19"/>
      <c r="P649" s="19"/>
      <c r="Q649" s="19"/>
      <c r="R649" s="19"/>
      <c r="S649" s="19"/>
      <c r="T649" s="19"/>
      <c r="U649" s="19"/>
      <c r="V649" s="19"/>
      <c r="W649" s="19"/>
    </row>
    <row r="650" spans="1:23" ht="14.25" customHeight="1" x14ac:dyDescent="0.3">
      <c r="A650" s="19"/>
      <c r="B650" s="19"/>
      <c r="C650" s="19"/>
      <c r="D650" s="19"/>
      <c r="E650" s="19"/>
      <c r="F650" s="19"/>
      <c r="G650" s="19"/>
      <c r="H650" s="19"/>
      <c r="I650" s="20"/>
      <c r="J650" s="244"/>
      <c r="K650" s="19"/>
      <c r="L650" s="19"/>
      <c r="M650" s="19"/>
      <c r="N650" s="19"/>
      <c r="O650" s="19"/>
      <c r="P650" s="19"/>
      <c r="Q650" s="19"/>
      <c r="R650" s="19"/>
      <c r="S650" s="19"/>
      <c r="T650" s="19"/>
      <c r="U650" s="19"/>
      <c r="V650" s="19"/>
      <c r="W650" s="19"/>
    </row>
    <row r="651" spans="1:23" ht="14.25" customHeight="1" x14ac:dyDescent="0.3">
      <c r="A651" s="19"/>
      <c r="B651" s="19"/>
      <c r="C651" s="19"/>
      <c r="D651" s="19"/>
      <c r="E651" s="19"/>
      <c r="F651" s="19"/>
      <c r="G651" s="19"/>
      <c r="H651" s="19"/>
      <c r="I651" s="20"/>
      <c r="J651" s="244"/>
      <c r="K651" s="19"/>
      <c r="L651" s="19"/>
      <c r="M651" s="19"/>
      <c r="N651" s="19"/>
      <c r="O651" s="19"/>
      <c r="P651" s="19"/>
      <c r="Q651" s="19"/>
      <c r="R651" s="19"/>
      <c r="S651" s="19"/>
      <c r="T651" s="19"/>
      <c r="U651" s="19"/>
      <c r="V651" s="19"/>
      <c r="W651" s="19"/>
    </row>
    <row r="652" spans="1:23" ht="14.25" customHeight="1" x14ac:dyDescent="0.3">
      <c r="A652" s="19"/>
      <c r="B652" s="19"/>
      <c r="C652" s="19"/>
      <c r="D652" s="19"/>
      <c r="E652" s="19"/>
      <c r="F652" s="19"/>
      <c r="G652" s="19"/>
      <c r="H652" s="19"/>
      <c r="I652" s="20"/>
      <c r="J652" s="244"/>
      <c r="K652" s="19"/>
      <c r="L652" s="19"/>
      <c r="M652" s="19"/>
      <c r="N652" s="19"/>
      <c r="O652" s="19"/>
      <c r="P652" s="19"/>
      <c r="Q652" s="19"/>
      <c r="R652" s="19"/>
      <c r="S652" s="19"/>
      <c r="T652" s="19"/>
      <c r="U652" s="19"/>
      <c r="V652" s="19"/>
      <c r="W652" s="19"/>
    </row>
    <row r="653" spans="1:23" ht="14.25" customHeight="1" x14ac:dyDescent="0.3">
      <c r="A653" s="19"/>
      <c r="B653" s="19"/>
      <c r="C653" s="19"/>
      <c r="D653" s="19"/>
      <c r="E653" s="19"/>
      <c r="F653" s="19"/>
      <c r="G653" s="19"/>
      <c r="H653" s="19"/>
      <c r="I653" s="20"/>
      <c r="J653" s="244"/>
      <c r="K653" s="19"/>
      <c r="L653" s="19"/>
      <c r="M653" s="19"/>
      <c r="N653" s="19"/>
      <c r="O653" s="19"/>
      <c r="P653" s="19"/>
      <c r="Q653" s="19"/>
      <c r="R653" s="19"/>
      <c r="S653" s="19"/>
      <c r="T653" s="19"/>
      <c r="U653" s="19"/>
      <c r="V653" s="19"/>
      <c r="W653" s="19"/>
    </row>
    <row r="654" spans="1:23" ht="14.25" customHeight="1" x14ac:dyDescent="0.3">
      <c r="A654" s="19"/>
      <c r="B654" s="19"/>
      <c r="C654" s="19"/>
      <c r="D654" s="19"/>
      <c r="E654" s="19"/>
      <c r="F654" s="19"/>
      <c r="G654" s="19"/>
      <c r="H654" s="19"/>
      <c r="I654" s="20"/>
      <c r="J654" s="244"/>
      <c r="K654" s="19"/>
      <c r="L654" s="19"/>
      <c r="M654" s="19"/>
      <c r="N654" s="19"/>
      <c r="O654" s="19"/>
      <c r="P654" s="19"/>
      <c r="Q654" s="19"/>
      <c r="R654" s="19"/>
      <c r="S654" s="19"/>
      <c r="T654" s="19"/>
      <c r="U654" s="19"/>
      <c r="V654" s="19"/>
      <c r="W654" s="19"/>
    </row>
    <row r="655" spans="1:23" ht="14.25" customHeight="1" x14ac:dyDescent="0.3">
      <c r="A655" s="19"/>
      <c r="B655" s="19"/>
      <c r="C655" s="19"/>
      <c r="D655" s="19"/>
      <c r="E655" s="19"/>
      <c r="F655" s="19"/>
      <c r="G655" s="19"/>
      <c r="H655" s="19"/>
      <c r="I655" s="20"/>
      <c r="J655" s="244"/>
      <c r="K655" s="19"/>
      <c r="L655" s="19"/>
      <c r="M655" s="19"/>
      <c r="N655" s="19"/>
      <c r="O655" s="19"/>
      <c r="P655" s="19"/>
      <c r="Q655" s="19"/>
      <c r="R655" s="19"/>
      <c r="S655" s="19"/>
      <c r="T655" s="19"/>
      <c r="U655" s="19"/>
      <c r="V655" s="19"/>
      <c r="W655" s="19"/>
    </row>
    <row r="656" spans="1:23" ht="14.25" customHeight="1" x14ac:dyDescent="0.3">
      <c r="A656" s="19"/>
      <c r="B656" s="19"/>
      <c r="C656" s="19"/>
      <c r="D656" s="19"/>
      <c r="E656" s="19"/>
      <c r="F656" s="19"/>
      <c r="G656" s="19"/>
      <c r="H656" s="19"/>
      <c r="I656" s="20"/>
      <c r="J656" s="244"/>
      <c r="K656" s="19"/>
      <c r="L656" s="19"/>
      <c r="M656" s="19"/>
      <c r="N656" s="19"/>
      <c r="O656" s="19"/>
      <c r="P656" s="19"/>
      <c r="Q656" s="19"/>
      <c r="R656" s="19"/>
      <c r="S656" s="19"/>
      <c r="T656" s="19"/>
      <c r="U656" s="19"/>
      <c r="V656" s="19"/>
      <c r="W656" s="19"/>
    </row>
    <row r="657" spans="1:23" ht="14.25" customHeight="1" x14ac:dyDescent="0.3">
      <c r="A657" s="19"/>
      <c r="B657" s="19"/>
      <c r="C657" s="19"/>
      <c r="D657" s="19"/>
      <c r="E657" s="19"/>
      <c r="F657" s="19"/>
      <c r="G657" s="19"/>
      <c r="H657" s="19"/>
      <c r="I657" s="20"/>
      <c r="J657" s="244"/>
      <c r="K657" s="19"/>
      <c r="L657" s="19"/>
      <c r="M657" s="19"/>
      <c r="N657" s="19"/>
      <c r="O657" s="19"/>
      <c r="P657" s="19"/>
      <c r="Q657" s="19"/>
      <c r="R657" s="19"/>
      <c r="S657" s="19"/>
      <c r="T657" s="19"/>
      <c r="U657" s="19"/>
      <c r="V657" s="19"/>
      <c r="W657" s="19"/>
    </row>
    <row r="658" spans="1:23" ht="14.25" customHeight="1" x14ac:dyDescent="0.3">
      <c r="A658" s="19"/>
      <c r="B658" s="19"/>
      <c r="C658" s="19"/>
      <c r="D658" s="19"/>
      <c r="E658" s="19"/>
      <c r="F658" s="19"/>
      <c r="G658" s="19"/>
      <c r="H658" s="19"/>
      <c r="I658" s="20"/>
      <c r="J658" s="244"/>
      <c r="K658" s="19"/>
      <c r="L658" s="19"/>
      <c r="M658" s="19"/>
      <c r="N658" s="19"/>
      <c r="O658" s="19"/>
      <c r="P658" s="19"/>
      <c r="Q658" s="19"/>
      <c r="R658" s="19"/>
      <c r="S658" s="19"/>
      <c r="T658" s="19"/>
      <c r="U658" s="19"/>
      <c r="V658" s="19"/>
      <c r="W658" s="19"/>
    </row>
    <row r="659" spans="1:23" ht="14.25" customHeight="1" x14ac:dyDescent="0.3">
      <c r="A659" s="19"/>
      <c r="B659" s="19"/>
      <c r="C659" s="19"/>
      <c r="D659" s="19"/>
      <c r="E659" s="19"/>
      <c r="F659" s="19"/>
      <c r="G659" s="19"/>
      <c r="H659" s="19"/>
      <c r="I659" s="20"/>
      <c r="J659" s="244"/>
      <c r="K659" s="19"/>
      <c r="L659" s="19"/>
      <c r="M659" s="19"/>
      <c r="N659" s="19"/>
      <c r="O659" s="19"/>
      <c r="P659" s="19"/>
      <c r="Q659" s="19"/>
      <c r="R659" s="19"/>
      <c r="S659" s="19"/>
      <c r="T659" s="19"/>
      <c r="U659" s="19"/>
      <c r="V659" s="19"/>
      <c r="W659" s="19"/>
    </row>
    <row r="660" spans="1:23" ht="14.25" customHeight="1" x14ac:dyDescent="0.3">
      <c r="A660" s="19"/>
      <c r="B660" s="19"/>
      <c r="C660" s="19"/>
      <c r="D660" s="19"/>
      <c r="E660" s="19"/>
      <c r="F660" s="19"/>
      <c r="G660" s="19"/>
      <c r="H660" s="19"/>
      <c r="I660" s="20"/>
      <c r="J660" s="244"/>
      <c r="K660" s="19"/>
      <c r="L660" s="19"/>
      <c r="M660" s="19"/>
      <c r="N660" s="19"/>
      <c r="O660" s="19"/>
      <c r="P660" s="19"/>
      <c r="Q660" s="19"/>
      <c r="R660" s="19"/>
      <c r="S660" s="19"/>
      <c r="T660" s="19"/>
      <c r="U660" s="19"/>
      <c r="V660" s="19"/>
      <c r="W660" s="19"/>
    </row>
    <row r="661" spans="1:23" ht="14.25" customHeight="1" x14ac:dyDescent="0.3">
      <c r="A661" s="19"/>
      <c r="B661" s="19"/>
      <c r="C661" s="19"/>
      <c r="D661" s="19"/>
      <c r="E661" s="19"/>
      <c r="F661" s="19"/>
      <c r="G661" s="19"/>
      <c r="H661" s="19"/>
      <c r="I661" s="20"/>
      <c r="J661" s="244"/>
      <c r="K661" s="19"/>
      <c r="L661" s="19"/>
      <c r="M661" s="19"/>
      <c r="N661" s="19"/>
      <c r="O661" s="19"/>
      <c r="P661" s="19"/>
      <c r="Q661" s="19"/>
      <c r="R661" s="19"/>
      <c r="S661" s="19"/>
      <c r="T661" s="19"/>
      <c r="U661" s="19"/>
      <c r="V661" s="19"/>
      <c r="W661" s="19"/>
    </row>
    <row r="662" spans="1:23" ht="14.25" customHeight="1" x14ac:dyDescent="0.3">
      <c r="A662" s="19"/>
      <c r="B662" s="19"/>
      <c r="C662" s="19"/>
      <c r="D662" s="19"/>
      <c r="E662" s="19"/>
      <c r="F662" s="19"/>
      <c r="G662" s="19"/>
      <c r="H662" s="19"/>
      <c r="I662" s="20"/>
      <c r="J662" s="244"/>
      <c r="K662" s="19"/>
      <c r="L662" s="19"/>
      <c r="M662" s="19"/>
      <c r="N662" s="19"/>
      <c r="O662" s="19"/>
      <c r="P662" s="19"/>
      <c r="Q662" s="19"/>
      <c r="R662" s="19"/>
      <c r="S662" s="19"/>
      <c r="T662" s="19"/>
      <c r="U662" s="19"/>
      <c r="V662" s="19"/>
      <c r="W662" s="19"/>
    </row>
    <row r="663" spans="1:23" ht="14.25" customHeight="1" x14ac:dyDescent="0.3">
      <c r="A663" s="19"/>
      <c r="B663" s="19"/>
      <c r="C663" s="19"/>
      <c r="D663" s="19"/>
      <c r="E663" s="19"/>
      <c r="F663" s="19"/>
      <c r="G663" s="19"/>
      <c r="H663" s="19"/>
      <c r="I663" s="20"/>
      <c r="J663" s="244"/>
      <c r="K663" s="19"/>
      <c r="L663" s="19"/>
      <c r="M663" s="19"/>
      <c r="N663" s="19"/>
      <c r="O663" s="19"/>
      <c r="P663" s="19"/>
      <c r="Q663" s="19"/>
      <c r="R663" s="19"/>
      <c r="S663" s="19"/>
      <c r="T663" s="19"/>
      <c r="U663" s="19"/>
      <c r="V663" s="19"/>
      <c r="W663" s="19"/>
    </row>
    <row r="664" spans="1:23" ht="14.25" customHeight="1" x14ac:dyDescent="0.3">
      <c r="A664" s="19"/>
      <c r="B664" s="19"/>
      <c r="C664" s="19"/>
      <c r="D664" s="19"/>
      <c r="E664" s="19"/>
      <c r="F664" s="19"/>
      <c r="G664" s="19"/>
      <c r="H664" s="19"/>
      <c r="I664" s="20"/>
      <c r="J664" s="244"/>
      <c r="K664" s="19"/>
      <c r="L664" s="19"/>
      <c r="M664" s="19"/>
      <c r="N664" s="19"/>
      <c r="O664" s="19"/>
      <c r="P664" s="19"/>
      <c r="Q664" s="19"/>
      <c r="R664" s="19"/>
      <c r="S664" s="19"/>
      <c r="T664" s="19"/>
      <c r="U664" s="19"/>
      <c r="V664" s="19"/>
      <c r="W664" s="19"/>
    </row>
    <row r="665" spans="1:23" ht="14.25" customHeight="1" x14ac:dyDescent="0.3">
      <c r="A665" s="19"/>
      <c r="B665" s="19"/>
      <c r="C665" s="19"/>
      <c r="D665" s="19"/>
      <c r="E665" s="19"/>
      <c r="F665" s="19"/>
      <c r="G665" s="19"/>
      <c r="H665" s="19"/>
      <c r="I665" s="20"/>
      <c r="J665" s="244"/>
      <c r="K665" s="19"/>
      <c r="L665" s="19"/>
      <c r="M665" s="19"/>
      <c r="N665" s="19"/>
      <c r="O665" s="19"/>
      <c r="P665" s="19"/>
      <c r="Q665" s="19"/>
      <c r="R665" s="19"/>
      <c r="S665" s="19"/>
      <c r="T665" s="19"/>
      <c r="U665" s="19"/>
      <c r="V665" s="19"/>
      <c r="W665" s="19"/>
    </row>
    <row r="666" spans="1:23" ht="14.25" customHeight="1" x14ac:dyDescent="0.3">
      <c r="A666" s="19"/>
      <c r="B666" s="19"/>
      <c r="C666" s="19"/>
      <c r="D666" s="19"/>
      <c r="E666" s="19"/>
      <c r="F666" s="19"/>
      <c r="G666" s="19"/>
      <c r="H666" s="19"/>
      <c r="I666" s="20"/>
      <c r="J666" s="244"/>
      <c r="K666" s="19"/>
      <c r="L666" s="19"/>
      <c r="M666" s="19"/>
      <c r="N666" s="19"/>
      <c r="O666" s="19"/>
      <c r="P666" s="19"/>
      <c r="Q666" s="19"/>
      <c r="R666" s="19"/>
      <c r="S666" s="19"/>
      <c r="T666" s="19"/>
      <c r="U666" s="19"/>
      <c r="V666" s="19"/>
      <c r="W666" s="19"/>
    </row>
    <row r="667" spans="1:23" ht="14.25" customHeight="1" x14ac:dyDescent="0.3">
      <c r="A667" s="19"/>
      <c r="B667" s="19"/>
      <c r="C667" s="19"/>
      <c r="D667" s="19"/>
      <c r="E667" s="19"/>
      <c r="F667" s="19"/>
      <c r="G667" s="19"/>
      <c r="H667" s="19"/>
      <c r="I667" s="20"/>
      <c r="J667" s="244"/>
      <c r="K667" s="19"/>
      <c r="L667" s="19"/>
      <c r="M667" s="19"/>
      <c r="N667" s="19"/>
      <c r="O667" s="19"/>
      <c r="P667" s="19"/>
      <c r="Q667" s="19"/>
      <c r="R667" s="19"/>
      <c r="S667" s="19"/>
      <c r="T667" s="19"/>
      <c r="U667" s="19"/>
      <c r="V667" s="19"/>
      <c r="W667" s="19"/>
    </row>
    <row r="668" spans="1:23" ht="14.25" customHeight="1" x14ac:dyDescent="0.3">
      <c r="A668" s="19"/>
      <c r="B668" s="19"/>
      <c r="C668" s="19"/>
      <c r="D668" s="19"/>
      <c r="E668" s="19"/>
      <c r="F668" s="19"/>
      <c r="G668" s="19"/>
      <c r="H668" s="19"/>
      <c r="I668" s="20"/>
      <c r="J668" s="244"/>
      <c r="K668" s="19"/>
      <c r="L668" s="19"/>
      <c r="M668" s="19"/>
      <c r="N668" s="19"/>
      <c r="O668" s="19"/>
      <c r="P668" s="19"/>
      <c r="Q668" s="19"/>
      <c r="R668" s="19"/>
      <c r="S668" s="19"/>
      <c r="T668" s="19"/>
      <c r="U668" s="19"/>
      <c r="V668" s="19"/>
      <c r="W668" s="19"/>
    </row>
    <row r="669" spans="1:23" ht="14.25" customHeight="1" x14ac:dyDescent="0.3">
      <c r="A669" s="19"/>
      <c r="B669" s="19"/>
      <c r="C669" s="19"/>
      <c r="D669" s="19"/>
      <c r="E669" s="19"/>
      <c r="F669" s="19"/>
      <c r="G669" s="19"/>
      <c r="H669" s="19"/>
      <c r="I669" s="20"/>
      <c r="J669" s="244"/>
      <c r="K669" s="19"/>
      <c r="L669" s="19"/>
      <c r="M669" s="19"/>
      <c r="N669" s="19"/>
      <c r="O669" s="19"/>
      <c r="P669" s="19"/>
      <c r="Q669" s="19"/>
      <c r="R669" s="19"/>
      <c r="S669" s="19"/>
      <c r="T669" s="19"/>
      <c r="U669" s="19"/>
      <c r="V669" s="19"/>
      <c r="W669" s="19"/>
    </row>
    <row r="670" spans="1:23" ht="14.25" customHeight="1" x14ac:dyDescent="0.3">
      <c r="A670" s="19"/>
      <c r="B670" s="19"/>
      <c r="C670" s="19"/>
      <c r="D670" s="19"/>
      <c r="E670" s="19"/>
      <c r="F670" s="19"/>
      <c r="G670" s="19"/>
      <c r="H670" s="19"/>
      <c r="I670" s="20"/>
      <c r="J670" s="244"/>
      <c r="K670" s="19"/>
      <c r="L670" s="19"/>
      <c r="M670" s="19"/>
      <c r="N670" s="19"/>
      <c r="O670" s="19"/>
      <c r="P670" s="19"/>
      <c r="Q670" s="19"/>
      <c r="R670" s="19"/>
      <c r="S670" s="19"/>
      <c r="T670" s="19"/>
      <c r="U670" s="19"/>
      <c r="V670" s="19"/>
      <c r="W670" s="19"/>
    </row>
    <row r="671" spans="1:23" ht="14.25" customHeight="1" x14ac:dyDescent="0.3">
      <c r="A671" s="19"/>
      <c r="B671" s="19"/>
      <c r="C671" s="19"/>
      <c r="D671" s="19"/>
      <c r="E671" s="19"/>
      <c r="F671" s="19"/>
      <c r="G671" s="19"/>
      <c r="H671" s="19"/>
      <c r="I671" s="20"/>
      <c r="J671" s="244"/>
      <c r="K671" s="19"/>
      <c r="L671" s="19"/>
      <c r="M671" s="19"/>
      <c r="N671" s="19"/>
      <c r="O671" s="19"/>
      <c r="P671" s="19"/>
      <c r="Q671" s="19"/>
      <c r="R671" s="19"/>
      <c r="S671" s="19"/>
      <c r="T671" s="19"/>
      <c r="U671" s="19"/>
      <c r="V671" s="19"/>
      <c r="W671" s="19"/>
    </row>
    <row r="672" spans="1:23" ht="14.25" customHeight="1" x14ac:dyDescent="0.3">
      <c r="A672" s="19"/>
      <c r="B672" s="19"/>
      <c r="C672" s="19"/>
      <c r="D672" s="19"/>
      <c r="E672" s="19"/>
      <c r="F672" s="19"/>
      <c r="G672" s="19"/>
      <c r="H672" s="19"/>
      <c r="I672" s="20"/>
      <c r="J672" s="244"/>
      <c r="K672" s="19"/>
      <c r="L672" s="19"/>
      <c r="M672" s="19"/>
      <c r="N672" s="19"/>
      <c r="O672" s="19"/>
      <c r="P672" s="19"/>
      <c r="Q672" s="19"/>
      <c r="R672" s="19"/>
      <c r="S672" s="19"/>
      <c r="T672" s="19"/>
      <c r="U672" s="19"/>
      <c r="V672" s="19"/>
      <c r="W672" s="19"/>
    </row>
    <row r="673" spans="1:23" ht="14.25" customHeight="1" x14ac:dyDescent="0.3">
      <c r="A673" s="19"/>
      <c r="B673" s="19"/>
      <c r="C673" s="19"/>
      <c r="D673" s="19"/>
      <c r="E673" s="19"/>
      <c r="F673" s="19"/>
      <c r="G673" s="19"/>
      <c r="H673" s="19"/>
      <c r="I673" s="20"/>
      <c r="J673" s="244"/>
      <c r="K673" s="19"/>
      <c r="L673" s="19"/>
      <c r="M673" s="19"/>
      <c r="N673" s="19"/>
      <c r="O673" s="19"/>
      <c r="P673" s="19"/>
      <c r="Q673" s="19"/>
      <c r="R673" s="19"/>
      <c r="S673" s="19"/>
      <c r="T673" s="19"/>
      <c r="U673" s="19"/>
      <c r="V673" s="19"/>
      <c r="W673" s="19"/>
    </row>
    <row r="674" spans="1:23" ht="14.25" customHeight="1" x14ac:dyDescent="0.3">
      <c r="A674" s="19"/>
      <c r="B674" s="19"/>
      <c r="C674" s="19"/>
      <c r="D674" s="19"/>
      <c r="E674" s="19"/>
      <c r="F674" s="19"/>
      <c r="G674" s="19"/>
      <c r="H674" s="19"/>
      <c r="I674" s="20"/>
      <c r="J674" s="244"/>
      <c r="K674" s="19"/>
      <c r="L674" s="19"/>
      <c r="M674" s="19"/>
      <c r="N674" s="19"/>
      <c r="O674" s="19"/>
      <c r="P674" s="19"/>
      <c r="Q674" s="19"/>
      <c r="R674" s="19"/>
      <c r="S674" s="19"/>
      <c r="T674" s="19"/>
      <c r="U674" s="19"/>
      <c r="V674" s="19"/>
      <c r="W674" s="19"/>
    </row>
    <row r="675" spans="1:23" ht="14.25" customHeight="1" x14ac:dyDescent="0.3">
      <c r="A675" s="19"/>
      <c r="B675" s="19"/>
      <c r="C675" s="19"/>
      <c r="D675" s="19"/>
      <c r="E675" s="19"/>
      <c r="F675" s="19"/>
      <c r="G675" s="19"/>
      <c r="H675" s="19"/>
      <c r="I675" s="20"/>
      <c r="J675" s="244"/>
      <c r="K675" s="19"/>
      <c r="L675" s="19"/>
      <c r="M675" s="19"/>
      <c r="N675" s="19"/>
      <c r="O675" s="19"/>
      <c r="P675" s="19"/>
      <c r="Q675" s="19"/>
      <c r="R675" s="19"/>
      <c r="S675" s="19"/>
      <c r="T675" s="19"/>
      <c r="U675" s="19"/>
      <c r="V675" s="19"/>
      <c r="W675" s="19"/>
    </row>
    <row r="676" spans="1:23" ht="14.25" customHeight="1" x14ac:dyDescent="0.3">
      <c r="A676" s="19"/>
      <c r="B676" s="19"/>
      <c r="C676" s="19"/>
      <c r="D676" s="19"/>
      <c r="E676" s="19"/>
      <c r="F676" s="19"/>
      <c r="G676" s="19"/>
      <c r="H676" s="19"/>
      <c r="I676" s="20"/>
      <c r="J676" s="244"/>
      <c r="K676" s="19"/>
      <c r="L676" s="19"/>
      <c r="M676" s="19"/>
      <c r="N676" s="19"/>
      <c r="O676" s="19"/>
      <c r="P676" s="19"/>
      <c r="Q676" s="19"/>
      <c r="R676" s="19"/>
      <c r="S676" s="19"/>
      <c r="T676" s="19"/>
      <c r="U676" s="19"/>
      <c r="V676" s="19"/>
      <c r="W676" s="19"/>
    </row>
    <row r="677" spans="1:23" ht="14.25" customHeight="1" x14ac:dyDescent="0.3">
      <c r="A677" s="19"/>
      <c r="B677" s="19"/>
      <c r="C677" s="19"/>
      <c r="D677" s="19"/>
      <c r="E677" s="19"/>
      <c r="F677" s="19"/>
      <c r="G677" s="19"/>
      <c r="H677" s="19"/>
      <c r="I677" s="20"/>
      <c r="J677" s="244"/>
      <c r="K677" s="19"/>
      <c r="L677" s="19"/>
      <c r="M677" s="19"/>
      <c r="N677" s="19"/>
      <c r="O677" s="19"/>
      <c r="P677" s="19"/>
      <c r="Q677" s="19"/>
      <c r="R677" s="19"/>
      <c r="S677" s="19"/>
      <c r="T677" s="19"/>
      <c r="U677" s="19"/>
      <c r="V677" s="19"/>
      <c r="W677" s="19"/>
    </row>
    <row r="678" spans="1:23" ht="14.25" customHeight="1" x14ac:dyDescent="0.3">
      <c r="A678" s="19"/>
      <c r="B678" s="19"/>
      <c r="C678" s="19"/>
      <c r="D678" s="19"/>
      <c r="E678" s="19"/>
      <c r="F678" s="19"/>
      <c r="G678" s="19"/>
      <c r="H678" s="19"/>
      <c r="I678" s="20"/>
      <c r="J678" s="244"/>
      <c r="K678" s="19"/>
      <c r="L678" s="19"/>
      <c r="M678" s="19"/>
      <c r="N678" s="19"/>
      <c r="O678" s="19"/>
      <c r="P678" s="19"/>
      <c r="Q678" s="19"/>
      <c r="R678" s="19"/>
      <c r="S678" s="19"/>
      <c r="T678" s="19"/>
      <c r="U678" s="19"/>
      <c r="V678" s="19"/>
      <c r="W678" s="19"/>
    </row>
    <row r="679" spans="1:23" ht="14.25" customHeight="1" x14ac:dyDescent="0.3">
      <c r="A679" s="19"/>
      <c r="B679" s="19"/>
      <c r="C679" s="19"/>
      <c r="D679" s="19"/>
      <c r="E679" s="19"/>
      <c r="F679" s="19"/>
      <c r="G679" s="19"/>
      <c r="H679" s="19"/>
      <c r="I679" s="20"/>
      <c r="J679" s="244"/>
      <c r="K679" s="19"/>
      <c r="L679" s="19"/>
      <c r="M679" s="19"/>
      <c r="N679" s="19"/>
      <c r="O679" s="19"/>
      <c r="P679" s="19"/>
      <c r="Q679" s="19"/>
      <c r="R679" s="19"/>
      <c r="S679" s="19"/>
      <c r="T679" s="19"/>
      <c r="U679" s="19"/>
      <c r="V679" s="19"/>
      <c r="W679" s="19"/>
    </row>
    <row r="680" spans="1:23" ht="14.25" customHeight="1" x14ac:dyDescent="0.3">
      <c r="A680" s="19"/>
      <c r="B680" s="19"/>
      <c r="C680" s="19"/>
      <c r="D680" s="19"/>
      <c r="E680" s="19"/>
      <c r="F680" s="19"/>
      <c r="G680" s="19"/>
      <c r="H680" s="19"/>
      <c r="I680" s="20"/>
      <c r="J680" s="244"/>
      <c r="K680" s="19"/>
      <c r="L680" s="19"/>
      <c r="M680" s="19"/>
      <c r="N680" s="19"/>
      <c r="O680" s="19"/>
      <c r="P680" s="19"/>
      <c r="Q680" s="19"/>
      <c r="R680" s="19"/>
      <c r="S680" s="19"/>
      <c r="T680" s="19"/>
      <c r="U680" s="19"/>
      <c r="V680" s="19"/>
      <c r="W680" s="19"/>
    </row>
    <row r="681" spans="1:23" ht="14.25" customHeight="1" x14ac:dyDescent="0.3">
      <c r="A681" s="19"/>
      <c r="B681" s="19"/>
      <c r="C681" s="19"/>
      <c r="D681" s="19"/>
      <c r="E681" s="19"/>
      <c r="F681" s="19"/>
      <c r="G681" s="19"/>
      <c r="H681" s="19"/>
      <c r="I681" s="20"/>
      <c r="J681" s="244"/>
      <c r="K681" s="19"/>
      <c r="L681" s="19"/>
      <c r="M681" s="19"/>
      <c r="N681" s="19"/>
      <c r="O681" s="19"/>
      <c r="P681" s="19"/>
      <c r="Q681" s="19"/>
      <c r="R681" s="19"/>
      <c r="S681" s="19"/>
      <c r="T681" s="19"/>
      <c r="U681" s="19"/>
      <c r="V681" s="19"/>
      <c r="W681" s="19"/>
    </row>
    <row r="682" spans="1:23" ht="14.25" customHeight="1" x14ac:dyDescent="0.3">
      <c r="A682" s="19"/>
      <c r="B682" s="19"/>
      <c r="C682" s="19"/>
      <c r="D682" s="19"/>
      <c r="E682" s="19"/>
      <c r="F682" s="19"/>
      <c r="G682" s="19"/>
      <c r="H682" s="19"/>
      <c r="I682" s="20"/>
      <c r="J682" s="244"/>
      <c r="K682" s="19"/>
      <c r="L682" s="19"/>
      <c r="M682" s="19"/>
      <c r="N682" s="19"/>
      <c r="O682" s="19"/>
      <c r="P682" s="19"/>
      <c r="Q682" s="19"/>
      <c r="R682" s="19"/>
      <c r="S682" s="19"/>
      <c r="T682" s="19"/>
      <c r="U682" s="19"/>
      <c r="V682" s="19"/>
      <c r="W682" s="19"/>
    </row>
    <row r="683" spans="1:23" ht="14.25" customHeight="1" x14ac:dyDescent="0.3">
      <c r="A683" s="19"/>
      <c r="B683" s="19"/>
      <c r="C683" s="19"/>
      <c r="D683" s="19"/>
      <c r="E683" s="19"/>
      <c r="F683" s="19"/>
      <c r="G683" s="19"/>
      <c r="H683" s="19"/>
      <c r="I683" s="20"/>
      <c r="J683" s="244"/>
      <c r="K683" s="19"/>
      <c r="L683" s="19"/>
      <c r="M683" s="19"/>
      <c r="N683" s="19"/>
      <c r="O683" s="19"/>
      <c r="P683" s="19"/>
      <c r="Q683" s="19"/>
      <c r="R683" s="19"/>
      <c r="S683" s="19"/>
      <c r="T683" s="19"/>
      <c r="U683" s="19"/>
      <c r="V683" s="19"/>
      <c r="W683" s="19"/>
    </row>
    <row r="684" spans="1:23" ht="14.25" customHeight="1" x14ac:dyDescent="0.3">
      <c r="A684" s="19"/>
      <c r="B684" s="19"/>
      <c r="C684" s="19"/>
      <c r="D684" s="19"/>
      <c r="E684" s="19"/>
      <c r="F684" s="19"/>
      <c r="G684" s="19"/>
      <c r="H684" s="19"/>
      <c r="I684" s="20"/>
      <c r="J684" s="244"/>
      <c r="K684" s="19"/>
      <c r="L684" s="19"/>
      <c r="M684" s="19"/>
      <c r="N684" s="19"/>
      <c r="O684" s="19"/>
      <c r="P684" s="19"/>
      <c r="Q684" s="19"/>
      <c r="R684" s="19"/>
      <c r="S684" s="19"/>
      <c r="T684" s="19"/>
      <c r="U684" s="19"/>
      <c r="V684" s="19"/>
      <c r="W684" s="19"/>
    </row>
    <row r="685" spans="1:23" ht="14.25" customHeight="1" x14ac:dyDescent="0.3">
      <c r="A685" s="19"/>
      <c r="B685" s="19"/>
      <c r="C685" s="19"/>
      <c r="D685" s="19"/>
      <c r="E685" s="19"/>
      <c r="F685" s="19"/>
      <c r="G685" s="19"/>
      <c r="H685" s="19"/>
      <c r="I685" s="20"/>
      <c r="J685" s="244"/>
      <c r="K685" s="19"/>
      <c r="L685" s="19"/>
      <c r="M685" s="19"/>
      <c r="N685" s="19"/>
      <c r="O685" s="19"/>
      <c r="P685" s="19"/>
      <c r="Q685" s="19"/>
      <c r="R685" s="19"/>
      <c r="S685" s="19"/>
      <c r="T685" s="19"/>
      <c r="U685" s="19"/>
      <c r="V685" s="19"/>
      <c r="W685" s="19"/>
    </row>
    <row r="686" spans="1:23" ht="14.25" customHeight="1" x14ac:dyDescent="0.3">
      <c r="A686" s="19"/>
      <c r="B686" s="19"/>
      <c r="C686" s="19"/>
      <c r="D686" s="19"/>
      <c r="E686" s="19"/>
      <c r="F686" s="19"/>
      <c r="G686" s="19"/>
      <c r="H686" s="19"/>
      <c r="I686" s="20"/>
      <c r="J686" s="244"/>
      <c r="K686" s="19"/>
      <c r="L686" s="19"/>
      <c r="M686" s="19"/>
      <c r="N686" s="19"/>
      <c r="O686" s="19"/>
      <c r="P686" s="19"/>
      <c r="Q686" s="19"/>
      <c r="R686" s="19"/>
      <c r="S686" s="19"/>
      <c r="T686" s="19"/>
      <c r="U686" s="19"/>
      <c r="V686" s="19"/>
      <c r="W686" s="19"/>
    </row>
    <row r="687" spans="1:23" ht="14.25" customHeight="1" x14ac:dyDescent="0.3">
      <c r="A687" s="19"/>
      <c r="B687" s="19"/>
      <c r="C687" s="19"/>
      <c r="D687" s="19"/>
      <c r="E687" s="19"/>
      <c r="F687" s="19"/>
      <c r="G687" s="19"/>
      <c r="H687" s="19"/>
      <c r="I687" s="20"/>
      <c r="J687" s="244"/>
      <c r="K687" s="19"/>
      <c r="L687" s="19"/>
      <c r="M687" s="19"/>
      <c r="N687" s="19"/>
      <c r="O687" s="19"/>
      <c r="P687" s="19"/>
      <c r="Q687" s="19"/>
      <c r="R687" s="19"/>
      <c r="S687" s="19"/>
      <c r="T687" s="19"/>
      <c r="U687" s="19"/>
      <c r="V687" s="19"/>
      <c r="W687" s="19"/>
    </row>
    <row r="688" spans="1:23" ht="14.25" customHeight="1" x14ac:dyDescent="0.3">
      <c r="A688" s="19"/>
      <c r="B688" s="19"/>
      <c r="C688" s="19"/>
      <c r="D688" s="19"/>
      <c r="E688" s="19"/>
      <c r="F688" s="19"/>
      <c r="G688" s="19"/>
      <c r="H688" s="19"/>
      <c r="I688" s="20"/>
      <c r="J688" s="244"/>
      <c r="K688" s="19"/>
      <c r="L688" s="19"/>
      <c r="M688" s="19"/>
      <c r="N688" s="19"/>
      <c r="O688" s="19"/>
      <c r="P688" s="19"/>
      <c r="Q688" s="19"/>
      <c r="R688" s="19"/>
      <c r="S688" s="19"/>
      <c r="T688" s="19"/>
      <c r="U688" s="19"/>
      <c r="V688" s="19"/>
      <c r="W688" s="19"/>
    </row>
    <row r="689" spans="1:23" ht="14.25" customHeight="1" x14ac:dyDescent="0.3">
      <c r="A689" s="19"/>
      <c r="B689" s="19"/>
      <c r="C689" s="19"/>
      <c r="D689" s="19"/>
      <c r="E689" s="19"/>
      <c r="F689" s="19"/>
      <c r="G689" s="19"/>
      <c r="H689" s="19"/>
      <c r="I689" s="20"/>
      <c r="J689" s="244"/>
      <c r="K689" s="19"/>
      <c r="L689" s="19"/>
      <c r="M689" s="19"/>
      <c r="N689" s="19"/>
      <c r="O689" s="19"/>
      <c r="P689" s="19"/>
      <c r="Q689" s="19"/>
      <c r="R689" s="19"/>
      <c r="S689" s="19"/>
      <c r="T689" s="19"/>
      <c r="U689" s="19"/>
      <c r="V689" s="19"/>
      <c r="W689" s="19"/>
    </row>
    <row r="690" spans="1:23" ht="14.25" customHeight="1" x14ac:dyDescent="0.3">
      <c r="A690" s="19"/>
      <c r="B690" s="19"/>
      <c r="C690" s="19"/>
      <c r="D690" s="19"/>
      <c r="E690" s="19"/>
      <c r="F690" s="19"/>
      <c r="G690" s="19"/>
      <c r="H690" s="19"/>
      <c r="I690" s="20"/>
      <c r="J690" s="244"/>
      <c r="K690" s="19"/>
      <c r="L690" s="19"/>
      <c r="M690" s="19"/>
      <c r="N690" s="19"/>
      <c r="O690" s="19"/>
      <c r="P690" s="19"/>
      <c r="Q690" s="19"/>
      <c r="R690" s="19"/>
      <c r="S690" s="19"/>
      <c r="T690" s="19"/>
      <c r="U690" s="19"/>
      <c r="V690" s="19"/>
      <c r="W690" s="19"/>
    </row>
    <row r="691" spans="1:23" ht="14.25" customHeight="1" x14ac:dyDescent="0.3">
      <c r="A691" s="19"/>
      <c r="B691" s="19"/>
      <c r="C691" s="19"/>
      <c r="D691" s="19"/>
      <c r="E691" s="19"/>
      <c r="F691" s="19"/>
      <c r="G691" s="19"/>
      <c r="H691" s="19"/>
      <c r="I691" s="20"/>
      <c r="J691" s="244"/>
      <c r="K691" s="19"/>
      <c r="L691" s="19"/>
      <c r="M691" s="19"/>
      <c r="N691" s="19"/>
      <c r="O691" s="19"/>
      <c r="P691" s="19"/>
      <c r="Q691" s="19"/>
      <c r="R691" s="19"/>
      <c r="S691" s="19"/>
      <c r="T691" s="19"/>
      <c r="U691" s="19"/>
      <c r="V691" s="19"/>
      <c r="W691" s="19"/>
    </row>
    <row r="692" spans="1:23" ht="14.25" customHeight="1" x14ac:dyDescent="0.3">
      <c r="A692" s="19"/>
      <c r="B692" s="19"/>
      <c r="C692" s="19"/>
      <c r="D692" s="19"/>
      <c r="E692" s="19"/>
      <c r="F692" s="19"/>
      <c r="G692" s="19"/>
      <c r="H692" s="19"/>
      <c r="I692" s="20"/>
      <c r="J692" s="244"/>
      <c r="K692" s="19"/>
      <c r="L692" s="19"/>
      <c r="M692" s="19"/>
      <c r="N692" s="19"/>
      <c r="O692" s="19"/>
      <c r="P692" s="19"/>
      <c r="Q692" s="19"/>
      <c r="R692" s="19"/>
      <c r="S692" s="19"/>
      <c r="T692" s="19"/>
      <c r="U692" s="19"/>
      <c r="V692" s="19"/>
      <c r="W692" s="19"/>
    </row>
    <row r="693" spans="1:23" ht="14.25" customHeight="1" x14ac:dyDescent="0.3">
      <c r="A693" s="19"/>
      <c r="B693" s="19"/>
      <c r="C693" s="19"/>
      <c r="D693" s="19"/>
      <c r="E693" s="19"/>
      <c r="F693" s="19"/>
      <c r="G693" s="19"/>
      <c r="H693" s="19"/>
      <c r="I693" s="20"/>
      <c r="J693" s="244"/>
      <c r="K693" s="19"/>
      <c r="L693" s="19"/>
      <c r="M693" s="19"/>
      <c r="N693" s="19"/>
      <c r="O693" s="19"/>
      <c r="P693" s="19"/>
      <c r="Q693" s="19"/>
      <c r="R693" s="19"/>
      <c r="S693" s="19"/>
      <c r="T693" s="19"/>
      <c r="U693" s="19"/>
      <c r="V693" s="19"/>
      <c r="W693" s="19"/>
    </row>
    <row r="694" spans="1:23" ht="14.25" customHeight="1" x14ac:dyDescent="0.3">
      <c r="A694" s="19"/>
      <c r="B694" s="19"/>
      <c r="C694" s="19"/>
      <c r="D694" s="19"/>
      <c r="E694" s="19"/>
      <c r="F694" s="19"/>
      <c r="G694" s="19"/>
      <c r="H694" s="19"/>
      <c r="I694" s="20"/>
      <c r="J694" s="244"/>
      <c r="K694" s="19"/>
      <c r="L694" s="19"/>
      <c r="M694" s="19"/>
      <c r="N694" s="19"/>
      <c r="O694" s="19"/>
      <c r="P694" s="19"/>
      <c r="Q694" s="19"/>
      <c r="R694" s="19"/>
      <c r="S694" s="19"/>
      <c r="T694" s="19"/>
      <c r="U694" s="19"/>
      <c r="V694" s="19"/>
      <c r="W694" s="19"/>
    </row>
    <row r="695" spans="1:23" ht="14.25" customHeight="1" x14ac:dyDescent="0.3">
      <c r="A695" s="19"/>
      <c r="B695" s="19"/>
      <c r="C695" s="19"/>
      <c r="D695" s="19"/>
      <c r="E695" s="19"/>
      <c r="F695" s="19"/>
      <c r="G695" s="19"/>
      <c r="H695" s="19"/>
      <c r="I695" s="20"/>
      <c r="J695" s="244"/>
      <c r="K695" s="19"/>
      <c r="L695" s="19"/>
      <c r="M695" s="19"/>
      <c r="N695" s="19"/>
      <c r="O695" s="19"/>
      <c r="P695" s="19"/>
      <c r="Q695" s="19"/>
      <c r="R695" s="19"/>
      <c r="S695" s="19"/>
      <c r="T695" s="19"/>
      <c r="U695" s="19"/>
      <c r="V695" s="19"/>
      <c r="W695" s="19"/>
    </row>
    <row r="696" spans="1:23" ht="14.25" customHeight="1" x14ac:dyDescent="0.3">
      <c r="A696" s="19"/>
      <c r="B696" s="19"/>
      <c r="C696" s="19"/>
      <c r="D696" s="19"/>
      <c r="E696" s="19"/>
      <c r="F696" s="19"/>
      <c r="G696" s="19"/>
      <c r="H696" s="19"/>
      <c r="I696" s="20"/>
      <c r="J696" s="244"/>
      <c r="K696" s="19"/>
      <c r="L696" s="19"/>
      <c r="M696" s="19"/>
      <c r="N696" s="19"/>
      <c r="O696" s="19"/>
      <c r="P696" s="19"/>
      <c r="Q696" s="19"/>
      <c r="R696" s="19"/>
      <c r="S696" s="19"/>
      <c r="T696" s="19"/>
      <c r="U696" s="19"/>
      <c r="V696" s="19"/>
      <c r="W696" s="19"/>
    </row>
    <row r="697" spans="1:23" ht="14.25" customHeight="1" x14ac:dyDescent="0.3">
      <c r="A697" s="19"/>
      <c r="B697" s="19"/>
      <c r="C697" s="19"/>
      <c r="D697" s="19"/>
      <c r="E697" s="19"/>
      <c r="F697" s="19"/>
      <c r="G697" s="19"/>
      <c r="H697" s="19"/>
      <c r="I697" s="20"/>
      <c r="J697" s="244"/>
      <c r="K697" s="19"/>
      <c r="L697" s="19"/>
      <c r="M697" s="19"/>
      <c r="N697" s="19"/>
      <c r="O697" s="19"/>
      <c r="P697" s="19"/>
      <c r="Q697" s="19"/>
      <c r="R697" s="19"/>
      <c r="S697" s="19"/>
      <c r="T697" s="19"/>
      <c r="U697" s="19"/>
      <c r="V697" s="19"/>
      <c r="W697" s="19"/>
    </row>
    <row r="698" spans="1:23" ht="14.25" customHeight="1" x14ac:dyDescent="0.3">
      <c r="A698" s="19"/>
      <c r="B698" s="19"/>
      <c r="C698" s="19"/>
      <c r="D698" s="19"/>
      <c r="E698" s="19"/>
      <c r="F698" s="19"/>
      <c r="G698" s="19"/>
      <c r="H698" s="19"/>
      <c r="I698" s="20"/>
      <c r="J698" s="244"/>
      <c r="K698" s="19"/>
      <c r="L698" s="19"/>
      <c r="M698" s="19"/>
      <c r="N698" s="19"/>
      <c r="O698" s="19"/>
      <c r="P698" s="19"/>
      <c r="Q698" s="19"/>
      <c r="R698" s="19"/>
      <c r="S698" s="19"/>
      <c r="T698" s="19"/>
      <c r="U698" s="19"/>
      <c r="V698" s="19"/>
      <c r="W698" s="19"/>
    </row>
    <row r="699" spans="1:23" ht="14.25" customHeight="1" x14ac:dyDescent="0.3">
      <c r="A699" s="19"/>
      <c r="B699" s="19"/>
      <c r="C699" s="19"/>
      <c r="D699" s="19"/>
      <c r="E699" s="19"/>
      <c r="F699" s="19"/>
      <c r="G699" s="19"/>
      <c r="H699" s="19"/>
      <c r="I699" s="20"/>
      <c r="J699" s="244"/>
      <c r="K699" s="19"/>
      <c r="L699" s="19"/>
      <c r="M699" s="19"/>
      <c r="N699" s="19"/>
      <c r="O699" s="19"/>
      <c r="P699" s="19"/>
      <c r="Q699" s="19"/>
      <c r="R699" s="19"/>
      <c r="S699" s="19"/>
      <c r="T699" s="19"/>
      <c r="U699" s="19"/>
      <c r="V699" s="19"/>
      <c r="W699" s="19"/>
    </row>
    <row r="700" spans="1:23" ht="14.25" customHeight="1" x14ac:dyDescent="0.3">
      <c r="A700" s="19"/>
      <c r="B700" s="19"/>
      <c r="C700" s="19"/>
      <c r="D700" s="19"/>
      <c r="E700" s="19"/>
      <c r="F700" s="19"/>
      <c r="G700" s="19"/>
      <c r="H700" s="19"/>
      <c r="I700" s="20"/>
      <c r="J700" s="244"/>
      <c r="K700" s="19"/>
      <c r="L700" s="19"/>
      <c r="M700" s="19"/>
      <c r="N700" s="19"/>
      <c r="O700" s="19"/>
      <c r="P700" s="19"/>
      <c r="Q700" s="19"/>
      <c r="R700" s="19"/>
      <c r="S700" s="19"/>
      <c r="T700" s="19"/>
      <c r="U700" s="19"/>
      <c r="V700" s="19"/>
      <c r="W700" s="19"/>
    </row>
    <row r="701" spans="1:23" ht="14.25" customHeight="1" x14ac:dyDescent="0.3">
      <c r="A701" s="19"/>
      <c r="B701" s="19"/>
      <c r="C701" s="19"/>
      <c r="D701" s="19"/>
      <c r="E701" s="19"/>
      <c r="F701" s="19"/>
      <c r="G701" s="19"/>
      <c r="H701" s="19"/>
      <c r="I701" s="20"/>
      <c r="J701" s="244"/>
      <c r="K701" s="19"/>
      <c r="L701" s="19"/>
      <c r="M701" s="19"/>
      <c r="N701" s="19"/>
      <c r="O701" s="19"/>
      <c r="P701" s="19"/>
      <c r="Q701" s="19"/>
      <c r="R701" s="19"/>
      <c r="S701" s="19"/>
      <c r="T701" s="19"/>
      <c r="U701" s="19"/>
      <c r="V701" s="19"/>
      <c r="W701" s="19"/>
    </row>
    <row r="702" spans="1:23" ht="14.25" customHeight="1" x14ac:dyDescent="0.3">
      <c r="A702" s="19"/>
      <c r="B702" s="19"/>
      <c r="C702" s="19"/>
      <c r="D702" s="19"/>
      <c r="E702" s="19"/>
      <c r="F702" s="19"/>
      <c r="G702" s="19"/>
      <c r="H702" s="19"/>
      <c r="I702" s="20"/>
      <c r="J702" s="244"/>
      <c r="K702" s="19"/>
      <c r="L702" s="19"/>
      <c r="M702" s="19"/>
      <c r="N702" s="19"/>
      <c r="O702" s="19"/>
      <c r="P702" s="19"/>
      <c r="Q702" s="19"/>
      <c r="R702" s="19"/>
      <c r="S702" s="19"/>
      <c r="T702" s="19"/>
      <c r="U702" s="19"/>
      <c r="V702" s="19"/>
      <c r="W702" s="19"/>
    </row>
    <row r="703" spans="1:23" ht="14.25" customHeight="1" x14ac:dyDescent="0.3">
      <c r="A703" s="19"/>
      <c r="B703" s="19"/>
      <c r="C703" s="19"/>
      <c r="D703" s="19"/>
      <c r="E703" s="19"/>
      <c r="F703" s="19"/>
      <c r="G703" s="19"/>
      <c r="H703" s="19"/>
      <c r="I703" s="20"/>
      <c r="J703" s="244"/>
      <c r="K703" s="19"/>
      <c r="L703" s="19"/>
      <c r="M703" s="19"/>
      <c r="N703" s="19"/>
      <c r="O703" s="19"/>
      <c r="P703" s="19"/>
      <c r="Q703" s="19"/>
      <c r="R703" s="19"/>
      <c r="S703" s="19"/>
      <c r="T703" s="19"/>
      <c r="U703" s="19"/>
      <c r="V703" s="19"/>
      <c r="W703" s="19"/>
    </row>
    <row r="704" spans="1:23" ht="14.25" customHeight="1" x14ac:dyDescent="0.3">
      <c r="A704" s="19"/>
      <c r="B704" s="19"/>
      <c r="C704" s="19"/>
      <c r="D704" s="19"/>
      <c r="E704" s="19"/>
      <c r="F704" s="19"/>
      <c r="G704" s="19"/>
      <c r="H704" s="19"/>
      <c r="I704" s="20"/>
      <c r="J704" s="244"/>
      <c r="K704" s="19"/>
      <c r="L704" s="19"/>
      <c r="M704" s="19"/>
      <c r="N704" s="19"/>
      <c r="O704" s="19"/>
      <c r="P704" s="19"/>
      <c r="Q704" s="19"/>
      <c r="R704" s="19"/>
      <c r="S704" s="19"/>
      <c r="T704" s="19"/>
      <c r="U704" s="19"/>
      <c r="V704" s="19"/>
      <c r="W704" s="19"/>
    </row>
    <row r="705" spans="1:23" ht="14.25" customHeight="1" x14ac:dyDescent="0.3">
      <c r="A705" s="19"/>
      <c r="B705" s="19"/>
      <c r="C705" s="19"/>
      <c r="D705" s="19"/>
      <c r="E705" s="19"/>
      <c r="F705" s="19"/>
      <c r="G705" s="19"/>
      <c r="H705" s="19"/>
      <c r="I705" s="20"/>
      <c r="J705" s="244"/>
      <c r="K705" s="19"/>
      <c r="L705" s="19"/>
      <c r="M705" s="19"/>
      <c r="N705" s="19"/>
      <c r="O705" s="19"/>
      <c r="P705" s="19"/>
      <c r="Q705" s="19"/>
      <c r="R705" s="19"/>
      <c r="S705" s="19"/>
      <c r="T705" s="19"/>
      <c r="U705" s="19"/>
      <c r="V705" s="19"/>
      <c r="W705" s="19"/>
    </row>
    <row r="706" spans="1:23" ht="14.25" customHeight="1" x14ac:dyDescent="0.3">
      <c r="A706" s="19"/>
      <c r="B706" s="19"/>
      <c r="C706" s="19"/>
      <c r="D706" s="19"/>
      <c r="E706" s="19"/>
      <c r="F706" s="19"/>
      <c r="G706" s="19"/>
      <c r="H706" s="19"/>
      <c r="I706" s="20"/>
      <c r="J706" s="244"/>
      <c r="K706" s="19"/>
      <c r="L706" s="19"/>
      <c r="M706" s="19"/>
      <c r="N706" s="19"/>
      <c r="O706" s="19"/>
      <c r="P706" s="19"/>
      <c r="Q706" s="19"/>
      <c r="R706" s="19"/>
      <c r="S706" s="19"/>
      <c r="T706" s="19"/>
      <c r="U706" s="19"/>
      <c r="V706" s="19"/>
      <c r="W706" s="19"/>
    </row>
    <row r="707" spans="1:23" ht="14.25" customHeight="1" x14ac:dyDescent="0.3">
      <c r="A707" s="19"/>
      <c r="B707" s="19"/>
      <c r="C707" s="19"/>
      <c r="D707" s="19"/>
      <c r="E707" s="19"/>
      <c r="F707" s="19"/>
      <c r="G707" s="19"/>
      <c r="H707" s="19"/>
      <c r="I707" s="20"/>
      <c r="J707" s="244"/>
      <c r="K707" s="19"/>
      <c r="L707" s="19"/>
      <c r="M707" s="19"/>
      <c r="N707" s="19"/>
      <c r="O707" s="19"/>
      <c r="P707" s="19"/>
      <c r="Q707" s="19"/>
      <c r="R707" s="19"/>
      <c r="S707" s="19"/>
      <c r="T707" s="19"/>
      <c r="U707" s="19"/>
      <c r="V707" s="19"/>
      <c r="W707" s="19"/>
    </row>
    <row r="708" spans="1:23" ht="14.25" customHeight="1" x14ac:dyDescent="0.3">
      <c r="A708" s="19"/>
      <c r="B708" s="19"/>
      <c r="C708" s="19"/>
      <c r="D708" s="19"/>
      <c r="E708" s="19"/>
      <c r="F708" s="19"/>
      <c r="G708" s="19"/>
      <c r="H708" s="19"/>
      <c r="I708" s="20"/>
      <c r="J708" s="244"/>
      <c r="K708" s="19"/>
      <c r="L708" s="19"/>
      <c r="M708" s="19"/>
      <c r="N708" s="19"/>
      <c r="O708" s="19"/>
      <c r="P708" s="19"/>
      <c r="Q708" s="19"/>
      <c r="R708" s="19"/>
      <c r="S708" s="19"/>
      <c r="T708" s="19"/>
      <c r="U708" s="19"/>
      <c r="V708" s="19"/>
      <c r="W708" s="19"/>
    </row>
    <row r="709" spans="1:23" ht="14.25" customHeight="1" x14ac:dyDescent="0.3">
      <c r="A709" s="19"/>
      <c r="B709" s="19"/>
      <c r="C709" s="19"/>
      <c r="D709" s="19"/>
      <c r="E709" s="19"/>
      <c r="F709" s="19"/>
      <c r="G709" s="19"/>
      <c r="H709" s="19"/>
      <c r="I709" s="20"/>
      <c r="J709" s="244"/>
      <c r="K709" s="19"/>
      <c r="L709" s="19"/>
      <c r="M709" s="19"/>
      <c r="N709" s="19"/>
      <c r="O709" s="19"/>
      <c r="P709" s="19"/>
      <c r="Q709" s="19"/>
      <c r="R709" s="19"/>
      <c r="S709" s="19"/>
      <c r="T709" s="19"/>
      <c r="U709" s="19"/>
      <c r="V709" s="19"/>
      <c r="W709" s="19"/>
    </row>
    <row r="710" spans="1:23" ht="14.25" customHeight="1" x14ac:dyDescent="0.3">
      <c r="A710" s="19"/>
      <c r="B710" s="19"/>
      <c r="C710" s="19"/>
      <c r="D710" s="19"/>
      <c r="E710" s="19"/>
      <c r="F710" s="19"/>
      <c r="G710" s="19"/>
      <c r="H710" s="19"/>
      <c r="I710" s="20"/>
      <c r="J710" s="244"/>
      <c r="K710" s="19"/>
      <c r="L710" s="19"/>
      <c r="M710" s="19"/>
      <c r="N710" s="19"/>
      <c r="O710" s="19"/>
      <c r="P710" s="19"/>
      <c r="Q710" s="19"/>
      <c r="R710" s="19"/>
      <c r="S710" s="19"/>
      <c r="T710" s="19"/>
      <c r="U710" s="19"/>
      <c r="V710" s="19"/>
      <c r="W710" s="19"/>
    </row>
    <row r="711" spans="1:23" ht="14.25" customHeight="1" x14ac:dyDescent="0.3">
      <c r="A711" s="19"/>
      <c r="B711" s="19"/>
      <c r="C711" s="19"/>
      <c r="D711" s="19"/>
      <c r="E711" s="19"/>
      <c r="F711" s="19"/>
      <c r="G711" s="19"/>
      <c r="H711" s="19"/>
      <c r="I711" s="20"/>
      <c r="J711" s="244"/>
      <c r="K711" s="19"/>
      <c r="L711" s="19"/>
      <c r="M711" s="19"/>
      <c r="N711" s="19"/>
      <c r="O711" s="19"/>
      <c r="P711" s="19"/>
      <c r="Q711" s="19"/>
      <c r="R711" s="19"/>
      <c r="S711" s="19"/>
      <c r="T711" s="19"/>
      <c r="U711" s="19"/>
      <c r="V711" s="19"/>
      <c r="W711" s="19"/>
    </row>
    <row r="712" spans="1:23" ht="14.25" customHeight="1" x14ac:dyDescent="0.3">
      <c r="A712" s="19"/>
      <c r="B712" s="19"/>
      <c r="C712" s="19"/>
      <c r="D712" s="19"/>
      <c r="E712" s="19"/>
      <c r="F712" s="19"/>
      <c r="G712" s="19"/>
      <c r="H712" s="19"/>
      <c r="I712" s="20"/>
      <c r="J712" s="244"/>
      <c r="K712" s="19"/>
      <c r="L712" s="19"/>
      <c r="M712" s="19"/>
      <c r="N712" s="19"/>
      <c r="O712" s="19"/>
      <c r="P712" s="19"/>
      <c r="Q712" s="19"/>
      <c r="R712" s="19"/>
      <c r="S712" s="19"/>
      <c r="T712" s="19"/>
      <c r="U712" s="19"/>
      <c r="V712" s="19"/>
      <c r="W712" s="19"/>
    </row>
    <row r="713" spans="1:23" ht="14.25" customHeight="1" x14ac:dyDescent="0.3">
      <c r="A713" s="19"/>
      <c r="B713" s="19"/>
      <c r="C713" s="19"/>
      <c r="D713" s="19"/>
      <c r="E713" s="19"/>
      <c r="F713" s="19"/>
      <c r="G713" s="19"/>
      <c r="H713" s="19"/>
      <c r="I713" s="20"/>
      <c r="J713" s="244"/>
      <c r="K713" s="19"/>
      <c r="L713" s="19"/>
      <c r="M713" s="19"/>
      <c r="N713" s="19"/>
      <c r="O713" s="19"/>
      <c r="P713" s="19"/>
      <c r="Q713" s="19"/>
      <c r="R713" s="19"/>
      <c r="S713" s="19"/>
      <c r="T713" s="19"/>
      <c r="U713" s="19"/>
      <c r="V713" s="19"/>
      <c r="W713" s="19"/>
    </row>
    <row r="714" spans="1:23" ht="14.25" customHeight="1" x14ac:dyDescent="0.3">
      <c r="A714" s="19"/>
      <c r="B714" s="19"/>
      <c r="C714" s="19"/>
      <c r="D714" s="19"/>
      <c r="E714" s="19"/>
      <c r="F714" s="19"/>
      <c r="G714" s="19"/>
      <c r="H714" s="19"/>
      <c r="I714" s="20"/>
      <c r="J714" s="244"/>
      <c r="K714" s="19"/>
      <c r="L714" s="19"/>
      <c r="M714" s="19"/>
      <c r="N714" s="19"/>
      <c r="O714" s="19"/>
      <c r="P714" s="19"/>
      <c r="Q714" s="19"/>
      <c r="R714" s="19"/>
      <c r="S714" s="19"/>
      <c r="T714" s="19"/>
      <c r="U714" s="19"/>
      <c r="V714" s="19"/>
      <c r="W714" s="19"/>
    </row>
    <row r="715" spans="1:23" ht="14.25" customHeight="1" x14ac:dyDescent="0.3">
      <c r="A715" s="19"/>
      <c r="B715" s="19"/>
      <c r="C715" s="19"/>
      <c r="D715" s="19"/>
      <c r="E715" s="19"/>
      <c r="F715" s="19"/>
      <c r="G715" s="19"/>
      <c r="H715" s="19"/>
      <c r="I715" s="20"/>
      <c r="J715" s="244"/>
      <c r="K715" s="19"/>
      <c r="L715" s="19"/>
      <c r="M715" s="19"/>
      <c r="N715" s="19"/>
      <c r="O715" s="19"/>
      <c r="P715" s="19"/>
      <c r="Q715" s="19"/>
      <c r="R715" s="19"/>
      <c r="S715" s="19"/>
      <c r="T715" s="19"/>
      <c r="U715" s="19"/>
      <c r="V715" s="19"/>
      <c r="W715" s="19"/>
    </row>
    <row r="716" spans="1:23" ht="14.25" customHeight="1" x14ac:dyDescent="0.3">
      <c r="A716" s="19"/>
      <c r="B716" s="19"/>
      <c r="C716" s="19"/>
      <c r="D716" s="19"/>
      <c r="E716" s="19"/>
      <c r="F716" s="19"/>
      <c r="G716" s="19"/>
      <c r="H716" s="19"/>
      <c r="I716" s="20"/>
      <c r="J716" s="244"/>
      <c r="K716" s="19"/>
      <c r="L716" s="19"/>
      <c r="M716" s="19"/>
      <c r="N716" s="19"/>
      <c r="O716" s="19"/>
      <c r="P716" s="19"/>
      <c r="Q716" s="19"/>
      <c r="R716" s="19"/>
      <c r="S716" s="19"/>
      <c r="T716" s="19"/>
      <c r="U716" s="19"/>
      <c r="V716" s="19"/>
      <c r="W716" s="19"/>
    </row>
    <row r="717" spans="1:23" ht="14.25" customHeight="1" x14ac:dyDescent="0.3">
      <c r="A717" s="19"/>
      <c r="B717" s="19"/>
      <c r="C717" s="19"/>
      <c r="D717" s="19"/>
      <c r="E717" s="19"/>
      <c r="F717" s="19"/>
      <c r="G717" s="19"/>
      <c r="H717" s="19"/>
      <c r="I717" s="20"/>
      <c r="J717" s="244"/>
      <c r="K717" s="19"/>
      <c r="L717" s="19"/>
      <c r="M717" s="19"/>
      <c r="N717" s="19"/>
      <c r="O717" s="19"/>
      <c r="P717" s="19"/>
      <c r="Q717" s="19"/>
      <c r="R717" s="19"/>
      <c r="S717" s="19"/>
      <c r="T717" s="19"/>
      <c r="U717" s="19"/>
      <c r="V717" s="19"/>
      <c r="W717" s="19"/>
    </row>
    <row r="718" spans="1:23" ht="14.25" customHeight="1" x14ac:dyDescent="0.3">
      <c r="A718" s="19"/>
      <c r="B718" s="19"/>
      <c r="C718" s="19"/>
      <c r="D718" s="19"/>
      <c r="E718" s="19"/>
      <c r="F718" s="19"/>
      <c r="G718" s="19"/>
      <c r="H718" s="19"/>
      <c r="I718" s="20"/>
      <c r="J718" s="244"/>
      <c r="K718" s="19"/>
      <c r="L718" s="19"/>
      <c r="M718" s="19"/>
      <c r="N718" s="19"/>
      <c r="O718" s="19"/>
      <c r="P718" s="19"/>
      <c r="Q718" s="19"/>
      <c r="R718" s="19"/>
      <c r="S718" s="19"/>
      <c r="T718" s="19"/>
      <c r="U718" s="19"/>
      <c r="V718" s="19"/>
      <c r="W718" s="19"/>
    </row>
    <row r="719" spans="1:23" ht="14.25" customHeight="1" x14ac:dyDescent="0.3">
      <c r="A719" s="19"/>
      <c r="B719" s="19"/>
      <c r="C719" s="19"/>
      <c r="D719" s="19"/>
      <c r="E719" s="19"/>
      <c r="F719" s="19"/>
      <c r="G719" s="19"/>
      <c r="H719" s="19"/>
      <c r="I719" s="20"/>
      <c r="J719" s="244"/>
      <c r="K719" s="19"/>
      <c r="L719" s="19"/>
      <c r="M719" s="19"/>
      <c r="N719" s="19"/>
      <c r="O719" s="19"/>
      <c r="P719" s="19"/>
      <c r="Q719" s="19"/>
      <c r="R719" s="19"/>
      <c r="S719" s="19"/>
      <c r="T719" s="19"/>
      <c r="U719" s="19"/>
      <c r="V719" s="19"/>
      <c r="W719" s="19"/>
    </row>
    <row r="720" spans="1:23" ht="14.25" customHeight="1" x14ac:dyDescent="0.3">
      <c r="A720" s="19"/>
      <c r="B720" s="19"/>
      <c r="C720" s="19"/>
      <c r="D720" s="19"/>
      <c r="E720" s="19"/>
      <c r="F720" s="19"/>
      <c r="G720" s="19"/>
      <c r="H720" s="19"/>
      <c r="I720" s="20"/>
      <c r="J720" s="244"/>
      <c r="K720" s="19"/>
      <c r="L720" s="19"/>
      <c r="M720" s="19"/>
      <c r="N720" s="19"/>
      <c r="O720" s="19"/>
      <c r="P720" s="19"/>
      <c r="Q720" s="19"/>
      <c r="R720" s="19"/>
      <c r="S720" s="19"/>
      <c r="T720" s="19"/>
      <c r="U720" s="19"/>
      <c r="V720" s="19"/>
      <c r="W720" s="19"/>
    </row>
    <row r="721" spans="1:23" ht="14.25" customHeight="1" x14ac:dyDescent="0.3">
      <c r="A721" s="19"/>
      <c r="B721" s="19"/>
      <c r="C721" s="19"/>
      <c r="D721" s="19"/>
      <c r="E721" s="19"/>
      <c r="F721" s="19"/>
      <c r="G721" s="19"/>
      <c r="H721" s="19"/>
      <c r="I721" s="20"/>
      <c r="J721" s="244"/>
      <c r="K721" s="19"/>
      <c r="L721" s="19"/>
      <c r="M721" s="19"/>
      <c r="N721" s="19"/>
      <c r="O721" s="19"/>
      <c r="P721" s="19"/>
      <c r="Q721" s="19"/>
      <c r="R721" s="19"/>
      <c r="S721" s="19"/>
      <c r="T721" s="19"/>
      <c r="U721" s="19"/>
      <c r="V721" s="19"/>
      <c r="W721" s="19"/>
    </row>
    <row r="722" spans="1:23" ht="14.25" customHeight="1" x14ac:dyDescent="0.3">
      <c r="A722" s="19"/>
      <c r="B722" s="19"/>
      <c r="C722" s="19"/>
      <c r="D722" s="19"/>
      <c r="E722" s="19"/>
      <c r="F722" s="19"/>
      <c r="G722" s="19"/>
      <c r="H722" s="19"/>
      <c r="I722" s="20"/>
      <c r="J722" s="244"/>
      <c r="K722" s="19"/>
      <c r="L722" s="19"/>
      <c r="M722" s="19"/>
      <c r="N722" s="19"/>
      <c r="O722" s="19"/>
      <c r="P722" s="19"/>
      <c r="Q722" s="19"/>
      <c r="R722" s="19"/>
      <c r="S722" s="19"/>
      <c r="T722" s="19"/>
      <c r="U722" s="19"/>
      <c r="V722" s="19"/>
      <c r="W722" s="19"/>
    </row>
    <row r="723" spans="1:23" ht="14.25" customHeight="1" x14ac:dyDescent="0.3">
      <c r="A723" s="19"/>
      <c r="B723" s="19"/>
      <c r="C723" s="19"/>
      <c r="D723" s="19"/>
      <c r="E723" s="19"/>
      <c r="F723" s="19"/>
      <c r="G723" s="19"/>
      <c r="H723" s="19"/>
      <c r="I723" s="20"/>
      <c r="J723" s="244"/>
      <c r="K723" s="19"/>
      <c r="L723" s="19"/>
      <c r="M723" s="19"/>
      <c r="N723" s="19"/>
      <c r="O723" s="19"/>
      <c r="P723" s="19"/>
      <c r="Q723" s="19"/>
      <c r="R723" s="19"/>
      <c r="S723" s="19"/>
      <c r="T723" s="19"/>
      <c r="U723" s="19"/>
      <c r="V723" s="19"/>
      <c r="W723" s="19"/>
    </row>
    <row r="724" spans="1:23" ht="14.25" customHeight="1" x14ac:dyDescent="0.3">
      <c r="A724" s="19"/>
      <c r="B724" s="19"/>
      <c r="C724" s="19"/>
      <c r="D724" s="19"/>
      <c r="E724" s="19"/>
      <c r="F724" s="19"/>
      <c r="G724" s="19"/>
      <c r="H724" s="19"/>
      <c r="I724" s="20"/>
      <c r="J724" s="244"/>
      <c r="K724" s="19"/>
      <c r="L724" s="19"/>
      <c r="M724" s="19"/>
      <c r="N724" s="19"/>
      <c r="O724" s="19"/>
      <c r="P724" s="19"/>
      <c r="Q724" s="19"/>
      <c r="R724" s="19"/>
      <c r="S724" s="19"/>
      <c r="T724" s="19"/>
      <c r="U724" s="19"/>
      <c r="V724" s="19"/>
      <c r="W724" s="19"/>
    </row>
    <row r="725" spans="1:23" ht="14.25" customHeight="1" x14ac:dyDescent="0.3">
      <c r="A725" s="19"/>
      <c r="B725" s="19"/>
      <c r="C725" s="19"/>
      <c r="D725" s="19"/>
      <c r="E725" s="19"/>
      <c r="F725" s="19"/>
      <c r="G725" s="19"/>
      <c r="H725" s="19"/>
      <c r="I725" s="20"/>
      <c r="J725" s="244"/>
      <c r="K725" s="19"/>
      <c r="L725" s="19"/>
      <c r="M725" s="19"/>
      <c r="N725" s="19"/>
      <c r="O725" s="19"/>
      <c r="P725" s="19"/>
      <c r="Q725" s="19"/>
      <c r="R725" s="19"/>
      <c r="S725" s="19"/>
      <c r="T725" s="19"/>
      <c r="U725" s="19"/>
      <c r="V725" s="19"/>
      <c r="W725" s="19"/>
    </row>
    <row r="726" spans="1:23" ht="14.25" customHeight="1" x14ac:dyDescent="0.3">
      <c r="A726" s="19"/>
      <c r="B726" s="19"/>
      <c r="C726" s="19"/>
      <c r="D726" s="19"/>
      <c r="E726" s="19"/>
      <c r="F726" s="19"/>
      <c r="G726" s="19"/>
      <c r="H726" s="19"/>
      <c r="I726" s="20"/>
      <c r="J726" s="244"/>
      <c r="K726" s="19"/>
      <c r="L726" s="19"/>
      <c r="M726" s="19"/>
      <c r="N726" s="19"/>
      <c r="O726" s="19"/>
      <c r="P726" s="19"/>
      <c r="Q726" s="19"/>
      <c r="R726" s="19"/>
      <c r="S726" s="19"/>
      <c r="T726" s="19"/>
      <c r="U726" s="19"/>
      <c r="V726" s="19"/>
      <c r="W726" s="19"/>
    </row>
    <row r="727" spans="1:23" ht="14.25" customHeight="1" x14ac:dyDescent="0.3">
      <c r="A727" s="19"/>
      <c r="B727" s="19"/>
      <c r="C727" s="19"/>
      <c r="D727" s="19"/>
      <c r="E727" s="19"/>
      <c r="F727" s="19"/>
      <c r="G727" s="19"/>
      <c r="H727" s="19"/>
      <c r="I727" s="20"/>
      <c r="J727" s="244"/>
      <c r="K727" s="19"/>
      <c r="L727" s="19"/>
      <c r="M727" s="19"/>
      <c r="N727" s="19"/>
      <c r="O727" s="19"/>
      <c r="P727" s="19"/>
      <c r="Q727" s="19"/>
      <c r="R727" s="19"/>
      <c r="S727" s="19"/>
      <c r="T727" s="19"/>
      <c r="U727" s="19"/>
      <c r="V727" s="19"/>
      <c r="W727" s="19"/>
    </row>
    <row r="728" spans="1:23" ht="14.25" customHeight="1" x14ac:dyDescent="0.3">
      <c r="A728" s="19"/>
      <c r="B728" s="19"/>
      <c r="C728" s="19"/>
      <c r="D728" s="19"/>
      <c r="E728" s="19"/>
      <c r="F728" s="19"/>
      <c r="G728" s="19"/>
      <c r="H728" s="19"/>
      <c r="I728" s="20"/>
      <c r="J728" s="244"/>
      <c r="K728" s="19"/>
      <c r="L728" s="19"/>
      <c r="M728" s="19"/>
      <c r="N728" s="19"/>
      <c r="O728" s="19"/>
      <c r="P728" s="19"/>
      <c r="Q728" s="19"/>
      <c r="R728" s="19"/>
      <c r="S728" s="19"/>
      <c r="T728" s="19"/>
      <c r="U728" s="19"/>
      <c r="V728" s="19"/>
      <c r="W728" s="19"/>
    </row>
    <row r="729" spans="1:23" ht="14.25" customHeight="1" x14ac:dyDescent="0.3">
      <c r="A729" s="19"/>
      <c r="B729" s="19"/>
      <c r="C729" s="19"/>
      <c r="D729" s="19"/>
      <c r="E729" s="19"/>
      <c r="F729" s="19"/>
      <c r="G729" s="19"/>
      <c r="H729" s="19"/>
      <c r="I729" s="20"/>
      <c r="J729" s="244"/>
      <c r="K729" s="19"/>
      <c r="L729" s="19"/>
      <c r="M729" s="19"/>
      <c r="N729" s="19"/>
      <c r="O729" s="19"/>
      <c r="P729" s="19"/>
      <c r="Q729" s="19"/>
      <c r="R729" s="19"/>
      <c r="S729" s="19"/>
      <c r="T729" s="19"/>
      <c r="U729" s="19"/>
      <c r="V729" s="19"/>
      <c r="W729" s="19"/>
    </row>
    <row r="730" spans="1:23" ht="14.25" customHeight="1" x14ac:dyDescent="0.3">
      <c r="A730" s="19"/>
      <c r="B730" s="19"/>
      <c r="C730" s="19"/>
      <c r="D730" s="19"/>
      <c r="E730" s="19"/>
      <c r="F730" s="19"/>
      <c r="G730" s="19"/>
      <c r="H730" s="19"/>
      <c r="I730" s="20"/>
      <c r="J730" s="244"/>
      <c r="K730" s="19"/>
      <c r="L730" s="19"/>
      <c r="M730" s="19"/>
      <c r="N730" s="19"/>
      <c r="O730" s="19"/>
      <c r="P730" s="19"/>
      <c r="Q730" s="19"/>
      <c r="R730" s="19"/>
      <c r="S730" s="19"/>
      <c r="T730" s="19"/>
      <c r="U730" s="19"/>
      <c r="V730" s="19"/>
      <c r="W730" s="19"/>
    </row>
    <row r="731" spans="1:23" ht="14.25" customHeight="1" x14ac:dyDescent="0.3">
      <c r="A731" s="19"/>
      <c r="B731" s="19"/>
      <c r="C731" s="19"/>
      <c r="D731" s="19"/>
      <c r="E731" s="19"/>
      <c r="F731" s="19"/>
      <c r="G731" s="19"/>
      <c r="H731" s="19"/>
      <c r="I731" s="20"/>
      <c r="J731" s="244"/>
      <c r="K731" s="19"/>
      <c r="L731" s="19"/>
      <c r="M731" s="19"/>
      <c r="N731" s="19"/>
      <c r="O731" s="19"/>
      <c r="P731" s="19"/>
      <c r="Q731" s="19"/>
      <c r="R731" s="19"/>
      <c r="S731" s="19"/>
      <c r="T731" s="19"/>
      <c r="U731" s="19"/>
      <c r="V731" s="19"/>
      <c r="W731" s="19"/>
    </row>
    <row r="732" spans="1:23" ht="14.25" customHeight="1" x14ac:dyDescent="0.3">
      <c r="A732" s="19"/>
      <c r="B732" s="19"/>
      <c r="C732" s="19"/>
      <c r="D732" s="19"/>
      <c r="E732" s="19"/>
      <c r="F732" s="19"/>
      <c r="G732" s="19"/>
      <c r="H732" s="19"/>
      <c r="I732" s="20"/>
      <c r="J732" s="244"/>
      <c r="K732" s="19"/>
      <c r="L732" s="19"/>
      <c r="M732" s="19"/>
      <c r="N732" s="19"/>
      <c r="O732" s="19"/>
      <c r="P732" s="19"/>
      <c r="Q732" s="19"/>
      <c r="R732" s="19"/>
      <c r="S732" s="19"/>
      <c r="T732" s="19"/>
      <c r="U732" s="19"/>
      <c r="V732" s="19"/>
      <c r="W732" s="19"/>
    </row>
    <row r="733" spans="1:23" ht="14.25" customHeight="1" x14ac:dyDescent="0.3">
      <c r="A733" s="19"/>
      <c r="B733" s="19"/>
      <c r="C733" s="19"/>
      <c r="D733" s="19"/>
      <c r="E733" s="19"/>
      <c r="F733" s="19"/>
      <c r="G733" s="19"/>
      <c r="H733" s="19"/>
      <c r="I733" s="20"/>
      <c r="J733" s="244"/>
      <c r="K733" s="19"/>
      <c r="L733" s="19"/>
      <c r="M733" s="19"/>
      <c r="N733" s="19"/>
      <c r="O733" s="19"/>
      <c r="P733" s="19"/>
      <c r="Q733" s="19"/>
      <c r="R733" s="19"/>
      <c r="S733" s="19"/>
      <c r="T733" s="19"/>
      <c r="U733" s="19"/>
      <c r="V733" s="19"/>
      <c r="W733" s="19"/>
    </row>
    <row r="734" spans="1:23" ht="14.25" customHeight="1" x14ac:dyDescent="0.3">
      <c r="A734" s="19"/>
      <c r="B734" s="19"/>
      <c r="C734" s="19"/>
      <c r="D734" s="19"/>
      <c r="E734" s="19"/>
      <c r="F734" s="19"/>
      <c r="G734" s="19"/>
      <c r="H734" s="19"/>
      <c r="I734" s="20"/>
      <c r="J734" s="244"/>
      <c r="K734" s="19"/>
      <c r="L734" s="19"/>
      <c r="M734" s="19"/>
      <c r="N734" s="19"/>
      <c r="O734" s="19"/>
      <c r="P734" s="19"/>
      <c r="Q734" s="19"/>
      <c r="R734" s="19"/>
      <c r="S734" s="19"/>
      <c r="T734" s="19"/>
      <c r="U734" s="19"/>
      <c r="V734" s="19"/>
      <c r="W734" s="19"/>
    </row>
    <row r="735" spans="1:23" ht="14.25" customHeight="1" x14ac:dyDescent="0.3">
      <c r="A735" s="19"/>
      <c r="B735" s="19"/>
      <c r="C735" s="19"/>
      <c r="D735" s="19"/>
      <c r="E735" s="19"/>
      <c r="F735" s="19"/>
      <c r="G735" s="19"/>
      <c r="H735" s="19"/>
      <c r="I735" s="20"/>
      <c r="J735" s="244"/>
      <c r="K735" s="19"/>
      <c r="L735" s="19"/>
      <c r="M735" s="19"/>
      <c r="N735" s="19"/>
      <c r="O735" s="19"/>
      <c r="P735" s="19"/>
      <c r="Q735" s="19"/>
      <c r="R735" s="19"/>
      <c r="S735" s="19"/>
      <c r="T735" s="19"/>
      <c r="U735" s="19"/>
      <c r="V735" s="19"/>
      <c r="W735" s="19"/>
    </row>
    <row r="736" spans="1:23" ht="14.25" customHeight="1" x14ac:dyDescent="0.3">
      <c r="A736" s="19"/>
      <c r="B736" s="19"/>
      <c r="C736" s="19"/>
      <c r="D736" s="19"/>
      <c r="E736" s="19"/>
      <c r="F736" s="19"/>
      <c r="G736" s="19"/>
      <c r="H736" s="19"/>
      <c r="I736" s="20"/>
      <c r="J736" s="244"/>
      <c r="K736" s="19"/>
      <c r="L736" s="19"/>
      <c r="M736" s="19"/>
      <c r="N736" s="19"/>
      <c r="O736" s="19"/>
      <c r="P736" s="19"/>
      <c r="Q736" s="19"/>
      <c r="R736" s="19"/>
      <c r="S736" s="19"/>
      <c r="T736" s="19"/>
      <c r="U736" s="19"/>
      <c r="V736" s="19"/>
      <c r="W736" s="19"/>
    </row>
    <row r="737" spans="1:23" ht="14.25" customHeight="1" x14ac:dyDescent="0.3">
      <c r="A737" s="19"/>
      <c r="B737" s="19"/>
      <c r="C737" s="19"/>
      <c r="D737" s="19"/>
      <c r="E737" s="19"/>
      <c r="F737" s="19"/>
      <c r="G737" s="19"/>
      <c r="H737" s="19"/>
      <c r="I737" s="20"/>
      <c r="J737" s="244"/>
      <c r="K737" s="19"/>
      <c r="L737" s="19"/>
      <c r="M737" s="19"/>
      <c r="N737" s="19"/>
      <c r="O737" s="19"/>
      <c r="P737" s="19"/>
      <c r="Q737" s="19"/>
      <c r="R737" s="19"/>
      <c r="S737" s="19"/>
      <c r="T737" s="19"/>
      <c r="U737" s="19"/>
      <c r="V737" s="19"/>
      <c r="W737" s="19"/>
    </row>
    <row r="738" spans="1:23" ht="14.25" customHeight="1" x14ac:dyDescent="0.3">
      <c r="A738" s="19"/>
      <c r="B738" s="19"/>
      <c r="C738" s="19"/>
      <c r="D738" s="19"/>
      <c r="E738" s="19"/>
      <c r="F738" s="19"/>
      <c r="G738" s="19"/>
      <c r="H738" s="19"/>
      <c r="I738" s="20"/>
      <c r="J738" s="244"/>
      <c r="K738" s="19"/>
      <c r="L738" s="19"/>
      <c r="M738" s="19"/>
      <c r="N738" s="19"/>
      <c r="O738" s="19"/>
      <c r="P738" s="19"/>
      <c r="Q738" s="19"/>
      <c r="R738" s="19"/>
      <c r="S738" s="19"/>
      <c r="T738" s="19"/>
      <c r="U738" s="19"/>
      <c r="V738" s="19"/>
      <c r="W738" s="19"/>
    </row>
    <row r="739" spans="1:23" ht="14.25" customHeight="1" x14ac:dyDescent="0.3">
      <c r="A739" s="19"/>
      <c r="B739" s="19"/>
      <c r="C739" s="19"/>
      <c r="D739" s="19"/>
      <c r="E739" s="19"/>
      <c r="F739" s="19"/>
      <c r="G739" s="19"/>
      <c r="H739" s="19"/>
      <c r="I739" s="20"/>
      <c r="J739" s="244"/>
      <c r="K739" s="19"/>
      <c r="L739" s="19"/>
      <c r="M739" s="19"/>
      <c r="N739" s="19"/>
      <c r="O739" s="19"/>
      <c r="P739" s="19"/>
      <c r="Q739" s="19"/>
      <c r="R739" s="19"/>
      <c r="S739" s="19"/>
      <c r="T739" s="19"/>
      <c r="U739" s="19"/>
      <c r="V739" s="19"/>
      <c r="W739" s="19"/>
    </row>
    <row r="740" spans="1:23" ht="14.25" customHeight="1" x14ac:dyDescent="0.3">
      <c r="A740" s="19"/>
      <c r="B740" s="19"/>
      <c r="C740" s="19"/>
      <c r="D740" s="19"/>
      <c r="E740" s="19"/>
      <c r="F740" s="19"/>
      <c r="G740" s="19"/>
      <c r="H740" s="19"/>
      <c r="I740" s="20"/>
      <c r="J740" s="244"/>
      <c r="K740" s="19"/>
      <c r="L740" s="19"/>
      <c r="M740" s="19"/>
      <c r="N740" s="19"/>
      <c r="O740" s="19"/>
      <c r="P740" s="19"/>
      <c r="Q740" s="19"/>
      <c r="R740" s="19"/>
      <c r="S740" s="19"/>
      <c r="T740" s="19"/>
      <c r="U740" s="19"/>
      <c r="V740" s="19"/>
      <c r="W740" s="19"/>
    </row>
    <row r="741" spans="1:23" ht="14.25" customHeight="1" x14ac:dyDescent="0.3">
      <c r="A741" s="19"/>
      <c r="B741" s="19"/>
      <c r="C741" s="19"/>
      <c r="D741" s="19"/>
      <c r="E741" s="19"/>
      <c r="F741" s="19"/>
      <c r="G741" s="19"/>
      <c r="H741" s="19"/>
      <c r="I741" s="20"/>
      <c r="J741" s="244"/>
      <c r="K741" s="19"/>
      <c r="L741" s="19"/>
      <c r="M741" s="19"/>
      <c r="N741" s="19"/>
      <c r="O741" s="19"/>
      <c r="P741" s="19"/>
      <c r="Q741" s="19"/>
      <c r="R741" s="19"/>
      <c r="S741" s="19"/>
      <c r="T741" s="19"/>
      <c r="U741" s="19"/>
      <c r="V741" s="19"/>
      <c r="W741" s="19"/>
    </row>
    <row r="742" spans="1:23" ht="14.25" customHeight="1" x14ac:dyDescent="0.3">
      <c r="A742" s="19"/>
      <c r="B742" s="19"/>
      <c r="C742" s="19"/>
      <c r="D742" s="19"/>
      <c r="E742" s="19"/>
      <c r="F742" s="19"/>
      <c r="G742" s="19"/>
      <c r="H742" s="19"/>
      <c r="I742" s="20"/>
      <c r="J742" s="244"/>
      <c r="K742" s="19"/>
      <c r="L742" s="19"/>
      <c r="M742" s="19"/>
      <c r="N742" s="19"/>
      <c r="O742" s="19"/>
      <c r="P742" s="19"/>
      <c r="Q742" s="19"/>
      <c r="R742" s="19"/>
      <c r="S742" s="19"/>
      <c r="T742" s="19"/>
      <c r="U742" s="19"/>
      <c r="V742" s="19"/>
      <c r="W742" s="19"/>
    </row>
    <row r="743" spans="1:23" ht="14.25" customHeight="1" x14ac:dyDescent="0.3">
      <c r="A743" s="19"/>
      <c r="B743" s="19"/>
      <c r="C743" s="19"/>
      <c r="D743" s="19"/>
      <c r="E743" s="19"/>
      <c r="F743" s="19"/>
      <c r="G743" s="19"/>
      <c r="H743" s="19"/>
      <c r="I743" s="20"/>
      <c r="J743" s="244"/>
      <c r="K743" s="19"/>
      <c r="L743" s="19"/>
      <c r="M743" s="19"/>
      <c r="N743" s="19"/>
      <c r="O743" s="19"/>
      <c r="P743" s="19"/>
      <c r="Q743" s="19"/>
      <c r="R743" s="19"/>
      <c r="S743" s="19"/>
      <c r="T743" s="19"/>
      <c r="U743" s="19"/>
      <c r="V743" s="19"/>
      <c r="W743" s="19"/>
    </row>
    <row r="744" spans="1:23" ht="14.25" customHeight="1" x14ac:dyDescent="0.3">
      <c r="A744" s="19"/>
      <c r="B744" s="19"/>
      <c r="C744" s="19"/>
      <c r="D744" s="19"/>
      <c r="E744" s="19"/>
      <c r="F744" s="19"/>
      <c r="G744" s="19"/>
      <c r="H744" s="19"/>
      <c r="I744" s="20"/>
      <c r="J744" s="244"/>
      <c r="K744" s="19"/>
      <c r="L744" s="19"/>
      <c r="M744" s="19"/>
      <c r="N744" s="19"/>
      <c r="O744" s="19"/>
      <c r="P744" s="19"/>
      <c r="Q744" s="19"/>
      <c r="R744" s="19"/>
      <c r="S744" s="19"/>
      <c r="T744" s="19"/>
      <c r="U744" s="19"/>
      <c r="V744" s="19"/>
      <c r="W744" s="19"/>
    </row>
    <row r="745" spans="1:23" ht="14.25" customHeight="1" x14ac:dyDescent="0.3">
      <c r="A745" s="19"/>
      <c r="B745" s="19"/>
      <c r="C745" s="19"/>
      <c r="D745" s="19"/>
      <c r="E745" s="19"/>
      <c r="F745" s="19"/>
      <c r="G745" s="19"/>
      <c r="H745" s="19"/>
      <c r="I745" s="20"/>
      <c r="J745" s="244"/>
      <c r="K745" s="19"/>
      <c r="L745" s="19"/>
      <c r="M745" s="19"/>
      <c r="N745" s="19"/>
      <c r="O745" s="19"/>
      <c r="P745" s="19"/>
      <c r="Q745" s="19"/>
      <c r="R745" s="19"/>
      <c r="S745" s="19"/>
      <c r="T745" s="19"/>
      <c r="U745" s="19"/>
      <c r="V745" s="19"/>
      <c r="W745" s="19"/>
    </row>
    <row r="746" spans="1:23" ht="14.25" customHeight="1" x14ac:dyDescent="0.3">
      <c r="A746" s="19"/>
      <c r="B746" s="19"/>
      <c r="C746" s="19"/>
      <c r="D746" s="19"/>
      <c r="E746" s="19"/>
      <c r="F746" s="19"/>
      <c r="G746" s="19"/>
      <c r="H746" s="19"/>
      <c r="I746" s="20"/>
      <c r="J746" s="244"/>
      <c r="K746" s="19"/>
      <c r="L746" s="19"/>
      <c r="M746" s="19"/>
      <c r="N746" s="19"/>
      <c r="O746" s="19"/>
      <c r="P746" s="19"/>
      <c r="Q746" s="19"/>
      <c r="R746" s="19"/>
      <c r="S746" s="19"/>
      <c r="T746" s="19"/>
      <c r="U746" s="19"/>
      <c r="V746" s="19"/>
      <c r="W746" s="19"/>
    </row>
    <row r="747" spans="1:23" ht="14.25" customHeight="1" x14ac:dyDescent="0.3">
      <c r="A747" s="19"/>
      <c r="B747" s="19"/>
      <c r="C747" s="19"/>
      <c r="D747" s="19"/>
      <c r="E747" s="19"/>
      <c r="F747" s="19"/>
      <c r="G747" s="19"/>
      <c r="H747" s="19"/>
      <c r="I747" s="20"/>
      <c r="J747" s="244"/>
      <c r="K747" s="19"/>
      <c r="L747" s="19"/>
      <c r="M747" s="19"/>
      <c r="N747" s="19"/>
      <c r="O747" s="19"/>
      <c r="P747" s="19"/>
      <c r="Q747" s="19"/>
      <c r="R747" s="19"/>
      <c r="S747" s="19"/>
      <c r="T747" s="19"/>
      <c r="U747" s="19"/>
      <c r="V747" s="19"/>
      <c r="W747" s="19"/>
    </row>
    <row r="748" spans="1:23" ht="14.25" customHeight="1" x14ac:dyDescent="0.3">
      <c r="A748" s="19"/>
      <c r="B748" s="19"/>
      <c r="C748" s="19"/>
      <c r="D748" s="19"/>
      <c r="E748" s="19"/>
      <c r="F748" s="19"/>
      <c r="G748" s="19"/>
      <c r="H748" s="19"/>
      <c r="I748" s="20"/>
      <c r="J748" s="244"/>
      <c r="K748" s="19"/>
      <c r="L748" s="19"/>
      <c r="M748" s="19"/>
      <c r="N748" s="19"/>
      <c r="O748" s="19"/>
      <c r="P748" s="19"/>
      <c r="Q748" s="19"/>
      <c r="R748" s="19"/>
      <c r="S748" s="19"/>
      <c r="T748" s="19"/>
      <c r="U748" s="19"/>
      <c r="V748" s="19"/>
      <c r="W748" s="19"/>
    </row>
    <row r="749" spans="1:23" ht="14.25" customHeight="1" x14ac:dyDescent="0.3">
      <c r="A749" s="19"/>
      <c r="B749" s="19"/>
      <c r="C749" s="19"/>
      <c r="D749" s="19"/>
      <c r="E749" s="19"/>
      <c r="F749" s="19"/>
      <c r="G749" s="19"/>
      <c r="H749" s="19"/>
      <c r="I749" s="20"/>
      <c r="J749" s="244"/>
      <c r="K749" s="19"/>
      <c r="L749" s="19"/>
      <c r="M749" s="19"/>
      <c r="N749" s="19"/>
      <c r="O749" s="19"/>
      <c r="P749" s="19"/>
      <c r="Q749" s="19"/>
      <c r="R749" s="19"/>
      <c r="S749" s="19"/>
      <c r="T749" s="19"/>
      <c r="U749" s="19"/>
      <c r="V749" s="19"/>
      <c r="W749" s="19"/>
    </row>
    <row r="750" spans="1:23" ht="14.25" customHeight="1" x14ac:dyDescent="0.3">
      <c r="A750" s="19"/>
      <c r="B750" s="19"/>
      <c r="C750" s="19"/>
      <c r="D750" s="19"/>
      <c r="E750" s="19"/>
      <c r="F750" s="19"/>
      <c r="G750" s="19"/>
      <c r="H750" s="19"/>
      <c r="I750" s="20"/>
      <c r="J750" s="244"/>
      <c r="K750" s="19"/>
      <c r="L750" s="19"/>
      <c r="M750" s="19"/>
      <c r="N750" s="19"/>
      <c r="O750" s="19"/>
      <c r="P750" s="19"/>
      <c r="Q750" s="19"/>
      <c r="R750" s="19"/>
      <c r="S750" s="19"/>
      <c r="T750" s="19"/>
      <c r="U750" s="19"/>
      <c r="V750" s="19"/>
      <c r="W750" s="19"/>
    </row>
    <row r="751" spans="1:23" ht="14.25" customHeight="1" x14ac:dyDescent="0.3">
      <c r="A751" s="19"/>
      <c r="B751" s="19"/>
      <c r="C751" s="19"/>
      <c r="D751" s="19"/>
      <c r="E751" s="19"/>
      <c r="F751" s="19"/>
      <c r="G751" s="19"/>
      <c r="H751" s="19"/>
      <c r="I751" s="20"/>
      <c r="J751" s="244"/>
      <c r="K751" s="19"/>
      <c r="L751" s="19"/>
      <c r="M751" s="19"/>
      <c r="N751" s="19"/>
      <c r="O751" s="19"/>
      <c r="P751" s="19"/>
      <c r="Q751" s="19"/>
      <c r="R751" s="19"/>
      <c r="S751" s="19"/>
      <c r="T751" s="19"/>
      <c r="U751" s="19"/>
      <c r="V751" s="19"/>
      <c r="W751" s="19"/>
    </row>
    <row r="752" spans="1:23" ht="14.25" customHeight="1" x14ac:dyDescent="0.3">
      <c r="A752" s="19"/>
      <c r="B752" s="19"/>
      <c r="C752" s="19"/>
      <c r="D752" s="19"/>
      <c r="E752" s="19"/>
      <c r="F752" s="19"/>
      <c r="G752" s="19"/>
      <c r="H752" s="19"/>
      <c r="I752" s="20"/>
      <c r="J752" s="244"/>
      <c r="K752" s="19"/>
      <c r="L752" s="19"/>
      <c r="M752" s="19"/>
      <c r="N752" s="19"/>
      <c r="O752" s="19"/>
      <c r="P752" s="19"/>
      <c r="Q752" s="19"/>
      <c r="R752" s="19"/>
      <c r="S752" s="19"/>
      <c r="T752" s="19"/>
      <c r="U752" s="19"/>
      <c r="V752" s="19"/>
      <c r="W752" s="19"/>
    </row>
    <row r="753" spans="1:23" ht="14.25" customHeight="1" x14ac:dyDescent="0.3">
      <c r="A753" s="19"/>
      <c r="B753" s="19"/>
      <c r="C753" s="19"/>
      <c r="D753" s="19"/>
      <c r="E753" s="19"/>
      <c r="F753" s="19"/>
      <c r="G753" s="19"/>
      <c r="H753" s="19"/>
      <c r="I753" s="20"/>
      <c r="J753" s="244"/>
      <c r="K753" s="19"/>
      <c r="L753" s="19"/>
      <c r="M753" s="19"/>
      <c r="N753" s="19"/>
      <c r="O753" s="19"/>
      <c r="P753" s="19"/>
      <c r="Q753" s="19"/>
      <c r="R753" s="19"/>
      <c r="S753" s="19"/>
      <c r="T753" s="19"/>
      <c r="U753" s="19"/>
      <c r="V753" s="19"/>
      <c r="W753" s="19"/>
    </row>
    <row r="754" spans="1:23" ht="14.25" customHeight="1" x14ac:dyDescent="0.3">
      <c r="A754" s="19"/>
      <c r="B754" s="19"/>
      <c r="C754" s="19"/>
      <c r="D754" s="19"/>
      <c r="E754" s="19"/>
      <c r="F754" s="19"/>
      <c r="G754" s="19"/>
      <c r="H754" s="19"/>
      <c r="I754" s="20"/>
      <c r="J754" s="244"/>
      <c r="K754" s="19"/>
      <c r="L754" s="19"/>
      <c r="M754" s="19"/>
      <c r="N754" s="19"/>
      <c r="O754" s="19"/>
      <c r="P754" s="19"/>
      <c r="Q754" s="19"/>
      <c r="R754" s="19"/>
      <c r="S754" s="19"/>
      <c r="T754" s="19"/>
      <c r="U754" s="19"/>
      <c r="V754" s="19"/>
      <c r="W754" s="19"/>
    </row>
    <row r="755" spans="1:23" ht="14.25" customHeight="1" x14ac:dyDescent="0.3">
      <c r="A755" s="19"/>
      <c r="B755" s="19"/>
      <c r="C755" s="19"/>
      <c r="D755" s="19"/>
      <c r="E755" s="19"/>
      <c r="F755" s="19"/>
      <c r="G755" s="19"/>
      <c r="H755" s="19"/>
      <c r="I755" s="20"/>
      <c r="J755" s="244"/>
      <c r="K755" s="19"/>
      <c r="L755" s="19"/>
      <c r="M755" s="19"/>
      <c r="N755" s="19"/>
      <c r="O755" s="19"/>
      <c r="P755" s="19"/>
      <c r="Q755" s="19"/>
      <c r="R755" s="19"/>
      <c r="S755" s="19"/>
      <c r="T755" s="19"/>
      <c r="U755" s="19"/>
      <c r="V755" s="19"/>
      <c r="W755" s="19"/>
    </row>
    <row r="756" spans="1:23" ht="14.25" customHeight="1" x14ac:dyDescent="0.3">
      <c r="A756" s="19"/>
      <c r="B756" s="19"/>
      <c r="C756" s="19"/>
      <c r="D756" s="19"/>
      <c r="E756" s="19"/>
      <c r="F756" s="19"/>
      <c r="G756" s="19"/>
      <c r="H756" s="19"/>
      <c r="I756" s="20"/>
      <c r="J756" s="244"/>
      <c r="K756" s="19"/>
      <c r="L756" s="19"/>
      <c r="M756" s="19"/>
      <c r="N756" s="19"/>
      <c r="O756" s="19"/>
      <c r="P756" s="19"/>
      <c r="Q756" s="19"/>
      <c r="R756" s="19"/>
      <c r="S756" s="19"/>
      <c r="T756" s="19"/>
      <c r="U756" s="19"/>
      <c r="V756" s="19"/>
      <c r="W756" s="19"/>
    </row>
    <row r="757" spans="1:23" ht="14.25" customHeight="1" x14ac:dyDescent="0.3">
      <c r="A757" s="19"/>
      <c r="B757" s="19"/>
      <c r="C757" s="19"/>
      <c r="D757" s="19"/>
      <c r="E757" s="19"/>
      <c r="F757" s="19"/>
      <c r="G757" s="19"/>
      <c r="H757" s="19"/>
      <c r="I757" s="20"/>
      <c r="J757" s="244"/>
      <c r="K757" s="19"/>
      <c r="L757" s="19"/>
      <c r="M757" s="19"/>
      <c r="N757" s="19"/>
      <c r="O757" s="19"/>
      <c r="P757" s="19"/>
      <c r="Q757" s="19"/>
      <c r="R757" s="19"/>
      <c r="S757" s="19"/>
      <c r="T757" s="19"/>
      <c r="U757" s="19"/>
      <c r="V757" s="19"/>
      <c r="W757" s="19"/>
    </row>
    <row r="758" spans="1:23" ht="14.25" customHeight="1" x14ac:dyDescent="0.3">
      <c r="A758" s="19"/>
      <c r="B758" s="19"/>
      <c r="C758" s="19"/>
      <c r="D758" s="19"/>
      <c r="E758" s="19"/>
      <c r="F758" s="19"/>
      <c r="G758" s="19"/>
      <c r="H758" s="19"/>
      <c r="I758" s="20"/>
      <c r="J758" s="244"/>
      <c r="K758" s="19"/>
      <c r="L758" s="19"/>
      <c r="M758" s="19"/>
      <c r="N758" s="19"/>
      <c r="O758" s="19"/>
      <c r="P758" s="19"/>
      <c r="Q758" s="19"/>
      <c r="R758" s="19"/>
      <c r="S758" s="19"/>
      <c r="T758" s="19"/>
      <c r="U758" s="19"/>
      <c r="V758" s="19"/>
      <c r="W758" s="19"/>
    </row>
    <row r="759" spans="1:23" ht="14.25" customHeight="1" x14ac:dyDescent="0.3">
      <c r="A759" s="19"/>
      <c r="B759" s="19"/>
      <c r="C759" s="19"/>
      <c r="D759" s="19"/>
      <c r="E759" s="19"/>
      <c r="F759" s="19"/>
      <c r="G759" s="19"/>
      <c r="H759" s="19"/>
      <c r="I759" s="20"/>
      <c r="J759" s="244"/>
      <c r="K759" s="19"/>
      <c r="L759" s="19"/>
      <c r="M759" s="19"/>
      <c r="N759" s="19"/>
      <c r="O759" s="19"/>
      <c r="P759" s="19"/>
      <c r="Q759" s="19"/>
      <c r="R759" s="19"/>
      <c r="S759" s="19"/>
      <c r="T759" s="19"/>
      <c r="U759" s="19"/>
      <c r="V759" s="19"/>
      <c r="W759" s="19"/>
    </row>
    <row r="760" spans="1:23" ht="14.25" customHeight="1" x14ac:dyDescent="0.3">
      <c r="A760" s="19"/>
      <c r="B760" s="19"/>
      <c r="C760" s="19"/>
      <c r="D760" s="19"/>
      <c r="E760" s="19"/>
      <c r="F760" s="19"/>
      <c r="G760" s="19"/>
      <c r="H760" s="19"/>
      <c r="I760" s="20"/>
      <c r="J760" s="244"/>
      <c r="K760" s="19"/>
      <c r="L760" s="19"/>
      <c r="M760" s="19"/>
      <c r="N760" s="19"/>
      <c r="O760" s="19"/>
      <c r="P760" s="19"/>
      <c r="Q760" s="19"/>
      <c r="R760" s="19"/>
      <c r="S760" s="19"/>
      <c r="T760" s="19"/>
      <c r="U760" s="19"/>
      <c r="V760" s="19"/>
      <c r="W760" s="19"/>
    </row>
    <row r="761" spans="1:23" ht="14.25" customHeight="1" x14ac:dyDescent="0.3">
      <c r="A761" s="19"/>
      <c r="B761" s="19"/>
      <c r="C761" s="19"/>
      <c r="D761" s="19"/>
      <c r="E761" s="19"/>
      <c r="F761" s="19"/>
      <c r="G761" s="19"/>
      <c r="H761" s="19"/>
      <c r="I761" s="20"/>
      <c r="J761" s="244"/>
      <c r="K761" s="19"/>
      <c r="L761" s="19"/>
      <c r="M761" s="19"/>
      <c r="N761" s="19"/>
      <c r="O761" s="19"/>
      <c r="P761" s="19"/>
      <c r="Q761" s="19"/>
      <c r="R761" s="19"/>
      <c r="S761" s="19"/>
      <c r="T761" s="19"/>
      <c r="U761" s="19"/>
      <c r="V761" s="19"/>
      <c r="W761" s="19"/>
    </row>
    <row r="762" spans="1:23" ht="14.25" customHeight="1" x14ac:dyDescent="0.3">
      <c r="A762" s="19"/>
      <c r="B762" s="19"/>
      <c r="C762" s="19"/>
      <c r="D762" s="19"/>
      <c r="E762" s="19"/>
      <c r="F762" s="19"/>
      <c r="G762" s="19"/>
      <c r="H762" s="19"/>
      <c r="I762" s="20"/>
      <c r="J762" s="244"/>
      <c r="K762" s="19"/>
      <c r="L762" s="19"/>
      <c r="M762" s="19"/>
      <c r="N762" s="19"/>
      <c r="O762" s="19"/>
      <c r="P762" s="19"/>
      <c r="Q762" s="19"/>
      <c r="R762" s="19"/>
      <c r="S762" s="19"/>
      <c r="T762" s="19"/>
      <c r="U762" s="19"/>
      <c r="V762" s="19"/>
      <c r="W762" s="19"/>
    </row>
    <row r="763" spans="1:23" ht="14.25" customHeight="1" x14ac:dyDescent="0.3">
      <c r="A763" s="19"/>
      <c r="B763" s="19"/>
      <c r="C763" s="19"/>
      <c r="D763" s="19"/>
      <c r="E763" s="19"/>
      <c r="F763" s="19"/>
      <c r="G763" s="19"/>
      <c r="H763" s="19"/>
      <c r="I763" s="20"/>
      <c r="J763" s="244"/>
      <c r="K763" s="19"/>
      <c r="L763" s="19"/>
      <c r="M763" s="19"/>
      <c r="N763" s="19"/>
      <c r="O763" s="19"/>
      <c r="P763" s="19"/>
      <c r="Q763" s="19"/>
      <c r="R763" s="19"/>
      <c r="S763" s="19"/>
      <c r="T763" s="19"/>
      <c r="U763" s="19"/>
      <c r="V763" s="19"/>
      <c r="W763" s="19"/>
    </row>
    <row r="764" spans="1:23" ht="14.25" customHeight="1" x14ac:dyDescent="0.3">
      <c r="A764" s="19"/>
      <c r="B764" s="19"/>
      <c r="C764" s="19"/>
      <c r="D764" s="19"/>
      <c r="E764" s="19"/>
      <c r="F764" s="19"/>
      <c r="G764" s="19"/>
      <c r="H764" s="19"/>
      <c r="I764" s="20"/>
      <c r="J764" s="244"/>
      <c r="K764" s="19"/>
      <c r="L764" s="19"/>
      <c r="M764" s="19"/>
      <c r="N764" s="19"/>
      <c r="O764" s="19"/>
      <c r="P764" s="19"/>
      <c r="Q764" s="19"/>
      <c r="R764" s="19"/>
      <c r="S764" s="19"/>
      <c r="T764" s="19"/>
      <c r="U764" s="19"/>
      <c r="V764" s="19"/>
      <c r="W764" s="19"/>
    </row>
    <row r="765" spans="1:23" ht="14.25" customHeight="1" x14ac:dyDescent="0.3">
      <c r="A765" s="19"/>
      <c r="B765" s="19"/>
      <c r="C765" s="19"/>
      <c r="D765" s="19"/>
      <c r="E765" s="19"/>
      <c r="F765" s="19"/>
      <c r="G765" s="19"/>
      <c r="H765" s="19"/>
      <c r="I765" s="20"/>
      <c r="J765" s="244"/>
      <c r="K765" s="19"/>
      <c r="L765" s="19"/>
      <c r="M765" s="19"/>
      <c r="N765" s="19"/>
      <c r="O765" s="19"/>
      <c r="P765" s="19"/>
      <c r="Q765" s="19"/>
      <c r="R765" s="19"/>
      <c r="S765" s="19"/>
      <c r="T765" s="19"/>
      <c r="U765" s="19"/>
      <c r="V765" s="19"/>
      <c r="W765" s="19"/>
    </row>
    <row r="766" spans="1:23" ht="14.25" customHeight="1" x14ac:dyDescent="0.3">
      <c r="A766" s="19"/>
      <c r="B766" s="19"/>
      <c r="C766" s="19"/>
      <c r="D766" s="19"/>
      <c r="E766" s="19"/>
      <c r="F766" s="19"/>
      <c r="G766" s="19"/>
      <c r="H766" s="19"/>
      <c r="I766" s="20"/>
      <c r="J766" s="244"/>
      <c r="K766" s="19"/>
      <c r="L766" s="19"/>
      <c r="M766" s="19"/>
      <c r="N766" s="19"/>
      <c r="O766" s="19"/>
      <c r="P766" s="19"/>
      <c r="Q766" s="19"/>
      <c r="R766" s="19"/>
      <c r="S766" s="19"/>
      <c r="T766" s="19"/>
      <c r="U766" s="19"/>
      <c r="V766" s="19"/>
      <c r="W766" s="19"/>
    </row>
    <row r="767" spans="1:23" ht="14.25" customHeight="1" x14ac:dyDescent="0.3">
      <c r="A767" s="19"/>
      <c r="B767" s="19"/>
      <c r="C767" s="19"/>
      <c r="D767" s="19"/>
      <c r="E767" s="19"/>
      <c r="F767" s="19"/>
      <c r="G767" s="19"/>
      <c r="H767" s="19"/>
      <c r="I767" s="20"/>
      <c r="J767" s="244"/>
      <c r="K767" s="19"/>
      <c r="L767" s="19"/>
      <c r="M767" s="19"/>
      <c r="N767" s="19"/>
      <c r="O767" s="19"/>
      <c r="P767" s="19"/>
      <c r="Q767" s="19"/>
      <c r="R767" s="19"/>
      <c r="S767" s="19"/>
      <c r="T767" s="19"/>
      <c r="U767" s="19"/>
      <c r="V767" s="19"/>
      <c r="W767" s="19"/>
    </row>
    <row r="768" spans="1:23" ht="14.25" customHeight="1" x14ac:dyDescent="0.3">
      <c r="A768" s="19"/>
      <c r="B768" s="19"/>
      <c r="C768" s="19"/>
      <c r="D768" s="19"/>
      <c r="E768" s="19"/>
      <c r="F768" s="19"/>
      <c r="G768" s="19"/>
      <c r="H768" s="19"/>
      <c r="I768" s="20"/>
      <c r="J768" s="244"/>
      <c r="K768" s="19"/>
      <c r="L768" s="19"/>
      <c r="M768" s="19"/>
      <c r="N768" s="19"/>
      <c r="O768" s="19"/>
      <c r="P768" s="19"/>
      <c r="Q768" s="19"/>
      <c r="R768" s="19"/>
      <c r="S768" s="19"/>
      <c r="T768" s="19"/>
      <c r="U768" s="19"/>
      <c r="V768" s="19"/>
      <c r="W768" s="19"/>
    </row>
    <row r="769" spans="1:23" ht="14.25" customHeight="1" x14ac:dyDescent="0.3">
      <c r="A769" s="19"/>
      <c r="B769" s="19"/>
      <c r="C769" s="19"/>
      <c r="D769" s="19"/>
      <c r="E769" s="19"/>
      <c r="F769" s="19"/>
      <c r="G769" s="19"/>
      <c r="H769" s="19"/>
      <c r="I769" s="20"/>
      <c r="J769" s="244"/>
      <c r="K769" s="19"/>
      <c r="L769" s="19"/>
      <c r="M769" s="19"/>
      <c r="N769" s="19"/>
      <c r="O769" s="19"/>
      <c r="P769" s="19"/>
      <c r="Q769" s="19"/>
      <c r="R769" s="19"/>
      <c r="S769" s="19"/>
      <c r="T769" s="19"/>
      <c r="U769" s="19"/>
      <c r="V769" s="19"/>
      <c r="W769" s="19"/>
    </row>
    <row r="770" spans="1:23" ht="14.25" customHeight="1" x14ac:dyDescent="0.3">
      <c r="A770" s="19"/>
      <c r="B770" s="19"/>
      <c r="C770" s="19"/>
      <c r="D770" s="19"/>
      <c r="E770" s="19"/>
      <c r="F770" s="19"/>
      <c r="G770" s="19"/>
      <c r="H770" s="19"/>
      <c r="I770" s="20"/>
      <c r="J770" s="244"/>
      <c r="K770" s="19"/>
      <c r="L770" s="19"/>
      <c r="M770" s="19"/>
      <c r="N770" s="19"/>
      <c r="O770" s="19"/>
      <c r="P770" s="19"/>
      <c r="Q770" s="19"/>
      <c r="R770" s="19"/>
      <c r="S770" s="19"/>
      <c r="T770" s="19"/>
      <c r="U770" s="19"/>
      <c r="V770" s="19"/>
      <c r="W770" s="19"/>
    </row>
    <row r="771" spans="1:23" ht="14.25" customHeight="1" x14ac:dyDescent="0.3">
      <c r="A771" s="19"/>
      <c r="B771" s="19"/>
      <c r="C771" s="19"/>
      <c r="D771" s="19"/>
      <c r="E771" s="19"/>
      <c r="F771" s="19"/>
      <c r="G771" s="19"/>
      <c r="H771" s="19"/>
      <c r="I771" s="20"/>
      <c r="J771" s="244"/>
      <c r="K771" s="19"/>
      <c r="L771" s="19"/>
      <c r="M771" s="19"/>
      <c r="N771" s="19"/>
      <c r="O771" s="19"/>
      <c r="P771" s="19"/>
      <c r="Q771" s="19"/>
      <c r="R771" s="19"/>
      <c r="S771" s="19"/>
      <c r="T771" s="19"/>
      <c r="U771" s="19"/>
      <c r="V771" s="19"/>
      <c r="W771" s="19"/>
    </row>
    <row r="772" spans="1:23" ht="14.25" customHeight="1" x14ac:dyDescent="0.3">
      <c r="A772" s="19"/>
      <c r="B772" s="19"/>
      <c r="C772" s="19"/>
      <c r="D772" s="19"/>
      <c r="E772" s="19"/>
      <c r="F772" s="19"/>
      <c r="G772" s="19"/>
      <c r="H772" s="19"/>
      <c r="I772" s="20"/>
      <c r="J772" s="244"/>
      <c r="K772" s="19"/>
      <c r="L772" s="19"/>
      <c r="M772" s="19"/>
      <c r="N772" s="19"/>
      <c r="O772" s="19"/>
      <c r="P772" s="19"/>
      <c r="Q772" s="19"/>
      <c r="R772" s="19"/>
      <c r="S772" s="19"/>
      <c r="T772" s="19"/>
      <c r="U772" s="19"/>
      <c r="V772" s="19"/>
      <c r="W772" s="19"/>
    </row>
    <row r="773" spans="1:23" ht="14.25" customHeight="1" x14ac:dyDescent="0.3">
      <c r="A773" s="19"/>
      <c r="B773" s="19"/>
      <c r="C773" s="19"/>
      <c r="D773" s="19"/>
      <c r="E773" s="19"/>
      <c r="F773" s="19"/>
      <c r="G773" s="19"/>
      <c r="H773" s="19"/>
      <c r="I773" s="20"/>
      <c r="J773" s="244"/>
      <c r="K773" s="19"/>
      <c r="L773" s="19"/>
      <c r="M773" s="19"/>
      <c r="N773" s="19"/>
      <c r="O773" s="19"/>
      <c r="P773" s="19"/>
      <c r="Q773" s="19"/>
      <c r="R773" s="19"/>
      <c r="S773" s="19"/>
      <c r="T773" s="19"/>
      <c r="U773" s="19"/>
      <c r="V773" s="19"/>
      <c r="W773" s="19"/>
    </row>
    <row r="774" spans="1:23" ht="14.25" customHeight="1" x14ac:dyDescent="0.3">
      <c r="A774" s="19"/>
      <c r="B774" s="19"/>
      <c r="C774" s="19"/>
      <c r="D774" s="19"/>
      <c r="E774" s="19"/>
      <c r="F774" s="19"/>
      <c r="G774" s="19"/>
      <c r="H774" s="19"/>
      <c r="I774" s="20"/>
      <c r="J774" s="244"/>
      <c r="K774" s="19"/>
      <c r="L774" s="19"/>
      <c r="M774" s="19"/>
      <c r="N774" s="19"/>
      <c r="O774" s="19"/>
      <c r="P774" s="19"/>
      <c r="Q774" s="19"/>
      <c r="R774" s="19"/>
      <c r="S774" s="19"/>
      <c r="T774" s="19"/>
      <c r="U774" s="19"/>
      <c r="V774" s="19"/>
      <c r="W774" s="19"/>
    </row>
    <row r="775" spans="1:23" ht="14.25" customHeight="1" x14ac:dyDescent="0.3">
      <c r="A775" s="19"/>
      <c r="B775" s="19"/>
      <c r="C775" s="19"/>
      <c r="D775" s="19"/>
      <c r="E775" s="19"/>
      <c r="F775" s="19"/>
      <c r="G775" s="19"/>
      <c r="H775" s="19"/>
      <c r="I775" s="20"/>
      <c r="J775" s="244"/>
      <c r="K775" s="19"/>
      <c r="L775" s="19"/>
      <c r="M775" s="19"/>
      <c r="N775" s="19"/>
      <c r="O775" s="19"/>
      <c r="P775" s="19"/>
      <c r="Q775" s="19"/>
      <c r="R775" s="19"/>
      <c r="S775" s="19"/>
      <c r="T775" s="19"/>
      <c r="U775" s="19"/>
      <c r="V775" s="19"/>
      <c r="W775" s="19"/>
    </row>
    <row r="776" spans="1:23" ht="14.25" customHeight="1" x14ac:dyDescent="0.3">
      <c r="A776" s="19"/>
      <c r="B776" s="19"/>
      <c r="C776" s="19"/>
      <c r="D776" s="19"/>
      <c r="E776" s="19"/>
      <c r="F776" s="19"/>
      <c r="G776" s="19"/>
      <c r="H776" s="19"/>
      <c r="I776" s="20"/>
      <c r="J776" s="244"/>
      <c r="K776" s="19"/>
      <c r="L776" s="19"/>
      <c r="M776" s="19"/>
      <c r="N776" s="19"/>
      <c r="O776" s="19"/>
      <c r="P776" s="19"/>
      <c r="Q776" s="19"/>
      <c r="R776" s="19"/>
      <c r="S776" s="19"/>
      <c r="T776" s="19"/>
      <c r="U776" s="19"/>
      <c r="V776" s="19"/>
      <c r="W776" s="19"/>
    </row>
    <row r="777" spans="1:23" ht="14.25" customHeight="1" x14ac:dyDescent="0.3">
      <c r="A777" s="19"/>
      <c r="B777" s="19"/>
      <c r="C777" s="19"/>
      <c r="D777" s="19"/>
      <c r="E777" s="19"/>
      <c r="F777" s="19"/>
      <c r="G777" s="19"/>
      <c r="H777" s="19"/>
      <c r="I777" s="20"/>
      <c r="J777" s="244"/>
      <c r="K777" s="19"/>
      <c r="L777" s="19"/>
      <c r="M777" s="19"/>
      <c r="N777" s="19"/>
      <c r="O777" s="19"/>
      <c r="P777" s="19"/>
      <c r="Q777" s="19"/>
      <c r="R777" s="19"/>
      <c r="S777" s="19"/>
      <c r="T777" s="19"/>
      <c r="U777" s="19"/>
      <c r="V777" s="19"/>
      <c r="W777" s="19"/>
    </row>
    <row r="778" spans="1:23" ht="14.25" customHeight="1" x14ac:dyDescent="0.3">
      <c r="A778" s="19"/>
      <c r="B778" s="19"/>
      <c r="C778" s="19"/>
      <c r="D778" s="19"/>
      <c r="E778" s="19"/>
      <c r="F778" s="19"/>
      <c r="G778" s="19"/>
      <c r="H778" s="19"/>
      <c r="I778" s="20"/>
      <c r="J778" s="244"/>
      <c r="K778" s="19"/>
      <c r="L778" s="19"/>
      <c r="M778" s="19"/>
      <c r="N778" s="19"/>
      <c r="O778" s="19"/>
      <c r="P778" s="19"/>
      <c r="Q778" s="19"/>
      <c r="R778" s="19"/>
      <c r="S778" s="19"/>
      <c r="T778" s="19"/>
      <c r="U778" s="19"/>
      <c r="V778" s="19"/>
      <c r="W778" s="19"/>
    </row>
    <row r="779" spans="1:23" ht="14.25" customHeight="1" x14ac:dyDescent="0.3">
      <c r="A779" s="19"/>
      <c r="B779" s="19"/>
      <c r="C779" s="19"/>
      <c r="D779" s="19"/>
      <c r="E779" s="19"/>
      <c r="F779" s="19"/>
      <c r="G779" s="19"/>
      <c r="H779" s="19"/>
      <c r="I779" s="20"/>
      <c r="J779" s="244"/>
      <c r="K779" s="19"/>
      <c r="L779" s="19"/>
      <c r="M779" s="19"/>
      <c r="N779" s="19"/>
      <c r="O779" s="19"/>
      <c r="P779" s="19"/>
      <c r="Q779" s="19"/>
      <c r="R779" s="19"/>
      <c r="S779" s="19"/>
      <c r="T779" s="19"/>
      <c r="U779" s="19"/>
      <c r="V779" s="19"/>
      <c r="W779" s="19"/>
    </row>
    <row r="780" spans="1:23" ht="14.25" customHeight="1" x14ac:dyDescent="0.3">
      <c r="A780" s="19"/>
      <c r="B780" s="19"/>
      <c r="C780" s="19"/>
      <c r="D780" s="19"/>
      <c r="E780" s="19"/>
      <c r="F780" s="19"/>
      <c r="G780" s="19"/>
      <c r="H780" s="19"/>
      <c r="I780" s="20"/>
      <c r="J780" s="244"/>
      <c r="K780" s="19"/>
      <c r="L780" s="19"/>
      <c r="M780" s="19"/>
      <c r="N780" s="19"/>
      <c r="O780" s="19"/>
      <c r="P780" s="19"/>
      <c r="Q780" s="19"/>
      <c r="R780" s="19"/>
      <c r="S780" s="19"/>
      <c r="T780" s="19"/>
      <c r="U780" s="19"/>
      <c r="V780" s="19"/>
      <c r="W780" s="19"/>
    </row>
    <row r="781" spans="1:23" ht="14.25" customHeight="1" x14ac:dyDescent="0.3">
      <c r="A781" s="19"/>
      <c r="B781" s="19"/>
      <c r="C781" s="19"/>
      <c r="D781" s="19"/>
      <c r="E781" s="19"/>
      <c r="F781" s="19"/>
      <c r="G781" s="19"/>
      <c r="H781" s="19"/>
      <c r="I781" s="20"/>
      <c r="J781" s="244"/>
      <c r="K781" s="19"/>
      <c r="L781" s="19"/>
      <c r="M781" s="19"/>
      <c r="N781" s="19"/>
      <c r="O781" s="19"/>
      <c r="P781" s="19"/>
      <c r="Q781" s="19"/>
      <c r="R781" s="19"/>
      <c r="S781" s="19"/>
      <c r="T781" s="19"/>
      <c r="U781" s="19"/>
      <c r="V781" s="19"/>
      <c r="W781" s="19"/>
    </row>
    <row r="782" spans="1:23" ht="14.25" customHeight="1" x14ac:dyDescent="0.3">
      <c r="A782" s="19"/>
      <c r="B782" s="19"/>
      <c r="C782" s="19"/>
      <c r="D782" s="19"/>
      <c r="E782" s="19"/>
      <c r="F782" s="19"/>
      <c r="G782" s="19"/>
      <c r="H782" s="19"/>
      <c r="I782" s="20"/>
      <c r="J782" s="244"/>
      <c r="K782" s="19"/>
      <c r="L782" s="19"/>
      <c r="M782" s="19"/>
      <c r="N782" s="19"/>
      <c r="O782" s="19"/>
      <c r="P782" s="19"/>
      <c r="Q782" s="19"/>
      <c r="R782" s="19"/>
      <c r="S782" s="19"/>
      <c r="T782" s="19"/>
      <c r="U782" s="19"/>
      <c r="V782" s="19"/>
      <c r="W782" s="19"/>
    </row>
    <row r="783" spans="1:23" ht="14.25" customHeight="1" x14ac:dyDescent="0.3">
      <c r="A783" s="19"/>
      <c r="B783" s="19"/>
      <c r="C783" s="19"/>
      <c r="D783" s="19"/>
      <c r="E783" s="19"/>
      <c r="F783" s="19"/>
      <c r="G783" s="19"/>
      <c r="H783" s="19"/>
      <c r="I783" s="20"/>
      <c r="J783" s="244"/>
      <c r="K783" s="19"/>
      <c r="L783" s="19"/>
      <c r="M783" s="19"/>
      <c r="N783" s="19"/>
      <c r="O783" s="19"/>
      <c r="P783" s="19"/>
      <c r="Q783" s="19"/>
      <c r="R783" s="19"/>
      <c r="S783" s="19"/>
      <c r="T783" s="19"/>
      <c r="U783" s="19"/>
      <c r="V783" s="19"/>
      <c r="W783" s="19"/>
    </row>
    <row r="784" spans="1:23" ht="14.25" customHeight="1" x14ac:dyDescent="0.3">
      <c r="A784" s="19"/>
      <c r="B784" s="19"/>
      <c r="C784" s="19"/>
      <c r="D784" s="19"/>
      <c r="E784" s="19"/>
      <c r="F784" s="19"/>
      <c r="G784" s="19"/>
      <c r="H784" s="19"/>
      <c r="I784" s="20"/>
      <c r="J784" s="244"/>
      <c r="K784" s="19"/>
      <c r="L784" s="19"/>
      <c r="M784" s="19"/>
      <c r="N784" s="19"/>
      <c r="O784" s="19"/>
      <c r="P784" s="19"/>
      <c r="Q784" s="19"/>
      <c r="R784" s="19"/>
      <c r="S784" s="19"/>
      <c r="T784" s="19"/>
      <c r="U784" s="19"/>
      <c r="V784" s="19"/>
      <c r="W784" s="19"/>
    </row>
    <row r="785" spans="1:23" ht="14.25" customHeight="1" x14ac:dyDescent="0.3">
      <c r="A785" s="19"/>
      <c r="B785" s="19"/>
      <c r="C785" s="19"/>
      <c r="D785" s="19"/>
      <c r="E785" s="19"/>
      <c r="F785" s="19"/>
      <c r="G785" s="19"/>
      <c r="H785" s="19"/>
      <c r="I785" s="20"/>
      <c r="J785" s="244"/>
      <c r="K785" s="19"/>
      <c r="L785" s="19"/>
      <c r="M785" s="19"/>
      <c r="N785" s="19"/>
      <c r="O785" s="19"/>
      <c r="P785" s="19"/>
      <c r="Q785" s="19"/>
      <c r="R785" s="19"/>
      <c r="S785" s="19"/>
      <c r="T785" s="19"/>
      <c r="U785" s="19"/>
      <c r="V785" s="19"/>
      <c r="W785" s="19"/>
    </row>
    <row r="786" spans="1:23" ht="14.25" customHeight="1" x14ac:dyDescent="0.3">
      <c r="A786" s="19"/>
      <c r="B786" s="19"/>
      <c r="C786" s="19"/>
      <c r="D786" s="19"/>
      <c r="E786" s="19"/>
      <c r="F786" s="19"/>
      <c r="G786" s="19"/>
      <c r="H786" s="19"/>
      <c r="I786" s="20"/>
      <c r="J786" s="244"/>
      <c r="K786" s="19"/>
      <c r="L786" s="19"/>
      <c r="M786" s="19"/>
      <c r="N786" s="19"/>
      <c r="O786" s="19"/>
      <c r="P786" s="19"/>
      <c r="Q786" s="19"/>
      <c r="R786" s="19"/>
      <c r="S786" s="19"/>
      <c r="T786" s="19"/>
      <c r="U786" s="19"/>
      <c r="V786" s="19"/>
      <c r="W786" s="19"/>
    </row>
    <row r="787" spans="1:23" ht="14.25" customHeight="1" x14ac:dyDescent="0.3">
      <c r="A787" s="19"/>
      <c r="B787" s="19"/>
      <c r="C787" s="19"/>
      <c r="D787" s="19"/>
      <c r="E787" s="19"/>
      <c r="F787" s="19"/>
      <c r="G787" s="19"/>
      <c r="H787" s="19"/>
      <c r="I787" s="20"/>
      <c r="J787" s="244"/>
      <c r="K787" s="19"/>
      <c r="L787" s="19"/>
      <c r="M787" s="19"/>
      <c r="N787" s="19"/>
      <c r="O787" s="19"/>
      <c r="P787" s="19"/>
      <c r="Q787" s="19"/>
      <c r="R787" s="19"/>
      <c r="S787" s="19"/>
      <c r="T787" s="19"/>
      <c r="U787" s="19"/>
      <c r="V787" s="19"/>
      <c r="W787" s="19"/>
    </row>
    <row r="788" spans="1:23" ht="14.25" customHeight="1" x14ac:dyDescent="0.3">
      <c r="A788" s="19"/>
      <c r="B788" s="19"/>
      <c r="C788" s="19"/>
      <c r="D788" s="19"/>
      <c r="E788" s="19"/>
      <c r="F788" s="19"/>
      <c r="G788" s="19"/>
      <c r="H788" s="19"/>
      <c r="I788" s="20"/>
      <c r="J788" s="244"/>
      <c r="K788" s="19"/>
      <c r="L788" s="19"/>
      <c r="M788" s="19"/>
      <c r="N788" s="19"/>
      <c r="O788" s="19"/>
      <c r="P788" s="19"/>
      <c r="Q788" s="19"/>
      <c r="R788" s="19"/>
      <c r="S788" s="19"/>
      <c r="T788" s="19"/>
      <c r="U788" s="19"/>
      <c r="V788" s="19"/>
      <c r="W788" s="19"/>
    </row>
    <row r="789" spans="1:23" ht="14.25" customHeight="1" x14ac:dyDescent="0.3">
      <c r="A789" s="19"/>
      <c r="B789" s="19"/>
      <c r="C789" s="19"/>
      <c r="D789" s="19"/>
      <c r="E789" s="19"/>
      <c r="F789" s="19"/>
      <c r="G789" s="19"/>
      <c r="H789" s="19"/>
      <c r="I789" s="20"/>
      <c r="J789" s="244"/>
      <c r="K789" s="19"/>
      <c r="L789" s="19"/>
      <c r="M789" s="19"/>
      <c r="N789" s="19"/>
      <c r="O789" s="19"/>
      <c r="P789" s="19"/>
      <c r="Q789" s="19"/>
      <c r="R789" s="19"/>
      <c r="S789" s="19"/>
      <c r="T789" s="19"/>
      <c r="U789" s="19"/>
      <c r="V789" s="19"/>
      <c r="W789" s="19"/>
    </row>
    <row r="790" spans="1:23" ht="14.25" customHeight="1" x14ac:dyDescent="0.3">
      <c r="A790" s="19"/>
      <c r="B790" s="19"/>
      <c r="C790" s="19"/>
      <c r="D790" s="19"/>
      <c r="E790" s="19"/>
      <c r="F790" s="19"/>
      <c r="G790" s="19"/>
      <c r="H790" s="19"/>
      <c r="I790" s="20"/>
      <c r="J790" s="244"/>
      <c r="K790" s="19"/>
      <c r="L790" s="19"/>
      <c r="M790" s="19"/>
      <c r="N790" s="19"/>
      <c r="O790" s="19"/>
      <c r="P790" s="19"/>
      <c r="Q790" s="19"/>
      <c r="R790" s="19"/>
      <c r="S790" s="19"/>
      <c r="T790" s="19"/>
      <c r="U790" s="19"/>
      <c r="V790" s="19"/>
      <c r="W790" s="19"/>
    </row>
    <row r="791" spans="1:23" ht="14.25" customHeight="1" x14ac:dyDescent="0.3">
      <c r="A791" s="19"/>
      <c r="B791" s="19"/>
      <c r="C791" s="19"/>
      <c r="D791" s="19"/>
      <c r="E791" s="19"/>
      <c r="F791" s="19"/>
      <c r="G791" s="19"/>
      <c r="H791" s="19"/>
      <c r="I791" s="20"/>
      <c r="J791" s="244"/>
      <c r="K791" s="19"/>
      <c r="L791" s="19"/>
      <c r="M791" s="19"/>
      <c r="N791" s="19"/>
      <c r="O791" s="19"/>
      <c r="P791" s="19"/>
      <c r="Q791" s="19"/>
      <c r="R791" s="19"/>
      <c r="S791" s="19"/>
      <c r="T791" s="19"/>
      <c r="U791" s="19"/>
      <c r="V791" s="19"/>
      <c r="W791" s="19"/>
    </row>
    <row r="792" spans="1:23" ht="14.25" customHeight="1" x14ac:dyDescent="0.3">
      <c r="A792" s="19"/>
      <c r="B792" s="19"/>
      <c r="C792" s="19"/>
      <c r="D792" s="19"/>
      <c r="E792" s="19"/>
      <c r="F792" s="19"/>
      <c r="G792" s="19"/>
      <c r="H792" s="19"/>
      <c r="I792" s="20"/>
      <c r="J792" s="244"/>
      <c r="K792" s="19"/>
      <c r="L792" s="19"/>
      <c r="M792" s="19"/>
      <c r="N792" s="19"/>
      <c r="O792" s="19"/>
      <c r="P792" s="19"/>
      <c r="Q792" s="19"/>
      <c r="R792" s="19"/>
      <c r="S792" s="19"/>
      <c r="T792" s="19"/>
      <c r="U792" s="19"/>
      <c r="V792" s="19"/>
      <c r="W792" s="19"/>
    </row>
    <row r="793" spans="1:23" ht="14.25" customHeight="1" x14ac:dyDescent="0.3">
      <c r="A793" s="19"/>
      <c r="B793" s="19"/>
      <c r="C793" s="19"/>
      <c r="D793" s="19"/>
      <c r="E793" s="19"/>
      <c r="F793" s="19"/>
      <c r="G793" s="19"/>
      <c r="H793" s="19"/>
      <c r="I793" s="20"/>
      <c r="J793" s="244"/>
      <c r="K793" s="19"/>
      <c r="L793" s="19"/>
      <c r="M793" s="19"/>
      <c r="N793" s="19"/>
      <c r="O793" s="19"/>
      <c r="P793" s="19"/>
      <c r="Q793" s="19"/>
      <c r="R793" s="19"/>
      <c r="S793" s="19"/>
      <c r="T793" s="19"/>
      <c r="U793" s="19"/>
      <c r="V793" s="19"/>
      <c r="W793" s="19"/>
    </row>
    <row r="794" spans="1:23" ht="14.25" customHeight="1" x14ac:dyDescent="0.3">
      <c r="A794" s="19"/>
      <c r="B794" s="19"/>
      <c r="C794" s="19"/>
      <c r="D794" s="19"/>
      <c r="E794" s="19"/>
      <c r="F794" s="19"/>
      <c r="G794" s="19"/>
      <c r="H794" s="19"/>
      <c r="I794" s="20"/>
      <c r="J794" s="244"/>
      <c r="K794" s="19"/>
      <c r="L794" s="19"/>
      <c r="M794" s="19"/>
      <c r="N794" s="19"/>
      <c r="O794" s="19"/>
      <c r="P794" s="19"/>
      <c r="Q794" s="19"/>
      <c r="R794" s="19"/>
      <c r="S794" s="19"/>
      <c r="T794" s="19"/>
      <c r="U794" s="19"/>
      <c r="V794" s="19"/>
      <c r="W794" s="19"/>
    </row>
    <row r="795" spans="1:23" ht="14.25" customHeight="1" x14ac:dyDescent="0.3">
      <c r="A795" s="19"/>
      <c r="B795" s="19"/>
      <c r="C795" s="19"/>
      <c r="D795" s="19"/>
      <c r="E795" s="19"/>
      <c r="F795" s="19"/>
      <c r="G795" s="19"/>
      <c r="H795" s="19"/>
      <c r="I795" s="20"/>
      <c r="J795" s="244"/>
      <c r="K795" s="19"/>
      <c r="L795" s="19"/>
      <c r="M795" s="19"/>
      <c r="N795" s="19"/>
      <c r="O795" s="19"/>
      <c r="P795" s="19"/>
      <c r="Q795" s="19"/>
      <c r="R795" s="19"/>
      <c r="S795" s="19"/>
      <c r="T795" s="19"/>
      <c r="U795" s="19"/>
      <c r="V795" s="19"/>
      <c r="W795" s="19"/>
    </row>
    <row r="796" spans="1:23" ht="14.25" customHeight="1" x14ac:dyDescent="0.3">
      <c r="A796" s="19"/>
      <c r="B796" s="19"/>
      <c r="C796" s="19"/>
      <c r="D796" s="19"/>
      <c r="E796" s="19"/>
      <c r="F796" s="19"/>
      <c r="G796" s="19"/>
      <c r="H796" s="19"/>
      <c r="I796" s="20"/>
      <c r="J796" s="244"/>
      <c r="K796" s="19"/>
      <c r="L796" s="19"/>
      <c r="M796" s="19"/>
      <c r="N796" s="19"/>
      <c r="O796" s="19"/>
      <c r="P796" s="19"/>
      <c r="Q796" s="19"/>
      <c r="R796" s="19"/>
      <c r="S796" s="19"/>
      <c r="T796" s="19"/>
      <c r="U796" s="19"/>
      <c r="V796" s="19"/>
      <c r="W796" s="19"/>
    </row>
    <row r="797" spans="1:23" ht="14.25" customHeight="1" x14ac:dyDescent="0.3">
      <c r="A797" s="19"/>
      <c r="B797" s="19"/>
      <c r="C797" s="19"/>
      <c r="D797" s="19"/>
      <c r="E797" s="19"/>
      <c r="F797" s="19"/>
      <c r="G797" s="19"/>
      <c r="H797" s="19"/>
      <c r="I797" s="20"/>
      <c r="J797" s="244"/>
      <c r="K797" s="19"/>
      <c r="L797" s="19"/>
      <c r="M797" s="19"/>
      <c r="N797" s="19"/>
      <c r="O797" s="19"/>
      <c r="P797" s="19"/>
      <c r="Q797" s="19"/>
      <c r="R797" s="19"/>
      <c r="S797" s="19"/>
      <c r="T797" s="19"/>
      <c r="U797" s="19"/>
      <c r="V797" s="19"/>
      <c r="W797" s="19"/>
    </row>
    <row r="798" spans="1:23" ht="14.25" customHeight="1" x14ac:dyDescent="0.3">
      <c r="A798" s="19"/>
      <c r="B798" s="19"/>
      <c r="C798" s="19"/>
      <c r="D798" s="19"/>
      <c r="E798" s="19"/>
      <c r="F798" s="19"/>
      <c r="G798" s="19"/>
      <c r="H798" s="19"/>
      <c r="I798" s="20"/>
      <c r="J798" s="244"/>
      <c r="K798" s="19"/>
      <c r="L798" s="19"/>
      <c r="M798" s="19"/>
      <c r="N798" s="19"/>
      <c r="O798" s="19"/>
      <c r="P798" s="19"/>
      <c r="Q798" s="19"/>
      <c r="R798" s="19"/>
      <c r="S798" s="19"/>
      <c r="T798" s="19"/>
      <c r="U798" s="19"/>
      <c r="V798" s="19"/>
      <c r="W798" s="19"/>
    </row>
    <row r="799" spans="1:23" ht="14.25" customHeight="1" x14ac:dyDescent="0.3">
      <c r="A799" s="19"/>
      <c r="B799" s="19"/>
      <c r="C799" s="19"/>
      <c r="D799" s="19"/>
      <c r="E799" s="19"/>
      <c r="F799" s="19"/>
      <c r="G799" s="19"/>
      <c r="H799" s="19"/>
      <c r="I799" s="20"/>
      <c r="J799" s="244"/>
      <c r="K799" s="19"/>
      <c r="L799" s="19"/>
      <c r="M799" s="19"/>
      <c r="N799" s="19"/>
      <c r="O799" s="19"/>
      <c r="P799" s="19"/>
      <c r="Q799" s="19"/>
      <c r="R799" s="19"/>
      <c r="S799" s="19"/>
      <c r="T799" s="19"/>
      <c r="U799" s="19"/>
      <c r="V799" s="19"/>
      <c r="W799" s="19"/>
    </row>
    <row r="800" spans="1:23" ht="14.25" customHeight="1" x14ac:dyDescent="0.3">
      <c r="A800" s="19"/>
      <c r="B800" s="19"/>
      <c r="C800" s="19"/>
      <c r="D800" s="19"/>
      <c r="E800" s="19"/>
      <c r="F800" s="19"/>
      <c r="G800" s="19"/>
      <c r="H800" s="19"/>
      <c r="I800" s="20"/>
      <c r="J800" s="244"/>
      <c r="K800" s="19"/>
      <c r="L800" s="19"/>
      <c r="M800" s="19"/>
      <c r="N800" s="19"/>
      <c r="O800" s="19"/>
      <c r="P800" s="19"/>
      <c r="Q800" s="19"/>
      <c r="R800" s="19"/>
      <c r="S800" s="19"/>
      <c r="T800" s="19"/>
      <c r="U800" s="19"/>
      <c r="V800" s="19"/>
      <c r="W800" s="19"/>
    </row>
    <row r="801" spans="1:23" ht="14.25" customHeight="1" x14ac:dyDescent="0.3">
      <c r="A801" s="19"/>
      <c r="B801" s="19"/>
      <c r="C801" s="19"/>
      <c r="D801" s="19"/>
      <c r="E801" s="19"/>
      <c r="F801" s="19"/>
      <c r="G801" s="19"/>
      <c r="H801" s="19"/>
      <c r="I801" s="20"/>
      <c r="J801" s="244"/>
      <c r="K801" s="19"/>
      <c r="L801" s="19"/>
      <c r="M801" s="19"/>
      <c r="N801" s="19"/>
      <c r="O801" s="19"/>
      <c r="P801" s="19"/>
      <c r="Q801" s="19"/>
      <c r="R801" s="19"/>
      <c r="S801" s="19"/>
      <c r="T801" s="19"/>
      <c r="U801" s="19"/>
      <c r="V801" s="19"/>
      <c r="W801" s="19"/>
    </row>
    <row r="802" spans="1:23" ht="14.25" customHeight="1" x14ac:dyDescent="0.3">
      <c r="A802" s="19"/>
      <c r="B802" s="19"/>
      <c r="C802" s="19"/>
      <c r="D802" s="19"/>
      <c r="E802" s="19"/>
      <c r="F802" s="19"/>
      <c r="G802" s="19"/>
      <c r="H802" s="19"/>
      <c r="I802" s="20"/>
      <c r="J802" s="244"/>
      <c r="K802" s="19"/>
      <c r="L802" s="19"/>
      <c r="M802" s="19"/>
      <c r="N802" s="19"/>
      <c r="O802" s="19"/>
      <c r="P802" s="19"/>
      <c r="Q802" s="19"/>
      <c r="R802" s="19"/>
      <c r="S802" s="19"/>
      <c r="T802" s="19"/>
      <c r="U802" s="19"/>
      <c r="V802" s="19"/>
      <c r="W802" s="19"/>
    </row>
    <row r="803" spans="1:23" ht="14.25" customHeight="1" x14ac:dyDescent="0.3">
      <c r="A803" s="19"/>
      <c r="B803" s="19"/>
      <c r="C803" s="19"/>
      <c r="D803" s="19"/>
      <c r="E803" s="19"/>
      <c r="F803" s="19"/>
      <c r="G803" s="19"/>
      <c r="H803" s="19"/>
      <c r="I803" s="20"/>
      <c r="J803" s="244"/>
      <c r="K803" s="19"/>
      <c r="L803" s="19"/>
      <c r="M803" s="19"/>
      <c r="N803" s="19"/>
      <c r="O803" s="19"/>
      <c r="P803" s="19"/>
      <c r="Q803" s="19"/>
      <c r="R803" s="19"/>
      <c r="S803" s="19"/>
      <c r="T803" s="19"/>
      <c r="U803" s="19"/>
      <c r="V803" s="19"/>
      <c r="W803" s="19"/>
    </row>
    <row r="804" spans="1:23" ht="14.25" customHeight="1" x14ac:dyDescent="0.3">
      <c r="A804" s="19"/>
      <c r="B804" s="19"/>
      <c r="C804" s="19"/>
      <c r="D804" s="19"/>
      <c r="E804" s="19"/>
      <c r="F804" s="19"/>
      <c r="G804" s="19"/>
      <c r="H804" s="19"/>
      <c r="I804" s="20"/>
      <c r="J804" s="244"/>
      <c r="K804" s="19"/>
      <c r="L804" s="19"/>
      <c r="M804" s="19"/>
      <c r="N804" s="19"/>
      <c r="O804" s="19"/>
      <c r="P804" s="19"/>
      <c r="Q804" s="19"/>
      <c r="R804" s="19"/>
      <c r="S804" s="19"/>
      <c r="T804" s="19"/>
      <c r="U804" s="19"/>
      <c r="V804" s="19"/>
      <c r="W804" s="19"/>
    </row>
    <row r="805" spans="1:23" ht="14.25" customHeight="1" x14ac:dyDescent="0.3">
      <c r="A805" s="19"/>
      <c r="B805" s="19"/>
      <c r="C805" s="19"/>
      <c r="D805" s="19"/>
      <c r="E805" s="19"/>
      <c r="F805" s="19"/>
      <c r="G805" s="19"/>
      <c r="H805" s="19"/>
      <c r="I805" s="20"/>
      <c r="J805" s="244"/>
      <c r="K805" s="19"/>
      <c r="L805" s="19"/>
      <c r="M805" s="19"/>
      <c r="N805" s="19"/>
      <c r="O805" s="19"/>
      <c r="P805" s="19"/>
      <c r="Q805" s="19"/>
      <c r="R805" s="19"/>
      <c r="S805" s="19"/>
      <c r="T805" s="19"/>
      <c r="U805" s="19"/>
      <c r="V805" s="19"/>
      <c r="W805" s="19"/>
    </row>
    <row r="806" spans="1:23" ht="14.25" customHeight="1" x14ac:dyDescent="0.3">
      <c r="A806" s="19"/>
      <c r="B806" s="19"/>
      <c r="C806" s="19"/>
      <c r="D806" s="19"/>
      <c r="E806" s="19"/>
      <c r="F806" s="19"/>
      <c r="G806" s="19"/>
      <c r="H806" s="19"/>
      <c r="I806" s="20"/>
      <c r="J806" s="244"/>
      <c r="K806" s="19"/>
      <c r="L806" s="19"/>
      <c r="M806" s="19"/>
      <c r="N806" s="19"/>
      <c r="O806" s="19"/>
      <c r="P806" s="19"/>
      <c r="Q806" s="19"/>
      <c r="R806" s="19"/>
      <c r="S806" s="19"/>
      <c r="T806" s="19"/>
      <c r="U806" s="19"/>
      <c r="V806" s="19"/>
      <c r="W806" s="19"/>
    </row>
    <row r="807" spans="1:23" ht="14.25" customHeight="1" x14ac:dyDescent="0.3">
      <c r="A807" s="19"/>
      <c r="B807" s="19"/>
      <c r="C807" s="19"/>
      <c r="D807" s="19"/>
      <c r="E807" s="19"/>
      <c r="F807" s="19"/>
      <c r="G807" s="19"/>
      <c r="H807" s="19"/>
      <c r="I807" s="20"/>
      <c r="J807" s="244"/>
      <c r="K807" s="19"/>
      <c r="L807" s="19"/>
      <c r="M807" s="19"/>
      <c r="N807" s="19"/>
      <c r="O807" s="19"/>
      <c r="P807" s="19"/>
      <c r="Q807" s="19"/>
      <c r="R807" s="19"/>
      <c r="S807" s="19"/>
      <c r="T807" s="19"/>
      <c r="U807" s="19"/>
      <c r="V807" s="19"/>
      <c r="W807" s="19"/>
    </row>
    <row r="808" spans="1:23" ht="14.25" customHeight="1" x14ac:dyDescent="0.3">
      <c r="A808" s="19"/>
      <c r="B808" s="19"/>
      <c r="C808" s="19"/>
      <c r="D808" s="19"/>
      <c r="E808" s="19"/>
      <c r="F808" s="19"/>
      <c r="G808" s="19"/>
      <c r="H808" s="19"/>
      <c r="I808" s="20"/>
      <c r="J808" s="244"/>
      <c r="K808" s="19"/>
      <c r="L808" s="19"/>
      <c r="M808" s="19"/>
      <c r="N808" s="19"/>
      <c r="O808" s="19"/>
      <c r="P808" s="19"/>
      <c r="Q808" s="19"/>
      <c r="R808" s="19"/>
      <c r="S808" s="19"/>
      <c r="T808" s="19"/>
      <c r="U808" s="19"/>
      <c r="V808" s="19"/>
      <c r="W808" s="19"/>
    </row>
    <row r="809" spans="1:23" ht="14.25" customHeight="1" x14ac:dyDescent="0.3">
      <c r="A809" s="19"/>
      <c r="B809" s="19"/>
      <c r="C809" s="19"/>
      <c r="D809" s="19"/>
      <c r="E809" s="19"/>
      <c r="F809" s="19"/>
      <c r="G809" s="19"/>
      <c r="H809" s="19"/>
      <c r="I809" s="20"/>
      <c r="J809" s="244"/>
      <c r="K809" s="19"/>
      <c r="L809" s="19"/>
      <c r="M809" s="19"/>
      <c r="N809" s="19"/>
      <c r="O809" s="19"/>
      <c r="P809" s="19"/>
      <c r="Q809" s="19"/>
      <c r="R809" s="19"/>
      <c r="S809" s="19"/>
      <c r="T809" s="19"/>
      <c r="U809" s="19"/>
      <c r="V809" s="19"/>
      <c r="W809" s="19"/>
    </row>
    <row r="810" spans="1:23" ht="14.25" customHeight="1" x14ac:dyDescent="0.3">
      <c r="A810" s="19"/>
      <c r="B810" s="19"/>
      <c r="C810" s="19"/>
      <c r="D810" s="19"/>
      <c r="E810" s="19"/>
      <c r="F810" s="19"/>
      <c r="G810" s="19"/>
      <c r="H810" s="19"/>
      <c r="I810" s="20"/>
      <c r="J810" s="244"/>
      <c r="K810" s="19"/>
      <c r="L810" s="19"/>
      <c r="M810" s="19"/>
      <c r="N810" s="19"/>
      <c r="O810" s="19"/>
      <c r="P810" s="19"/>
      <c r="Q810" s="19"/>
      <c r="R810" s="19"/>
      <c r="S810" s="19"/>
      <c r="T810" s="19"/>
      <c r="U810" s="19"/>
      <c r="V810" s="19"/>
      <c r="W810" s="19"/>
    </row>
    <row r="811" spans="1:23" ht="14.25" customHeight="1" x14ac:dyDescent="0.3">
      <c r="A811" s="19"/>
      <c r="B811" s="19"/>
      <c r="C811" s="19"/>
      <c r="D811" s="19"/>
      <c r="E811" s="19"/>
      <c r="F811" s="19"/>
      <c r="G811" s="19"/>
      <c r="H811" s="19"/>
      <c r="I811" s="20"/>
      <c r="J811" s="244"/>
      <c r="K811" s="19"/>
      <c r="L811" s="19"/>
      <c r="M811" s="19"/>
      <c r="N811" s="19"/>
      <c r="O811" s="19"/>
      <c r="P811" s="19"/>
      <c r="Q811" s="19"/>
      <c r="R811" s="19"/>
      <c r="S811" s="19"/>
      <c r="T811" s="19"/>
      <c r="U811" s="19"/>
      <c r="V811" s="19"/>
      <c r="W811" s="19"/>
    </row>
    <row r="812" spans="1:23" ht="14.25" customHeight="1" x14ac:dyDescent="0.3">
      <c r="A812" s="19"/>
      <c r="B812" s="19"/>
      <c r="C812" s="19"/>
      <c r="D812" s="19"/>
      <c r="E812" s="19"/>
      <c r="F812" s="19"/>
      <c r="G812" s="19"/>
      <c r="H812" s="19"/>
      <c r="I812" s="20"/>
      <c r="J812" s="244"/>
      <c r="K812" s="19"/>
      <c r="L812" s="19"/>
      <c r="M812" s="19"/>
      <c r="N812" s="19"/>
      <c r="O812" s="19"/>
      <c r="P812" s="19"/>
      <c r="Q812" s="19"/>
      <c r="R812" s="19"/>
      <c r="S812" s="19"/>
      <c r="T812" s="19"/>
      <c r="U812" s="19"/>
      <c r="V812" s="19"/>
      <c r="W812" s="19"/>
    </row>
    <row r="813" spans="1:23" ht="14.25" customHeight="1" x14ac:dyDescent="0.3">
      <c r="A813" s="19"/>
      <c r="B813" s="19"/>
      <c r="C813" s="19"/>
      <c r="D813" s="19"/>
      <c r="E813" s="19"/>
      <c r="F813" s="19"/>
      <c r="G813" s="19"/>
      <c r="H813" s="19"/>
      <c r="I813" s="20"/>
      <c r="J813" s="244"/>
      <c r="K813" s="19"/>
      <c r="L813" s="19"/>
      <c r="M813" s="19"/>
      <c r="N813" s="19"/>
      <c r="O813" s="19"/>
      <c r="P813" s="19"/>
      <c r="Q813" s="19"/>
      <c r="R813" s="19"/>
      <c r="S813" s="19"/>
      <c r="T813" s="19"/>
      <c r="U813" s="19"/>
      <c r="V813" s="19"/>
      <c r="W813" s="19"/>
    </row>
    <row r="814" spans="1:23" ht="14.25" customHeight="1" x14ac:dyDescent="0.3">
      <c r="A814" s="19"/>
      <c r="B814" s="19"/>
      <c r="C814" s="19"/>
      <c r="D814" s="19"/>
      <c r="E814" s="19"/>
      <c r="F814" s="19"/>
      <c r="G814" s="19"/>
      <c r="H814" s="19"/>
      <c r="I814" s="20"/>
      <c r="J814" s="244"/>
      <c r="K814" s="19"/>
      <c r="L814" s="19"/>
      <c r="M814" s="19"/>
      <c r="N814" s="19"/>
      <c r="O814" s="19"/>
      <c r="P814" s="19"/>
      <c r="Q814" s="19"/>
      <c r="R814" s="19"/>
      <c r="S814" s="19"/>
      <c r="T814" s="19"/>
      <c r="U814" s="19"/>
      <c r="V814" s="19"/>
      <c r="W814" s="19"/>
    </row>
    <row r="815" spans="1:23" ht="14.25" customHeight="1" x14ac:dyDescent="0.3">
      <c r="A815" s="19"/>
      <c r="B815" s="19"/>
      <c r="C815" s="19"/>
      <c r="D815" s="19"/>
      <c r="E815" s="19"/>
      <c r="F815" s="19"/>
      <c r="G815" s="19"/>
      <c r="H815" s="19"/>
      <c r="I815" s="20"/>
      <c r="J815" s="244"/>
      <c r="K815" s="19"/>
      <c r="L815" s="19"/>
      <c r="M815" s="19"/>
      <c r="N815" s="19"/>
      <c r="O815" s="19"/>
      <c r="P815" s="19"/>
      <c r="Q815" s="19"/>
      <c r="R815" s="19"/>
      <c r="S815" s="19"/>
      <c r="T815" s="19"/>
      <c r="U815" s="19"/>
      <c r="V815" s="19"/>
      <c r="W815" s="19"/>
    </row>
    <row r="816" spans="1:23" ht="14.25" customHeight="1" x14ac:dyDescent="0.3">
      <c r="A816" s="19"/>
      <c r="B816" s="19"/>
      <c r="C816" s="19"/>
      <c r="D816" s="19"/>
      <c r="E816" s="19"/>
      <c r="F816" s="19"/>
      <c r="G816" s="19"/>
      <c r="H816" s="19"/>
      <c r="I816" s="20"/>
      <c r="J816" s="244"/>
      <c r="K816" s="19"/>
      <c r="L816" s="19"/>
      <c r="M816" s="19"/>
      <c r="N816" s="19"/>
      <c r="O816" s="19"/>
      <c r="P816" s="19"/>
      <c r="Q816" s="19"/>
      <c r="R816" s="19"/>
      <c r="S816" s="19"/>
      <c r="T816" s="19"/>
      <c r="U816" s="19"/>
      <c r="V816" s="19"/>
      <c r="W816" s="19"/>
    </row>
    <row r="817" spans="1:23" ht="14.25" customHeight="1" x14ac:dyDescent="0.3">
      <c r="A817" s="19"/>
      <c r="B817" s="19"/>
      <c r="C817" s="19"/>
      <c r="D817" s="19"/>
      <c r="E817" s="19"/>
      <c r="F817" s="19"/>
      <c r="G817" s="19"/>
      <c r="H817" s="19"/>
      <c r="I817" s="20"/>
      <c r="J817" s="244"/>
      <c r="K817" s="19"/>
      <c r="L817" s="19"/>
      <c r="M817" s="19"/>
      <c r="N817" s="19"/>
      <c r="O817" s="19"/>
      <c r="P817" s="19"/>
      <c r="Q817" s="19"/>
      <c r="R817" s="19"/>
      <c r="S817" s="19"/>
      <c r="T817" s="19"/>
      <c r="U817" s="19"/>
      <c r="V817" s="19"/>
      <c r="W817" s="19"/>
    </row>
    <row r="818" spans="1:23" ht="14.25" customHeight="1" x14ac:dyDescent="0.3">
      <c r="A818" s="19"/>
      <c r="B818" s="19"/>
      <c r="C818" s="19"/>
      <c r="D818" s="19"/>
      <c r="E818" s="19"/>
      <c r="F818" s="19"/>
      <c r="G818" s="19"/>
      <c r="H818" s="19"/>
      <c r="I818" s="20"/>
      <c r="J818" s="244"/>
      <c r="K818" s="19"/>
      <c r="L818" s="19"/>
      <c r="M818" s="19"/>
      <c r="N818" s="19"/>
      <c r="O818" s="19"/>
      <c r="P818" s="19"/>
      <c r="Q818" s="19"/>
      <c r="R818" s="19"/>
      <c r="S818" s="19"/>
      <c r="T818" s="19"/>
      <c r="U818" s="19"/>
      <c r="V818" s="19"/>
      <c r="W818" s="19"/>
    </row>
    <row r="819" spans="1:23" ht="14.25" customHeight="1" x14ac:dyDescent="0.3">
      <c r="A819" s="19"/>
      <c r="B819" s="19"/>
      <c r="C819" s="19"/>
      <c r="D819" s="19"/>
      <c r="E819" s="19"/>
      <c r="F819" s="19"/>
      <c r="G819" s="19"/>
      <c r="H819" s="19"/>
      <c r="I819" s="20"/>
      <c r="J819" s="244"/>
      <c r="K819" s="19"/>
      <c r="L819" s="19"/>
      <c r="M819" s="19"/>
      <c r="N819" s="19"/>
      <c r="O819" s="19"/>
      <c r="P819" s="19"/>
      <c r="Q819" s="19"/>
      <c r="R819" s="19"/>
      <c r="S819" s="19"/>
      <c r="T819" s="19"/>
      <c r="U819" s="19"/>
      <c r="V819" s="19"/>
      <c r="W819" s="19"/>
    </row>
    <row r="820" spans="1:23" ht="14.25" customHeight="1" x14ac:dyDescent="0.3">
      <c r="A820" s="19"/>
      <c r="B820" s="19"/>
      <c r="C820" s="19"/>
      <c r="D820" s="19"/>
      <c r="E820" s="19"/>
      <c r="F820" s="19"/>
      <c r="G820" s="19"/>
      <c r="H820" s="19"/>
      <c r="I820" s="20"/>
      <c r="J820" s="244"/>
      <c r="K820" s="19"/>
      <c r="L820" s="19"/>
      <c r="M820" s="19"/>
      <c r="N820" s="19"/>
      <c r="O820" s="19"/>
      <c r="P820" s="19"/>
      <c r="Q820" s="19"/>
      <c r="R820" s="19"/>
      <c r="S820" s="19"/>
      <c r="T820" s="19"/>
      <c r="U820" s="19"/>
      <c r="V820" s="19"/>
      <c r="W820" s="19"/>
    </row>
    <row r="821" spans="1:23" ht="14.25" customHeight="1" x14ac:dyDescent="0.3">
      <c r="A821" s="19"/>
      <c r="B821" s="19"/>
      <c r="C821" s="19"/>
      <c r="D821" s="19"/>
      <c r="E821" s="19"/>
      <c r="F821" s="19"/>
      <c r="G821" s="19"/>
      <c r="H821" s="19"/>
      <c r="I821" s="20"/>
      <c r="J821" s="244"/>
      <c r="K821" s="19"/>
      <c r="L821" s="19"/>
      <c r="M821" s="19"/>
      <c r="N821" s="19"/>
      <c r="O821" s="19"/>
      <c r="P821" s="19"/>
      <c r="Q821" s="19"/>
      <c r="R821" s="19"/>
      <c r="S821" s="19"/>
      <c r="T821" s="19"/>
      <c r="U821" s="19"/>
      <c r="V821" s="19"/>
      <c r="W821" s="19"/>
    </row>
    <row r="822" spans="1:23" ht="14.25" customHeight="1" x14ac:dyDescent="0.3">
      <c r="A822" s="19"/>
      <c r="B822" s="19"/>
      <c r="C822" s="19"/>
      <c r="D822" s="19"/>
      <c r="E822" s="19"/>
      <c r="F822" s="19"/>
      <c r="G822" s="19"/>
      <c r="H822" s="19"/>
      <c r="I822" s="20"/>
      <c r="J822" s="244"/>
      <c r="K822" s="19"/>
      <c r="L822" s="19"/>
      <c r="M822" s="19"/>
      <c r="N822" s="19"/>
      <c r="O822" s="19"/>
      <c r="P822" s="19"/>
      <c r="Q822" s="19"/>
      <c r="R822" s="19"/>
      <c r="S822" s="19"/>
      <c r="T822" s="19"/>
      <c r="U822" s="19"/>
      <c r="V822" s="19"/>
      <c r="W822" s="19"/>
    </row>
    <row r="823" spans="1:23" ht="14.25" customHeight="1" x14ac:dyDescent="0.3">
      <c r="A823" s="19"/>
      <c r="B823" s="19"/>
      <c r="C823" s="19"/>
      <c r="D823" s="19"/>
      <c r="E823" s="19"/>
      <c r="F823" s="19"/>
      <c r="G823" s="19"/>
      <c r="H823" s="19"/>
      <c r="I823" s="20"/>
      <c r="J823" s="244"/>
      <c r="K823" s="19"/>
      <c r="L823" s="19"/>
      <c r="M823" s="19"/>
      <c r="N823" s="19"/>
      <c r="O823" s="19"/>
      <c r="P823" s="19"/>
      <c r="Q823" s="19"/>
      <c r="R823" s="19"/>
      <c r="S823" s="19"/>
      <c r="T823" s="19"/>
      <c r="U823" s="19"/>
      <c r="V823" s="19"/>
      <c r="W823" s="19"/>
    </row>
    <row r="824" spans="1:23" ht="14.25" customHeight="1" x14ac:dyDescent="0.3">
      <c r="A824" s="19"/>
      <c r="B824" s="19"/>
      <c r="C824" s="19"/>
      <c r="D824" s="19"/>
      <c r="E824" s="19"/>
      <c r="F824" s="19"/>
      <c r="G824" s="19"/>
      <c r="H824" s="19"/>
      <c r="I824" s="20"/>
      <c r="J824" s="244"/>
      <c r="K824" s="19"/>
      <c r="L824" s="19"/>
      <c r="M824" s="19"/>
      <c r="N824" s="19"/>
      <c r="O824" s="19"/>
      <c r="P824" s="19"/>
      <c r="Q824" s="19"/>
      <c r="R824" s="19"/>
      <c r="S824" s="19"/>
      <c r="T824" s="19"/>
      <c r="U824" s="19"/>
      <c r="V824" s="19"/>
      <c r="W824" s="19"/>
    </row>
    <row r="825" spans="1:23" ht="14.25" customHeight="1" x14ac:dyDescent="0.3">
      <c r="A825" s="19"/>
      <c r="B825" s="19"/>
      <c r="C825" s="19"/>
      <c r="D825" s="19"/>
      <c r="E825" s="19"/>
      <c r="F825" s="19"/>
      <c r="G825" s="19"/>
      <c r="H825" s="19"/>
      <c r="I825" s="20"/>
      <c r="J825" s="244"/>
      <c r="K825" s="19"/>
      <c r="L825" s="19"/>
      <c r="M825" s="19"/>
      <c r="N825" s="19"/>
      <c r="O825" s="19"/>
      <c r="P825" s="19"/>
      <c r="Q825" s="19"/>
      <c r="R825" s="19"/>
      <c r="S825" s="19"/>
      <c r="T825" s="19"/>
      <c r="U825" s="19"/>
      <c r="V825" s="19"/>
      <c r="W825" s="19"/>
    </row>
    <row r="826" spans="1:23" ht="14.25" customHeight="1" x14ac:dyDescent="0.3">
      <c r="A826" s="19"/>
      <c r="B826" s="19"/>
      <c r="C826" s="19"/>
      <c r="D826" s="19"/>
      <c r="E826" s="19"/>
      <c r="F826" s="19"/>
      <c r="G826" s="19"/>
      <c r="H826" s="19"/>
      <c r="I826" s="20"/>
      <c r="J826" s="244"/>
      <c r="K826" s="19"/>
      <c r="L826" s="19"/>
      <c r="M826" s="19"/>
      <c r="N826" s="19"/>
      <c r="O826" s="19"/>
      <c r="P826" s="19"/>
      <c r="Q826" s="19"/>
      <c r="R826" s="19"/>
      <c r="S826" s="19"/>
      <c r="T826" s="19"/>
      <c r="U826" s="19"/>
      <c r="V826" s="19"/>
      <c r="W826" s="19"/>
    </row>
    <row r="827" spans="1:23" ht="14.25" customHeight="1" x14ac:dyDescent="0.3">
      <c r="A827" s="19"/>
      <c r="B827" s="19"/>
      <c r="C827" s="19"/>
      <c r="D827" s="19"/>
      <c r="E827" s="19"/>
      <c r="F827" s="19"/>
      <c r="G827" s="19"/>
      <c r="H827" s="19"/>
      <c r="I827" s="20"/>
      <c r="J827" s="244"/>
      <c r="K827" s="19"/>
      <c r="L827" s="19"/>
      <c r="M827" s="19"/>
      <c r="N827" s="19"/>
      <c r="O827" s="19"/>
      <c r="P827" s="19"/>
      <c r="Q827" s="19"/>
      <c r="R827" s="19"/>
      <c r="S827" s="19"/>
      <c r="T827" s="19"/>
      <c r="U827" s="19"/>
      <c r="V827" s="19"/>
      <c r="W827" s="19"/>
    </row>
    <row r="828" spans="1:23" ht="14.25" customHeight="1" x14ac:dyDescent="0.3">
      <c r="A828" s="19"/>
      <c r="B828" s="19"/>
      <c r="C828" s="19"/>
      <c r="D828" s="19"/>
      <c r="E828" s="19"/>
      <c r="F828" s="19"/>
      <c r="G828" s="19"/>
      <c r="H828" s="19"/>
      <c r="I828" s="20"/>
      <c r="J828" s="244"/>
      <c r="K828" s="19"/>
      <c r="L828" s="19"/>
      <c r="M828" s="19"/>
      <c r="N828" s="19"/>
      <c r="O828" s="19"/>
      <c r="P828" s="19"/>
      <c r="Q828" s="19"/>
      <c r="R828" s="19"/>
      <c r="S828" s="19"/>
      <c r="T828" s="19"/>
      <c r="U828" s="19"/>
      <c r="V828" s="19"/>
      <c r="W828" s="19"/>
    </row>
    <row r="829" spans="1:23" ht="14.25" customHeight="1" x14ac:dyDescent="0.3">
      <c r="A829" s="19"/>
      <c r="B829" s="19"/>
      <c r="C829" s="19"/>
      <c r="D829" s="19"/>
      <c r="E829" s="19"/>
      <c r="F829" s="19"/>
      <c r="G829" s="19"/>
      <c r="H829" s="19"/>
      <c r="I829" s="20"/>
      <c r="J829" s="244"/>
      <c r="K829" s="19"/>
      <c r="L829" s="19"/>
      <c r="M829" s="19"/>
      <c r="N829" s="19"/>
      <c r="O829" s="19"/>
      <c r="P829" s="19"/>
      <c r="Q829" s="19"/>
      <c r="R829" s="19"/>
      <c r="S829" s="19"/>
      <c r="T829" s="19"/>
      <c r="U829" s="19"/>
      <c r="V829" s="19"/>
      <c r="W829" s="19"/>
    </row>
    <row r="830" spans="1:23" ht="14.25" customHeight="1" x14ac:dyDescent="0.3">
      <c r="A830" s="19"/>
      <c r="B830" s="19"/>
      <c r="C830" s="19"/>
      <c r="D830" s="19"/>
      <c r="E830" s="19"/>
      <c r="F830" s="19"/>
      <c r="G830" s="19"/>
      <c r="H830" s="19"/>
      <c r="I830" s="20"/>
      <c r="J830" s="244"/>
      <c r="K830" s="19"/>
      <c r="L830" s="19"/>
      <c r="M830" s="19"/>
      <c r="N830" s="19"/>
      <c r="O830" s="19"/>
      <c r="P830" s="19"/>
      <c r="Q830" s="19"/>
      <c r="R830" s="19"/>
      <c r="S830" s="19"/>
      <c r="T830" s="19"/>
      <c r="U830" s="19"/>
      <c r="V830" s="19"/>
      <c r="W830" s="19"/>
    </row>
    <row r="831" spans="1:23" ht="14.25" customHeight="1" x14ac:dyDescent="0.3">
      <c r="A831" s="19"/>
      <c r="B831" s="19"/>
      <c r="C831" s="19"/>
      <c r="D831" s="19"/>
      <c r="E831" s="19"/>
      <c r="F831" s="19"/>
      <c r="G831" s="19"/>
      <c r="H831" s="19"/>
      <c r="I831" s="20"/>
      <c r="J831" s="244"/>
      <c r="K831" s="19"/>
      <c r="L831" s="19"/>
      <c r="M831" s="19"/>
      <c r="N831" s="19"/>
      <c r="O831" s="19"/>
      <c r="P831" s="19"/>
      <c r="Q831" s="19"/>
      <c r="R831" s="19"/>
      <c r="S831" s="19"/>
      <c r="T831" s="19"/>
      <c r="U831" s="19"/>
      <c r="V831" s="19"/>
      <c r="W831" s="19"/>
    </row>
    <row r="832" spans="1:23" ht="14.25" customHeight="1" x14ac:dyDescent="0.3">
      <c r="A832" s="19"/>
      <c r="B832" s="19"/>
      <c r="C832" s="19"/>
      <c r="D832" s="19"/>
      <c r="E832" s="19"/>
      <c r="F832" s="19"/>
      <c r="G832" s="19"/>
      <c r="H832" s="19"/>
      <c r="I832" s="20"/>
      <c r="J832" s="244"/>
      <c r="K832" s="19"/>
      <c r="L832" s="19"/>
      <c r="M832" s="19"/>
      <c r="N832" s="19"/>
      <c r="O832" s="19"/>
      <c r="P832" s="19"/>
      <c r="Q832" s="19"/>
      <c r="R832" s="19"/>
      <c r="S832" s="19"/>
      <c r="T832" s="19"/>
      <c r="U832" s="19"/>
      <c r="V832" s="19"/>
      <c r="W832" s="19"/>
    </row>
    <row r="833" spans="1:23" ht="14.25" customHeight="1" x14ac:dyDescent="0.3">
      <c r="A833" s="19"/>
      <c r="B833" s="19"/>
      <c r="C833" s="19"/>
      <c r="D833" s="19"/>
      <c r="E833" s="19"/>
      <c r="F833" s="19"/>
      <c r="G833" s="19"/>
      <c r="H833" s="19"/>
      <c r="I833" s="20"/>
      <c r="J833" s="244"/>
      <c r="K833" s="19"/>
      <c r="L833" s="19"/>
      <c r="M833" s="19"/>
      <c r="N833" s="19"/>
      <c r="O833" s="19"/>
      <c r="P833" s="19"/>
      <c r="Q833" s="19"/>
      <c r="R833" s="19"/>
      <c r="S833" s="19"/>
      <c r="T833" s="19"/>
      <c r="U833" s="19"/>
      <c r="V833" s="19"/>
      <c r="W833" s="19"/>
    </row>
    <row r="834" spans="1:23" ht="14.25" customHeight="1" x14ac:dyDescent="0.3">
      <c r="A834" s="19"/>
      <c r="B834" s="19"/>
      <c r="C834" s="19"/>
      <c r="D834" s="19"/>
      <c r="E834" s="19"/>
      <c r="F834" s="19"/>
      <c r="G834" s="19"/>
      <c r="H834" s="19"/>
      <c r="I834" s="20"/>
      <c r="J834" s="244"/>
      <c r="K834" s="19"/>
      <c r="L834" s="19"/>
      <c r="M834" s="19"/>
      <c r="N834" s="19"/>
      <c r="O834" s="19"/>
      <c r="P834" s="19"/>
      <c r="Q834" s="19"/>
      <c r="R834" s="19"/>
      <c r="S834" s="19"/>
      <c r="T834" s="19"/>
      <c r="U834" s="19"/>
      <c r="V834" s="19"/>
      <c r="W834" s="19"/>
    </row>
    <row r="835" spans="1:23" ht="14.25" customHeight="1" x14ac:dyDescent="0.3">
      <c r="A835" s="19"/>
      <c r="B835" s="19"/>
      <c r="C835" s="19"/>
      <c r="D835" s="19"/>
      <c r="E835" s="19"/>
      <c r="F835" s="19"/>
      <c r="G835" s="19"/>
      <c r="H835" s="19"/>
      <c r="I835" s="20"/>
      <c r="J835" s="244"/>
      <c r="K835" s="19"/>
      <c r="L835" s="19"/>
      <c r="M835" s="19"/>
      <c r="N835" s="19"/>
      <c r="O835" s="19"/>
      <c r="P835" s="19"/>
      <c r="Q835" s="19"/>
      <c r="R835" s="19"/>
      <c r="S835" s="19"/>
      <c r="T835" s="19"/>
      <c r="U835" s="19"/>
      <c r="V835" s="19"/>
      <c r="W835" s="19"/>
    </row>
    <row r="836" spans="1:23" ht="14.25" customHeight="1" x14ac:dyDescent="0.3">
      <c r="A836" s="19"/>
      <c r="B836" s="19"/>
      <c r="C836" s="19"/>
      <c r="D836" s="19"/>
      <c r="E836" s="19"/>
      <c r="F836" s="19"/>
      <c r="G836" s="19"/>
      <c r="H836" s="19"/>
      <c r="I836" s="20"/>
      <c r="J836" s="244"/>
      <c r="K836" s="19"/>
      <c r="L836" s="19"/>
      <c r="M836" s="19"/>
      <c r="N836" s="19"/>
      <c r="O836" s="19"/>
      <c r="P836" s="19"/>
      <c r="Q836" s="19"/>
      <c r="R836" s="19"/>
      <c r="S836" s="19"/>
      <c r="T836" s="19"/>
      <c r="U836" s="19"/>
      <c r="V836" s="19"/>
      <c r="W836" s="19"/>
    </row>
    <row r="837" spans="1:23" ht="14.25" customHeight="1" x14ac:dyDescent="0.3">
      <c r="A837" s="19"/>
      <c r="B837" s="19"/>
      <c r="C837" s="19"/>
      <c r="D837" s="19"/>
      <c r="E837" s="19"/>
      <c r="F837" s="19"/>
      <c r="G837" s="19"/>
      <c r="H837" s="19"/>
      <c r="I837" s="20"/>
      <c r="J837" s="244"/>
      <c r="K837" s="19"/>
      <c r="L837" s="19"/>
      <c r="M837" s="19"/>
      <c r="N837" s="19"/>
      <c r="O837" s="19"/>
      <c r="P837" s="19"/>
      <c r="Q837" s="19"/>
      <c r="R837" s="19"/>
      <c r="S837" s="19"/>
      <c r="T837" s="19"/>
      <c r="U837" s="19"/>
      <c r="V837" s="19"/>
      <c r="W837" s="19"/>
    </row>
    <row r="838" spans="1:23" ht="14.25" customHeight="1" x14ac:dyDescent="0.3">
      <c r="A838" s="19"/>
      <c r="B838" s="19"/>
      <c r="C838" s="19"/>
      <c r="D838" s="19"/>
      <c r="E838" s="19"/>
      <c r="F838" s="19"/>
      <c r="G838" s="19"/>
      <c r="H838" s="19"/>
      <c r="I838" s="20"/>
      <c r="J838" s="244"/>
      <c r="K838" s="19"/>
      <c r="L838" s="19"/>
      <c r="M838" s="19"/>
      <c r="N838" s="19"/>
      <c r="O838" s="19"/>
      <c r="P838" s="19"/>
      <c r="Q838" s="19"/>
      <c r="R838" s="19"/>
      <c r="S838" s="19"/>
      <c r="T838" s="19"/>
      <c r="U838" s="19"/>
      <c r="V838" s="19"/>
      <c r="W838" s="19"/>
    </row>
    <row r="839" spans="1:23" ht="14.25" customHeight="1" x14ac:dyDescent="0.3">
      <c r="A839" s="19"/>
      <c r="B839" s="19"/>
      <c r="C839" s="19"/>
      <c r="D839" s="19"/>
      <c r="E839" s="19"/>
      <c r="F839" s="19"/>
      <c r="G839" s="19"/>
      <c r="H839" s="19"/>
      <c r="I839" s="20"/>
      <c r="J839" s="244"/>
      <c r="K839" s="19"/>
      <c r="L839" s="19"/>
      <c r="M839" s="19"/>
      <c r="N839" s="19"/>
      <c r="O839" s="19"/>
      <c r="P839" s="19"/>
      <c r="Q839" s="19"/>
      <c r="R839" s="19"/>
      <c r="S839" s="19"/>
      <c r="T839" s="19"/>
      <c r="U839" s="19"/>
      <c r="V839" s="19"/>
      <c r="W839" s="19"/>
    </row>
    <row r="840" spans="1:23" ht="14.25" customHeight="1" x14ac:dyDescent="0.3">
      <c r="A840" s="19"/>
      <c r="B840" s="19"/>
      <c r="C840" s="19"/>
      <c r="D840" s="19"/>
      <c r="E840" s="19"/>
      <c r="F840" s="19"/>
      <c r="G840" s="19"/>
      <c r="H840" s="19"/>
      <c r="I840" s="20"/>
      <c r="J840" s="244"/>
      <c r="K840" s="19"/>
      <c r="L840" s="19"/>
      <c r="M840" s="19"/>
      <c r="N840" s="19"/>
      <c r="O840" s="19"/>
      <c r="P840" s="19"/>
      <c r="Q840" s="19"/>
      <c r="R840" s="19"/>
      <c r="S840" s="19"/>
      <c r="T840" s="19"/>
      <c r="U840" s="19"/>
      <c r="V840" s="19"/>
      <c r="W840" s="19"/>
    </row>
    <row r="841" spans="1:23" ht="14.25" customHeight="1" x14ac:dyDescent="0.3">
      <c r="A841" s="19"/>
      <c r="B841" s="19"/>
      <c r="C841" s="19"/>
      <c r="D841" s="19"/>
      <c r="E841" s="19"/>
      <c r="F841" s="19"/>
      <c r="G841" s="19"/>
      <c r="H841" s="19"/>
      <c r="I841" s="20"/>
      <c r="J841" s="244"/>
      <c r="K841" s="19"/>
      <c r="L841" s="19"/>
      <c r="M841" s="19"/>
      <c r="N841" s="19"/>
      <c r="O841" s="19"/>
      <c r="P841" s="19"/>
      <c r="Q841" s="19"/>
      <c r="R841" s="19"/>
      <c r="S841" s="19"/>
      <c r="T841" s="19"/>
      <c r="U841" s="19"/>
      <c r="V841" s="19"/>
      <c r="W841" s="19"/>
    </row>
    <row r="842" spans="1:23" ht="14.25" customHeight="1" x14ac:dyDescent="0.3">
      <c r="A842" s="19"/>
      <c r="B842" s="19"/>
      <c r="C842" s="19"/>
      <c r="D842" s="19"/>
      <c r="E842" s="19"/>
      <c r="F842" s="19"/>
      <c r="G842" s="19"/>
      <c r="H842" s="19"/>
      <c r="I842" s="20"/>
      <c r="J842" s="244"/>
      <c r="K842" s="19"/>
      <c r="L842" s="19"/>
      <c r="M842" s="19"/>
      <c r="N842" s="19"/>
      <c r="O842" s="19"/>
      <c r="P842" s="19"/>
      <c r="Q842" s="19"/>
      <c r="R842" s="19"/>
      <c r="S842" s="19"/>
      <c r="T842" s="19"/>
      <c r="U842" s="19"/>
      <c r="V842" s="19"/>
      <c r="W842" s="19"/>
    </row>
    <row r="843" spans="1:23" ht="14.25" customHeight="1" x14ac:dyDescent="0.3">
      <c r="A843" s="19"/>
      <c r="B843" s="19"/>
      <c r="C843" s="19"/>
      <c r="D843" s="19"/>
      <c r="E843" s="19"/>
      <c r="F843" s="19"/>
      <c r="G843" s="19"/>
      <c r="H843" s="19"/>
      <c r="I843" s="20"/>
      <c r="J843" s="244"/>
      <c r="K843" s="19"/>
      <c r="L843" s="19"/>
      <c r="M843" s="19"/>
      <c r="N843" s="19"/>
      <c r="O843" s="19"/>
      <c r="P843" s="19"/>
      <c r="Q843" s="19"/>
      <c r="R843" s="19"/>
      <c r="S843" s="19"/>
      <c r="T843" s="19"/>
      <c r="U843" s="19"/>
      <c r="V843" s="19"/>
      <c r="W843" s="19"/>
    </row>
    <row r="844" spans="1:23" ht="14.25" customHeight="1" x14ac:dyDescent="0.3">
      <c r="A844" s="19"/>
      <c r="B844" s="19"/>
      <c r="C844" s="19"/>
      <c r="D844" s="19"/>
      <c r="E844" s="19"/>
      <c r="F844" s="19"/>
      <c r="G844" s="19"/>
      <c r="H844" s="19"/>
      <c r="I844" s="20"/>
      <c r="J844" s="244"/>
      <c r="K844" s="19"/>
      <c r="L844" s="19"/>
      <c r="M844" s="19"/>
      <c r="N844" s="19"/>
      <c r="O844" s="19"/>
      <c r="P844" s="19"/>
      <c r="Q844" s="19"/>
      <c r="R844" s="19"/>
      <c r="S844" s="19"/>
      <c r="T844" s="19"/>
      <c r="U844" s="19"/>
      <c r="V844" s="19"/>
      <c r="W844" s="19"/>
    </row>
    <row r="845" spans="1:23" ht="14.25" customHeight="1" x14ac:dyDescent="0.3">
      <c r="A845" s="19"/>
      <c r="B845" s="19"/>
      <c r="C845" s="19"/>
      <c r="D845" s="19"/>
      <c r="E845" s="19"/>
      <c r="F845" s="19"/>
      <c r="G845" s="19"/>
      <c r="H845" s="19"/>
      <c r="I845" s="20"/>
      <c r="J845" s="244"/>
      <c r="K845" s="19"/>
      <c r="L845" s="19"/>
      <c r="M845" s="19"/>
      <c r="N845" s="19"/>
      <c r="O845" s="19"/>
      <c r="P845" s="19"/>
      <c r="Q845" s="19"/>
      <c r="R845" s="19"/>
      <c r="S845" s="19"/>
      <c r="T845" s="19"/>
      <c r="U845" s="19"/>
      <c r="V845" s="19"/>
      <c r="W845" s="19"/>
    </row>
    <row r="846" spans="1:23" ht="14.25" customHeight="1" x14ac:dyDescent="0.3">
      <c r="A846" s="19"/>
      <c r="B846" s="19"/>
      <c r="C846" s="19"/>
      <c r="D846" s="19"/>
      <c r="E846" s="19"/>
      <c r="F846" s="19"/>
      <c r="G846" s="19"/>
      <c r="H846" s="19"/>
      <c r="I846" s="20"/>
      <c r="J846" s="244"/>
      <c r="K846" s="19"/>
      <c r="L846" s="19"/>
      <c r="M846" s="19"/>
      <c r="N846" s="19"/>
      <c r="O846" s="19"/>
      <c r="P846" s="19"/>
      <c r="Q846" s="19"/>
      <c r="R846" s="19"/>
      <c r="S846" s="19"/>
      <c r="T846" s="19"/>
      <c r="U846" s="19"/>
      <c r="V846" s="19"/>
      <c r="W846" s="19"/>
    </row>
    <row r="847" spans="1:23" ht="14.25" customHeight="1" x14ac:dyDescent="0.3">
      <c r="A847" s="19"/>
      <c r="B847" s="19"/>
      <c r="C847" s="19"/>
      <c r="D847" s="19"/>
      <c r="E847" s="19"/>
      <c r="F847" s="19"/>
      <c r="G847" s="19"/>
      <c r="H847" s="19"/>
      <c r="I847" s="20"/>
      <c r="J847" s="244"/>
      <c r="K847" s="19"/>
      <c r="L847" s="19"/>
      <c r="M847" s="19"/>
      <c r="N847" s="19"/>
      <c r="O847" s="19"/>
      <c r="P847" s="19"/>
      <c r="Q847" s="19"/>
      <c r="R847" s="19"/>
      <c r="S847" s="19"/>
      <c r="T847" s="19"/>
      <c r="U847" s="19"/>
      <c r="V847" s="19"/>
      <c r="W847" s="19"/>
    </row>
    <row r="848" spans="1:23" ht="14.25" customHeight="1" x14ac:dyDescent="0.3">
      <c r="A848" s="19"/>
      <c r="B848" s="19"/>
      <c r="C848" s="19"/>
      <c r="D848" s="19"/>
      <c r="E848" s="19"/>
      <c r="F848" s="19"/>
      <c r="G848" s="19"/>
      <c r="H848" s="19"/>
      <c r="I848" s="20"/>
      <c r="J848" s="244"/>
      <c r="K848" s="19"/>
      <c r="L848" s="19"/>
      <c r="M848" s="19"/>
      <c r="N848" s="19"/>
      <c r="O848" s="19"/>
      <c r="P848" s="19"/>
      <c r="Q848" s="19"/>
      <c r="R848" s="19"/>
      <c r="S848" s="19"/>
      <c r="T848" s="19"/>
      <c r="U848" s="19"/>
      <c r="V848" s="19"/>
      <c r="W848" s="19"/>
    </row>
    <row r="849" spans="1:23" ht="14.25" customHeight="1" x14ac:dyDescent="0.3">
      <c r="A849" s="19"/>
      <c r="B849" s="19"/>
      <c r="C849" s="19"/>
      <c r="D849" s="19"/>
      <c r="E849" s="19"/>
      <c r="F849" s="19"/>
      <c r="G849" s="19"/>
      <c r="H849" s="19"/>
      <c r="I849" s="20"/>
      <c r="J849" s="244"/>
      <c r="K849" s="19"/>
      <c r="L849" s="19"/>
      <c r="M849" s="19"/>
      <c r="N849" s="19"/>
      <c r="O849" s="19"/>
      <c r="P849" s="19"/>
      <c r="Q849" s="19"/>
      <c r="R849" s="19"/>
      <c r="S849" s="19"/>
      <c r="T849" s="19"/>
      <c r="U849" s="19"/>
      <c r="V849" s="19"/>
      <c r="W849" s="19"/>
    </row>
    <row r="850" spans="1:23" ht="14.25" customHeight="1" x14ac:dyDescent="0.3">
      <c r="A850" s="19"/>
      <c r="B850" s="19"/>
      <c r="C850" s="19"/>
      <c r="D850" s="19"/>
      <c r="E850" s="19"/>
      <c r="F850" s="19"/>
      <c r="G850" s="19"/>
      <c r="H850" s="19"/>
      <c r="I850" s="20"/>
      <c r="J850" s="244"/>
      <c r="K850" s="19"/>
      <c r="L850" s="19"/>
      <c r="M850" s="19"/>
      <c r="N850" s="19"/>
      <c r="O850" s="19"/>
      <c r="P850" s="19"/>
      <c r="Q850" s="19"/>
      <c r="R850" s="19"/>
      <c r="S850" s="19"/>
      <c r="T850" s="19"/>
      <c r="U850" s="19"/>
      <c r="V850" s="19"/>
      <c r="W850" s="19"/>
    </row>
    <row r="851" spans="1:23" ht="14.25" customHeight="1" x14ac:dyDescent="0.3">
      <c r="A851" s="19"/>
      <c r="B851" s="19"/>
      <c r="C851" s="19"/>
      <c r="D851" s="19"/>
      <c r="E851" s="19"/>
      <c r="F851" s="19"/>
      <c r="G851" s="19"/>
      <c r="H851" s="19"/>
      <c r="I851" s="20"/>
      <c r="J851" s="244"/>
      <c r="K851" s="19"/>
      <c r="L851" s="19"/>
      <c r="M851" s="19"/>
      <c r="N851" s="19"/>
      <c r="O851" s="19"/>
      <c r="P851" s="19"/>
      <c r="Q851" s="19"/>
      <c r="R851" s="19"/>
      <c r="S851" s="19"/>
      <c r="T851" s="19"/>
      <c r="U851" s="19"/>
      <c r="V851" s="19"/>
      <c r="W851" s="19"/>
    </row>
    <row r="852" spans="1:23" ht="14.25" customHeight="1" x14ac:dyDescent="0.3">
      <c r="A852" s="19"/>
      <c r="B852" s="19"/>
      <c r="C852" s="19"/>
      <c r="D852" s="19"/>
      <c r="E852" s="19"/>
      <c r="F852" s="19"/>
      <c r="G852" s="19"/>
      <c r="H852" s="19"/>
      <c r="I852" s="20"/>
      <c r="J852" s="244"/>
      <c r="K852" s="19"/>
      <c r="L852" s="19"/>
      <c r="M852" s="19"/>
      <c r="N852" s="19"/>
      <c r="O852" s="19"/>
      <c r="P852" s="19"/>
      <c r="Q852" s="19"/>
      <c r="R852" s="19"/>
      <c r="S852" s="19"/>
      <c r="T852" s="19"/>
      <c r="U852" s="19"/>
      <c r="V852" s="19"/>
      <c r="W852" s="19"/>
    </row>
    <row r="853" spans="1:23" ht="14.25" customHeight="1" x14ac:dyDescent="0.3">
      <c r="A853" s="19"/>
      <c r="B853" s="19"/>
      <c r="C853" s="19"/>
      <c r="D853" s="19"/>
      <c r="E853" s="19"/>
      <c r="F853" s="19"/>
      <c r="G853" s="19"/>
      <c r="H853" s="19"/>
      <c r="I853" s="20"/>
      <c r="J853" s="244"/>
      <c r="K853" s="19"/>
      <c r="L853" s="19"/>
      <c r="M853" s="19"/>
      <c r="N853" s="19"/>
      <c r="O853" s="19"/>
      <c r="P853" s="19"/>
      <c r="Q853" s="19"/>
      <c r="R853" s="19"/>
      <c r="S853" s="19"/>
      <c r="T853" s="19"/>
      <c r="U853" s="19"/>
      <c r="V853" s="19"/>
      <c r="W853" s="19"/>
    </row>
    <row r="854" spans="1:23" ht="14.25" customHeight="1" x14ac:dyDescent="0.3">
      <c r="A854" s="19"/>
      <c r="B854" s="19"/>
      <c r="C854" s="19"/>
      <c r="D854" s="19"/>
      <c r="E854" s="19"/>
      <c r="F854" s="19"/>
      <c r="G854" s="19"/>
      <c r="H854" s="19"/>
      <c r="I854" s="20"/>
      <c r="J854" s="244"/>
      <c r="K854" s="19"/>
      <c r="L854" s="19"/>
      <c r="M854" s="19"/>
      <c r="N854" s="19"/>
      <c r="O854" s="19"/>
      <c r="P854" s="19"/>
      <c r="Q854" s="19"/>
      <c r="R854" s="19"/>
      <c r="S854" s="19"/>
      <c r="T854" s="19"/>
      <c r="U854" s="19"/>
      <c r="V854" s="19"/>
      <c r="W854" s="19"/>
    </row>
    <row r="855" spans="1:23" ht="14.25" customHeight="1" x14ac:dyDescent="0.3">
      <c r="A855" s="19"/>
      <c r="B855" s="19"/>
      <c r="C855" s="19"/>
      <c r="D855" s="19"/>
      <c r="E855" s="19"/>
      <c r="F855" s="19"/>
      <c r="G855" s="19"/>
      <c r="H855" s="19"/>
      <c r="I855" s="20"/>
      <c r="J855" s="244"/>
      <c r="K855" s="19"/>
      <c r="L855" s="19"/>
      <c r="M855" s="19"/>
      <c r="N855" s="19"/>
      <c r="O855" s="19"/>
      <c r="P855" s="19"/>
      <c r="Q855" s="19"/>
      <c r="R855" s="19"/>
      <c r="S855" s="19"/>
      <c r="T855" s="19"/>
      <c r="U855" s="19"/>
      <c r="V855" s="19"/>
      <c r="W855" s="19"/>
    </row>
    <row r="856" spans="1:23" ht="14.25" customHeight="1" x14ac:dyDescent="0.3">
      <c r="A856" s="19"/>
      <c r="B856" s="19"/>
      <c r="C856" s="19"/>
      <c r="D856" s="19"/>
      <c r="E856" s="19"/>
      <c r="F856" s="19"/>
      <c r="G856" s="19"/>
      <c r="H856" s="19"/>
      <c r="I856" s="20"/>
      <c r="J856" s="244"/>
      <c r="K856" s="19"/>
      <c r="L856" s="19"/>
      <c r="M856" s="19"/>
      <c r="N856" s="19"/>
      <c r="O856" s="19"/>
      <c r="P856" s="19"/>
      <c r="Q856" s="19"/>
      <c r="R856" s="19"/>
      <c r="S856" s="19"/>
      <c r="T856" s="19"/>
      <c r="U856" s="19"/>
      <c r="V856" s="19"/>
      <c r="W856" s="19"/>
    </row>
    <row r="857" spans="1:23" ht="14.25" customHeight="1" x14ac:dyDescent="0.3">
      <c r="A857" s="19"/>
      <c r="B857" s="19"/>
      <c r="C857" s="19"/>
      <c r="D857" s="19"/>
      <c r="E857" s="19"/>
      <c r="F857" s="19"/>
      <c r="G857" s="19"/>
      <c r="H857" s="19"/>
      <c r="I857" s="20"/>
      <c r="J857" s="244"/>
      <c r="K857" s="19"/>
      <c r="L857" s="19"/>
      <c r="M857" s="19"/>
      <c r="N857" s="19"/>
      <c r="O857" s="19"/>
      <c r="P857" s="19"/>
      <c r="Q857" s="19"/>
      <c r="R857" s="19"/>
      <c r="S857" s="19"/>
      <c r="T857" s="19"/>
      <c r="U857" s="19"/>
      <c r="V857" s="19"/>
      <c r="W857" s="19"/>
    </row>
    <row r="858" spans="1:23" ht="14.25" customHeight="1" x14ac:dyDescent="0.3">
      <c r="A858" s="19"/>
      <c r="B858" s="19"/>
      <c r="C858" s="19"/>
      <c r="D858" s="19"/>
      <c r="E858" s="19"/>
      <c r="F858" s="19"/>
      <c r="G858" s="19"/>
      <c r="H858" s="19"/>
      <c r="I858" s="20"/>
      <c r="J858" s="244"/>
      <c r="K858" s="19"/>
      <c r="L858" s="19"/>
      <c r="M858" s="19"/>
      <c r="N858" s="19"/>
      <c r="O858" s="19"/>
      <c r="P858" s="19"/>
      <c r="Q858" s="19"/>
      <c r="R858" s="19"/>
      <c r="S858" s="19"/>
      <c r="T858" s="19"/>
      <c r="U858" s="19"/>
      <c r="V858" s="19"/>
      <c r="W858" s="19"/>
    </row>
    <row r="859" spans="1:23" ht="14.25" customHeight="1" x14ac:dyDescent="0.3">
      <c r="A859" s="19"/>
      <c r="B859" s="19"/>
      <c r="C859" s="19"/>
      <c r="D859" s="19"/>
      <c r="E859" s="19"/>
      <c r="F859" s="19"/>
      <c r="G859" s="19"/>
      <c r="H859" s="19"/>
      <c r="I859" s="20"/>
      <c r="J859" s="244"/>
      <c r="K859" s="19"/>
      <c r="L859" s="19"/>
      <c r="M859" s="19"/>
      <c r="N859" s="19"/>
      <c r="O859" s="19"/>
      <c r="P859" s="19"/>
      <c r="Q859" s="19"/>
      <c r="R859" s="19"/>
      <c r="S859" s="19"/>
      <c r="T859" s="19"/>
      <c r="U859" s="19"/>
      <c r="V859" s="19"/>
      <c r="W859" s="19"/>
    </row>
    <row r="860" spans="1:23" ht="14.25" customHeight="1" x14ac:dyDescent="0.3">
      <c r="A860" s="19"/>
      <c r="B860" s="19"/>
      <c r="C860" s="19"/>
      <c r="D860" s="19"/>
      <c r="E860" s="19"/>
      <c r="F860" s="19"/>
      <c r="G860" s="19"/>
      <c r="H860" s="19"/>
      <c r="I860" s="20"/>
      <c r="J860" s="244"/>
      <c r="K860" s="19"/>
      <c r="L860" s="19"/>
      <c r="M860" s="19"/>
      <c r="N860" s="19"/>
      <c r="O860" s="19"/>
      <c r="P860" s="19"/>
      <c r="Q860" s="19"/>
      <c r="R860" s="19"/>
      <c r="S860" s="19"/>
      <c r="T860" s="19"/>
      <c r="U860" s="19"/>
      <c r="V860" s="19"/>
      <c r="W860" s="19"/>
    </row>
    <row r="861" spans="1:23" ht="14.25" customHeight="1" x14ac:dyDescent="0.3">
      <c r="A861" s="19"/>
      <c r="B861" s="19"/>
      <c r="C861" s="19"/>
      <c r="D861" s="19"/>
      <c r="E861" s="19"/>
      <c r="F861" s="19"/>
      <c r="G861" s="19"/>
      <c r="H861" s="19"/>
      <c r="I861" s="20"/>
      <c r="J861" s="244"/>
      <c r="K861" s="19"/>
      <c r="L861" s="19"/>
      <c r="M861" s="19"/>
      <c r="N861" s="19"/>
      <c r="O861" s="19"/>
      <c r="P861" s="19"/>
      <c r="Q861" s="19"/>
      <c r="R861" s="19"/>
      <c r="S861" s="19"/>
      <c r="T861" s="19"/>
      <c r="U861" s="19"/>
      <c r="V861" s="19"/>
      <c r="W861" s="19"/>
    </row>
  </sheetData>
  <protectedRanges>
    <protectedRange sqref="I12:I14 E29:I29 F20 B29:C64 F51 I16 I27:I28 I18 E53 E55 E65 E67:E68 I25 D30:I33 E75:E76 F40:H40 F68:H68 E56:H58 E41:H41 E73:H74 F76:H76 E60:H64 E35:H38 E43:H46 B23:H28 D21:I22 B9:H19 E49 B20:C22 E59:F59 G84 E83:E84" name="Tabel 5c"/>
    <protectedRange sqref="I60:J61 J62:J63" name="Tabel 6a"/>
    <protectedRange sqref="I19" name="Tabel 6a_1"/>
    <protectedRange sqref="I56:I58" name="Tabel 6a_3"/>
    <protectedRange sqref="I64:J64 I62:I63" name="Tabel 6a_4"/>
    <protectedRange sqref="F82:G82" name="Tabel 5c_1_1"/>
  </protectedRanges>
  <autoFilter ref="A8:K89" xr:uid="{00000000-0009-0000-0000-000001000000}"/>
  <mergeCells count="4">
    <mergeCell ref="A86:C86"/>
    <mergeCell ref="B87:C87"/>
    <mergeCell ref="B88:C88"/>
    <mergeCell ref="B89:C89"/>
  </mergeCells>
  <hyperlinks>
    <hyperlink ref="K65" r:id="rId1" xr:uid="{8298EB66-A200-4FA2-94C9-B4E762E8E438}"/>
    <hyperlink ref="K66" r:id="rId2" xr:uid="{7FC042A0-FF45-4542-9900-5E62B13B4B2D}"/>
    <hyperlink ref="K67" r:id="rId3" xr:uid="{49675243-5F02-4C4B-B11B-0E651BBDE6D3}"/>
    <hyperlink ref="K68" r:id="rId4" xr:uid="{3A9AB01D-5C5E-467F-B327-12C7F32E2054}"/>
    <hyperlink ref="K69" r:id="rId5" xr:uid="{187A6B64-7D3B-49C9-A561-F25102F8A8BD}"/>
    <hyperlink ref="K70" r:id="rId6" xr:uid="{2804236F-9880-4079-A8C3-7609C1DEBC0A}"/>
    <hyperlink ref="K71" r:id="rId7" xr:uid="{C5E2B004-AF3A-433A-A266-FD3230A2BFA6}"/>
    <hyperlink ref="K72" r:id="rId8" xr:uid="{0D0AFFA9-1F5E-4CA1-BCB2-3B5CE1953388}"/>
    <hyperlink ref="K73" r:id="rId9" xr:uid="{E99CA40D-28E8-4A62-A7AE-3015382740FB}"/>
    <hyperlink ref="K74" r:id="rId10" xr:uid="{213EBBD4-F5A3-459F-AD2E-6E3A5B5D134A}"/>
    <hyperlink ref="K75" r:id="rId11" xr:uid="{BF044216-33B4-47C0-B6A6-D8249238AF80}"/>
    <hyperlink ref="K76" r:id="rId12" xr:uid="{ECCC3FB2-2CE0-406A-BEC8-14949DF53ECC}"/>
    <hyperlink ref="K10" r:id="rId13" xr:uid="{6213CE6F-50AD-4C2E-A2D3-F7A2DEFBA123}"/>
    <hyperlink ref="K16" r:id="rId14" xr:uid="{B2D953E1-5630-43B5-B3C2-4E5C8553EC1B}"/>
    <hyperlink ref="K9" r:id="rId15" xr:uid="{F6DBD7EC-32E9-4717-A7DB-EA3F3CB9CE09}"/>
    <hyperlink ref="K60" r:id="rId16" xr:uid="{926A1C03-2B52-42CD-81D3-D187302FFC0F}"/>
    <hyperlink ref="K61" r:id="rId17" xr:uid="{DF7ECE85-8E2D-4159-A8E0-4C18C31CDBDF}"/>
    <hyperlink ref="K17" r:id="rId18" xr:uid="{0B93BF20-EB20-4545-8465-9A72F4BE491F}"/>
    <hyperlink ref="K12" r:id="rId19" xr:uid="{E6F86CC4-41CC-4365-BDA5-0E0707ADF8B2}"/>
    <hyperlink ref="K11" r:id="rId20" xr:uid="{CBBAEF74-78A3-4B85-96BA-307F06B4A9E2}"/>
    <hyperlink ref="K18" r:id="rId21" xr:uid="{4BCD3806-328E-4FF7-98C4-002E83782136}"/>
    <hyperlink ref="K40" r:id="rId22" xr:uid="{6087DF90-52E2-4A09-AA4F-B6E7DEDA78FA}"/>
    <hyperlink ref="K35" r:id="rId23" xr:uid="{D5B88507-3E1C-4ADD-ACA1-D4BD82A5DC8A}"/>
    <hyperlink ref="K26" r:id="rId24" xr:uid="{29800036-6569-481B-BAB3-99200B7309D1}"/>
    <hyperlink ref="K62" r:id="rId25" xr:uid="{20044687-1A4B-42E5-83BC-14ED8A83EDCE}"/>
    <hyperlink ref="K63" r:id="rId26" xr:uid="{0D74E12F-15FB-438C-B21B-52619F030E97}"/>
    <hyperlink ref="K64" r:id="rId27" xr:uid="{9ADC34DE-3D1E-40CB-B913-7A13AB80334B}"/>
    <hyperlink ref="K33" r:id="rId28" xr:uid="{7A75B28B-0D14-46F8-A667-98F454CEDB0D}"/>
    <hyperlink ref="K31" r:id="rId29" xr:uid="{6011F75A-83F3-4343-9B6D-5094E7093A02}"/>
    <hyperlink ref="K37" r:id="rId30" xr:uid="{145A3EE8-F9D5-491C-879A-B131E3208F6E}"/>
    <hyperlink ref="K39" r:id="rId31" xr:uid="{266996A9-6D0A-4B26-AB93-84C54A0773D1}"/>
    <hyperlink ref="K38" r:id="rId32" xr:uid="{CB901350-3A63-4C65-A6E9-9D0D7951EDCE}"/>
    <hyperlink ref="K36" r:id="rId33" xr:uid="{0A637BD8-3321-4FEB-9D3F-93D4C8D45F26}"/>
    <hyperlink ref="K24" r:id="rId34" xr:uid="{2733CD98-4907-4602-846C-230DD61DDF9D}"/>
    <hyperlink ref="K23" r:id="rId35" xr:uid="{CFE2841A-B48A-4F38-8A4E-8207B078FF74}"/>
    <hyperlink ref="K44" r:id="rId36" xr:uid="{6512FBF8-C21D-44B1-9294-2926B1CE9E3D}"/>
    <hyperlink ref="K46" r:id="rId37" xr:uid="{322908BE-DEFC-49CA-A4BC-BE8463F285E4}"/>
    <hyperlink ref="K43" r:id="rId38" xr:uid="{962046CB-86F5-4173-B30D-5D91874DFCA0}"/>
    <hyperlink ref="D51" r:id="rId39" location="!" display="!" xr:uid="{98FB4269-BC6A-4B08-AF66-89A2D6EF172F}"/>
    <hyperlink ref="D20" r:id="rId40" location="!" display="https://sinta.kemdikbud.go.id/authors/profile/6006380/?view=researches - !" xr:uid="{9708B50D-3CDE-4697-B300-C88916D4EB82}"/>
    <hyperlink ref="D50" r:id="rId41" location="!" display="https://sinta.kemdikbud.go.id/authors/profile/6827877/?view=researches - !" xr:uid="{00DA4E6C-0B60-465B-B21F-2DD3C1044F59}"/>
    <hyperlink ref="K13" r:id="rId42" xr:uid="{C155B6DB-59F2-495F-9E1E-F654608F3176}"/>
    <hyperlink ref="K14" r:id="rId43" xr:uid="{D802EA91-8C0D-42E7-ABA3-FB0F8507DCE4}"/>
    <hyperlink ref="K21" r:id="rId44" xr:uid="{523CCB19-081F-4E49-AB45-E825F942A167}"/>
    <hyperlink ref="K22" r:id="rId45" xr:uid="{F44E049B-36AA-4154-AE4B-7913F5D33E9A}"/>
    <hyperlink ref="K25" r:id="rId46" xr:uid="{90A16B08-A7EE-4621-AD74-5589E9EA3A7E}"/>
    <hyperlink ref="K27" r:id="rId47" xr:uid="{DDC5C916-2CFB-45A3-A6E2-F5592E041C2D}"/>
    <hyperlink ref="K28" r:id="rId48" xr:uid="{28CE871D-9968-43F8-8C42-4F632CB4F281}"/>
    <hyperlink ref="K32" r:id="rId49" xr:uid="{FF2DBF21-7F3C-4DD7-9B7F-6BE4BE3C5669}"/>
    <hyperlink ref="K52" r:id="rId50" xr:uid="{B6E14CFA-26FC-4129-8C8C-FF3F8908A207}"/>
    <hyperlink ref="K53" r:id="rId51" xr:uid="{02BA9FE0-74CA-4F99-89B9-363CAC1BFB25}"/>
    <hyperlink ref="K54" r:id="rId52" xr:uid="{91ABB5EC-CFB2-409F-9811-85E2DD07E0FA}"/>
    <hyperlink ref="K56" r:id="rId53" xr:uid="{9E7CED3C-1CC7-4E86-9065-F64D5F4EC860}"/>
    <hyperlink ref="K57" r:id="rId54" xr:uid="{4B8D18AE-5D1B-48E5-8856-BDB08BC22158}"/>
    <hyperlink ref="K58" r:id="rId55" xr:uid="{88F8DACF-EBEB-47DD-9555-99EFC1AE03F2}"/>
    <hyperlink ref="K41" r:id="rId56" xr:uid="{063AA252-4F05-4D95-A019-1815C801DE0F}"/>
    <hyperlink ref="K42" r:id="rId57" xr:uid="{16D9A45A-BA35-496F-A79B-807C646B2DDE}"/>
    <hyperlink ref="K45" r:id="rId58" xr:uid="{2B15758E-A110-4D7A-94FC-58E1EA2B4715}"/>
    <hyperlink ref="K47" r:id="rId59" xr:uid="{951B88E9-FF19-4B45-8F57-96742077251C}"/>
    <hyperlink ref="K48" r:id="rId60" xr:uid="{68A9C747-58B3-4787-BD60-4EB8EDD70FBB}"/>
    <hyperlink ref="K77" r:id="rId61" xr:uid="{68BA41C9-0F57-449B-A15E-8781B2A88186}"/>
    <hyperlink ref="K50" r:id="rId62" xr:uid="{F58DD4CE-634E-4CAC-A581-518D419A86A3}"/>
    <hyperlink ref="K51" r:id="rId63" xr:uid="{10DFC559-D356-479C-800F-CF93F1EA6727}"/>
    <hyperlink ref="K49" r:id="rId64" xr:uid="{ABE47287-E643-445B-A055-94B49FECFBF8}"/>
    <hyperlink ref="K19" r:id="rId65" xr:uid="{3CEEB269-6850-488B-95CE-0AA558FB95CC}"/>
    <hyperlink ref="K30" r:id="rId66" xr:uid="{55C42510-3D77-472B-9392-85D13235DBFD}"/>
    <hyperlink ref="K20" r:id="rId67" xr:uid="{30EF0286-05DC-48CB-91D4-FCD86A1E17E6}"/>
    <hyperlink ref="K29" r:id="rId68" xr:uid="{BB370556-B86A-40EF-85FE-CB144D2B7095}"/>
    <hyperlink ref="K59" r:id="rId69" xr:uid="{900F0CF4-C769-4B89-A34A-B73A1B592068}"/>
    <hyperlink ref="K55" r:id="rId70" xr:uid="{0F4BEC00-F632-4079-9F8A-B4B37ADEB8AC}"/>
    <hyperlink ref="K34" r:id="rId71" xr:uid="{6995D8D1-8064-43C1-8D02-DBB613BE0A71}"/>
    <hyperlink ref="K15" r:id="rId72" xr:uid="{3FACA670-DB10-44A4-9C1D-DD89352ED08F}"/>
    <hyperlink ref="K83" r:id="rId73" xr:uid="{1E611798-7DAA-4C0D-AE92-F6C82E441B34}"/>
    <hyperlink ref="K79" r:id="rId74" xr:uid="{FC440935-DA07-4C60-B60E-3A71652B51FF}"/>
    <hyperlink ref="K80" r:id="rId75" xr:uid="{BD439FFD-D21A-4F24-B532-6FE0C4A5D455}"/>
    <hyperlink ref="K82" r:id="rId76" xr:uid="{E00D6226-DD28-4D11-B7A0-2F7008CF7DE3}"/>
    <hyperlink ref="K81" r:id="rId77" xr:uid="{BCCE5E5E-78B9-4B92-B913-5B7B175F7E31}"/>
    <hyperlink ref="K84" r:id="rId78" xr:uid="{071323DE-94D2-4095-B0C0-40B1B6B6AB7D}"/>
    <hyperlink ref="K78" r:id="rId79" xr:uid="{4A1AC5CF-9DFD-4BDA-97F1-5A9F3C008952}"/>
    <hyperlink ref="B92" location="'Daftar Sheet'!A1" display="&lt;&lt;&lt; Daftar Sheet" xr:uid="{2FCDC10A-9C86-4E84-968C-3E9CBACF9F0F}"/>
  </hyperlinks>
  <pageMargins left="0.7" right="0.7" top="0.75" bottom="0.75" header="0.3" footer="0.3"/>
  <pageSetup paperSize="9" orientation="portrait" r:id="rId80"/>
  <legacyDrawing r:id="rId8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0A48-0AC8-498A-9F30-4BB55BC93B77}">
  <dimension ref="A1:K89"/>
  <sheetViews>
    <sheetView zoomScale="70" zoomScaleNormal="70" workbookViewId="0">
      <pane xSplit="1" ySplit="1" topLeftCell="B29" activePane="bottomRight" state="frozen"/>
      <selection activeCell="D46" sqref="D46"/>
      <selection pane="topRight" activeCell="D46" sqref="D46"/>
      <selection pane="bottomLeft" activeCell="D46" sqref="D46"/>
      <selection pane="bottomRight" activeCell="E41" sqref="E41"/>
    </sheetView>
  </sheetViews>
  <sheetFormatPr defaultRowHeight="14.4" x14ac:dyDescent="0.3"/>
  <cols>
    <col min="1" max="1" width="13" customWidth="1"/>
    <col min="2" max="2" width="12.77734375" style="10" bestFit="1" customWidth="1"/>
    <col min="3" max="3" width="21.21875" style="10" bestFit="1" customWidth="1"/>
    <col min="4" max="4" width="106.77734375" bestFit="1" customWidth="1"/>
    <col min="5" max="5" width="36.21875" customWidth="1"/>
    <col min="6" max="6" width="32" customWidth="1"/>
    <col min="7" max="7" width="32.44140625" customWidth="1"/>
    <col min="8" max="8" width="66" customWidth="1"/>
    <col min="9" max="9" width="13.77734375" style="1" bestFit="1" customWidth="1"/>
    <col min="10" max="10" width="86.5546875" bestFit="1" customWidth="1"/>
  </cols>
  <sheetData>
    <row r="1" spans="1:10" ht="36" x14ac:dyDescent="0.3">
      <c r="A1" s="59" t="s">
        <v>51</v>
      </c>
      <c r="B1" s="59" t="s">
        <v>130</v>
      </c>
      <c r="C1" s="59" t="s">
        <v>2255</v>
      </c>
      <c r="D1" s="59" t="s">
        <v>347</v>
      </c>
      <c r="E1" s="59" t="s">
        <v>132</v>
      </c>
      <c r="F1" s="59" t="s">
        <v>133</v>
      </c>
      <c r="G1" s="59" t="s">
        <v>134</v>
      </c>
      <c r="H1" s="59" t="s">
        <v>135</v>
      </c>
      <c r="I1" s="59" t="s">
        <v>136</v>
      </c>
      <c r="J1" s="60" t="s">
        <v>137</v>
      </c>
    </row>
    <row r="2" spans="1:10" s="26" customFormat="1" ht="15.6" x14ac:dyDescent="0.3">
      <c r="A2" s="47">
        <v>1</v>
      </c>
      <c r="B2" s="61" t="s">
        <v>138</v>
      </c>
      <c r="C2" s="231">
        <v>30000000</v>
      </c>
      <c r="D2" s="62" t="s">
        <v>348</v>
      </c>
      <c r="E2" s="63" t="s">
        <v>349</v>
      </c>
      <c r="F2" s="64" t="s">
        <v>109</v>
      </c>
      <c r="G2" s="64"/>
      <c r="H2" s="61" t="s">
        <v>350</v>
      </c>
      <c r="I2" s="65">
        <v>2022</v>
      </c>
      <c r="J2" s="7" t="s">
        <v>2297</v>
      </c>
    </row>
    <row r="3" spans="1:10" s="26" customFormat="1" ht="28.8" x14ac:dyDescent="0.3">
      <c r="A3" s="47">
        <v>2</v>
      </c>
      <c r="B3" s="61" t="s">
        <v>138</v>
      </c>
      <c r="C3" s="231">
        <v>30000000</v>
      </c>
      <c r="D3" s="62" t="s">
        <v>351</v>
      </c>
      <c r="E3" s="63" t="s">
        <v>349</v>
      </c>
      <c r="F3" s="64" t="s">
        <v>172</v>
      </c>
      <c r="G3" s="64"/>
      <c r="H3" s="61" t="s">
        <v>352</v>
      </c>
      <c r="I3" s="65">
        <v>2020</v>
      </c>
      <c r="J3" s="7" t="s">
        <v>353</v>
      </c>
    </row>
    <row r="4" spans="1:10" s="26" customFormat="1" ht="28.8" x14ac:dyDescent="0.3">
      <c r="A4" s="47">
        <v>3</v>
      </c>
      <c r="B4" s="61" t="s">
        <v>184</v>
      </c>
      <c r="C4" s="232">
        <v>30000000</v>
      </c>
      <c r="D4" s="62" t="s">
        <v>354</v>
      </c>
      <c r="E4" s="63" t="s">
        <v>349</v>
      </c>
      <c r="F4" s="64"/>
      <c r="G4" s="64"/>
      <c r="H4" s="61"/>
      <c r="I4" s="65">
        <v>2021</v>
      </c>
      <c r="J4" s="7" t="s">
        <v>2299</v>
      </c>
    </row>
    <row r="5" spans="1:10" s="26" customFormat="1" ht="15.6" x14ac:dyDescent="0.3">
      <c r="A5" s="47">
        <v>4</v>
      </c>
      <c r="B5" s="61" t="s">
        <v>138</v>
      </c>
      <c r="C5" s="231">
        <v>10000000</v>
      </c>
      <c r="D5" s="62" t="s">
        <v>355</v>
      </c>
      <c r="E5" s="63" t="s">
        <v>356</v>
      </c>
      <c r="F5" s="64"/>
      <c r="G5" s="64"/>
      <c r="H5" s="61" t="s">
        <v>357</v>
      </c>
      <c r="I5" s="65">
        <v>2021</v>
      </c>
      <c r="J5" s="7" t="s">
        <v>2298</v>
      </c>
    </row>
    <row r="6" spans="1:10" s="26" customFormat="1" ht="15.6" x14ac:dyDescent="0.3">
      <c r="A6" s="322">
        <v>5</v>
      </c>
      <c r="B6" s="323" t="s">
        <v>138</v>
      </c>
      <c r="C6" s="324">
        <v>10000000</v>
      </c>
      <c r="D6" s="325" t="s">
        <v>358</v>
      </c>
      <c r="E6" s="326" t="s">
        <v>359</v>
      </c>
      <c r="F6" s="327" t="s">
        <v>108</v>
      </c>
      <c r="G6" s="327" t="s">
        <v>360</v>
      </c>
      <c r="H6" s="323" t="s">
        <v>147</v>
      </c>
      <c r="I6" s="328">
        <v>2021</v>
      </c>
      <c r="J6" s="329" t="s">
        <v>2300</v>
      </c>
    </row>
    <row r="7" spans="1:10" s="26" customFormat="1" ht="15.6" x14ac:dyDescent="0.3">
      <c r="A7" s="47">
        <v>6</v>
      </c>
      <c r="B7" s="61" t="s">
        <v>138</v>
      </c>
      <c r="C7" s="231">
        <v>10000000</v>
      </c>
      <c r="D7" s="62" t="s">
        <v>361</v>
      </c>
      <c r="E7" s="63" t="s">
        <v>362</v>
      </c>
      <c r="F7" s="64"/>
      <c r="G7" s="64"/>
      <c r="H7" s="61" t="s">
        <v>371</v>
      </c>
      <c r="I7" s="65">
        <v>2021</v>
      </c>
      <c r="J7" s="7" t="s">
        <v>2301</v>
      </c>
    </row>
    <row r="8" spans="1:10" s="26" customFormat="1" ht="15.6" x14ac:dyDescent="0.3">
      <c r="A8" s="47">
        <v>7</v>
      </c>
      <c r="B8" s="61" t="s">
        <v>138</v>
      </c>
      <c r="C8" s="231">
        <v>10000000</v>
      </c>
      <c r="D8" s="62" t="s">
        <v>363</v>
      </c>
      <c r="E8" s="63" t="s">
        <v>362</v>
      </c>
      <c r="F8" s="64"/>
      <c r="G8" s="64"/>
      <c r="H8" s="61"/>
      <c r="I8" s="65">
        <v>2021</v>
      </c>
      <c r="J8" s="7" t="s">
        <v>364</v>
      </c>
    </row>
    <row r="9" spans="1:10" s="26" customFormat="1" ht="28.8" x14ac:dyDescent="0.3">
      <c r="A9" s="47">
        <v>8</v>
      </c>
      <c r="B9" s="61" t="s">
        <v>138</v>
      </c>
      <c r="C9" s="231">
        <v>30000000</v>
      </c>
      <c r="D9" s="62" t="s">
        <v>365</v>
      </c>
      <c r="E9" s="63" t="s">
        <v>366</v>
      </c>
      <c r="F9" s="64"/>
      <c r="G9" s="64"/>
      <c r="H9" s="61" t="s">
        <v>367</v>
      </c>
      <c r="I9" s="65">
        <v>2021</v>
      </c>
      <c r="J9" s="7" t="s">
        <v>368</v>
      </c>
    </row>
    <row r="10" spans="1:10" s="26" customFormat="1" ht="15.6" x14ac:dyDescent="0.3">
      <c r="A10" s="47">
        <v>9</v>
      </c>
      <c r="B10" s="61" t="s">
        <v>138</v>
      </c>
      <c r="C10" s="231">
        <v>10000000</v>
      </c>
      <c r="D10" s="62" t="s">
        <v>369</v>
      </c>
      <c r="E10" s="63" t="s">
        <v>370</v>
      </c>
      <c r="F10" s="64"/>
      <c r="G10" s="64"/>
      <c r="H10" s="61"/>
      <c r="I10" s="65">
        <v>2021</v>
      </c>
      <c r="J10" s="7" t="s">
        <v>372</v>
      </c>
    </row>
    <row r="11" spans="1:10" s="26" customFormat="1" ht="15.6" x14ac:dyDescent="0.3">
      <c r="A11" s="47">
        <v>10</v>
      </c>
      <c r="B11" s="61" t="s">
        <v>138</v>
      </c>
      <c r="C11" s="231">
        <v>30000000</v>
      </c>
      <c r="D11" s="62" t="s">
        <v>373</v>
      </c>
      <c r="E11" s="63" t="s">
        <v>374</v>
      </c>
      <c r="F11" s="64" t="s">
        <v>120</v>
      </c>
      <c r="G11" s="64"/>
      <c r="H11" s="61" t="s">
        <v>375</v>
      </c>
      <c r="I11" s="65">
        <v>2021</v>
      </c>
      <c r="J11" s="7" t="s">
        <v>376</v>
      </c>
    </row>
    <row r="12" spans="1:10" s="26" customFormat="1" ht="28.8" x14ac:dyDescent="0.3">
      <c r="A12" s="322">
        <v>11</v>
      </c>
      <c r="B12" s="323" t="s">
        <v>138</v>
      </c>
      <c r="C12" s="324">
        <v>10000000</v>
      </c>
      <c r="D12" s="325" t="s">
        <v>2256</v>
      </c>
      <c r="E12" s="326" t="s">
        <v>91</v>
      </c>
      <c r="F12" s="330"/>
      <c r="G12" s="330"/>
      <c r="H12" s="323" t="s">
        <v>377</v>
      </c>
      <c r="I12" s="328">
        <v>2021</v>
      </c>
      <c r="J12" s="329" t="s">
        <v>378</v>
      </c>
    </row>
    <row r="13" spans="1:10" s="26" customFormat="1" ht="28.8" x14ac:dyDescent="0.3">
      <c r="A13" s="322">
        <v>12</v>
      </c>
      <c r="B13" s="323" t="s">
        <v>138</v>
      </c>
      <c r="C13" s="324">
        <v>30000000</v>
      </c>
      <c r="D13" s="325" t="s">
        <v>379</v>
      </c>
      <c r="E13" s="326" t="s">
        <v>91</v>
      </c>
      <c r="F13" s="327"/>
      <c r="G13" s="327"/>
      <c r="H13" s="331"/>
      <c r="I13" s="328">
        <v>2022</v>
      </c>
      <c r="J13" s="329" t="s">
        <v>380</v>
      </c>
    </row>
    <row r="14" spans="1:10" s="26" customFormat="1" ht="28.8" x14ac:dyDescent="0.3">
      <c r="A14" s="322">
        <v>13</v>
      </c>
      <c r="B14" s="323" t="s">
        <v>138</v>
      </c>
      <c r="C14" s="324">
        <v>30000000</v>
      </c>
      <c r="D14" s="325" t="s">
        <v>381</v>
      </c>
      <c r="E14" s="326" t="s">
        <v>91</v>
      </c>
      <c r="F14" s="327"/>
      <c r="G14" s="327"/>
      <c r="H14" s="331" t="s">
        <v>2042</v>
      </c>
      <c r="I14" s="328">
        <v>2022</v>
      </c>
      <c r="J14" s="329" t="s">
        <v>382</v>
      </c>
    </row>
    <row r="15" spans="1:10" s="26" customFormat="1" ht="25.95" customHeight="1" x14ac:dyDescent="0.3">
      <c r="A15" s="47">
        <v>14</v>
      </c>
      <c r="B15" s="61" t="s">
        <v>138</v>
      </c>
      <c r="C15" s="231">
        <v>30000000</v>
      </c>
      <c r="D15" s="62" t="s">
        <v>383</v>
      </c>
      <c r="E15" s="63" t="s">
        <v>349</v>
      </c>
      <c r="F15" s="64" t="s">
        <v>172</v>
      </c>
      <c r="G15" s="64"/>
      <c r="H15" s="66" t="s">
        <v>384</v>
      </c>
      <c r="I15" s="65">
        <v>2022</v>
      </c>
      <c r="J15" s="7" t="s">
        <v>385</v>
      </c>
    </row>
    <row r="16" spans="1:10" s="26" customFormat="1" ht="15.6" x14ac:dyDescent="0.3">
      <c r="A16" s="47">
        <v>15</v>
      </c>
      <c r="B16" s="61" t="s">
        <v>138</v>
      </c>
      <c r="C16" s="231">
        <v>10000000</v>
      </c>
      <c r="D16" s="62" t="s">
        <v>386</v>
      </c>
      <c r="E16" s="63" t="s">
        <v>387</v>
      </c>
      <c r="F16" s="64"/>
      <c r="G16" s="64"/>
      <c r="H16" s="61"/>
      <c r="I16" s="65">
        <v>2022</v>
      </c>
      <c r="J16" s="7" t="s">
        <v>388</v>
      </c>
    </row>
    <row r="17" spans="1:10" s="26" customFormat="1" ht="15.6" x14ac:dyDescent="0.3">
      <c r="A17" s="47">
        <v>16</v>
      </c>
      <c r="B17" s="61" t="s">
        <v>138</v>
      </c>
      <c r="C17" s="231">
        <v>10000000</v>
      </c>
      <c r="D17" s="62" t="s">
        <v>389</v>
      </c>
      <c r="E17" s="63" t="s">
        <v>387</v>
      </c>
      <c r="F17" s="64"/>
      <c r="G17" s="64"/>
      <c r="H17" s="61"/>
      <c r="I17" s="65">
        <v>2022</v>
      </c>
      <c r="J17" s="7" t="s">
        <v>390</v>
      </c>
    </row>
    <row r="18" spans="1:10" s="26" customFormat="1" ht="28.8" x14ac:dyDescent="0.3">
      <c r="A18" s="47">
        <v>17</v>
      </c>
      <c r="B18" s="61" t="s">
        <v>184</v>
      </c>
      <c r="C18" s="232">
        <v>10000000</v>
      </c>
      <c r="D18" s="62" t="s">
        <v>391</v>
      </c>
      <c r="E18" s="63" t="s">
        <v>362</v>
      </c>
      <c r="F18" s="64"/>
      <c r="G18" s="64"/>
      <c r="H18" s="61"/>
      <c r="I18" s="65">
        <v>2022</v>
      </c>
      <c r="J18" s="7" t="s">
        <v>2317</v>
      </c>
    </row>
    <row r="19" spans="1:10" s="26" customFormat="1" ht="28.8" x14ac:dyDescent="0.3">
      <c r="A19" s="47">
        <v>18</v>
      </c>
      <c r="B19" s="61" t="s">
        <v>184</v>
      </c>
      <c r="C19" s="232">
        <v>10000000</v>
      </c>
      <c r="D19" s="62" t="s">
        <v>392</v>
      </c>
      <c r="E19" s="63" t="s">
        <v>120</v>
      </c>
      <c r="F19" s="64"/>
      <c r="G19" s="64"/>
      <c r="H19" s="61"/>
      <c r="I19" s="65">
        <v>2022</v>
      </c>
      <c r="J19" s="7" t="s">
        <v>2257</v>
      </c>
    </row>
    <row r="20" spans="1:10" s="26" customFormat="1" ht="28.8" x14ac:dyDescent="0.3">
      <c r="A20" s="47">
        <v>19</v>
      </c>
      <c r="B20" s="61" t="s">
        <v>184</v>
      </c>
      <c r="C20" s="232">
        <v>10000000</v>
      </c>
      <c r="D20" s="62" t="s">
        <v>393</v>
      </c>
      <c r="E20" s="63" t="s">
        <v>366</v>
      </c>
      <c r="F20" s="64"/>
      <c r="G20" s="64"/>
      <c r="H20" s="61"/>
      <c r="I20" s="65">
        <v>2022</v>
      </c>
      <c r="J20" s="7" t="s">
        <v>2258</v>
      </c>
    </row>
    <row r="21" spans="1:10" s="26" customFormat="1" ht="28.8" x14ac:dyDescent="0.3">
      <c r="A21" s="47">
        <v>20</v>
      </c>
      <c r="B21" s="61" t="s">
        <v>184</v>
      </c>
      <c r="C21" s="232">
        <v>10000000</v>
      </c>
      <c r="D21" s="62" t="s">
        <v>394</v>
      </c>
      <c r="E21" s="63" t="s">
        <v>370</v>
      </c>
      <c r="F21" s="64"/>
      <c r="G21" s="64"/>
      <c r="H21" s="61"/>
      <c r="I21" s="65">
        <v>2022</v>
      </c>
      <c r="J21" s="7" t="s">
        <v>2318</v>
      </c>
    </row>
    <row r="22" spans="1:10" s="26" customFormat="1" ht="28.8" x14ac:dyDescent="0.3">
      <c r="A22" s="47">
        <v>21</v>
      </c>
      <c r="B22" s="61" t="s">
        <v>184</v>
      </c>
      <c r="C22" s="232">
        <v>10000000</v>
      </c>
      <c r="D22" s="62" t="s">
        <v>395</v>
      </c>
      <c r="E22" s="63" t="s">
        <v>396</v>
      </c>
      <c r="F22" s="64"/>
      <c r="G22" s="64"/>
      <c r="H22" s="61"/>
      <c r="I22" s="65">
        <v>2022</v>
      </c>
      <c r="J22" s="7" t="s">
        <v>2319</v>
      </c>
    </row>
    <row r="23" spans="1:10" s="26" customFormat="1" ht="28.8" x14ac:dyDescent="0.3">
      <c r="A23" s="47">
        <v>22</v>
      </c>
      <c r="B23" s="61" t="s">
        <v>184</v>
      </c>
      <c r="C23" s="232">
        <v>10000000</v>
      </c>
      <c r="D23" s="62" t="s">
        <v>397</v>
      </c>
      <c r="E23" s="63" t="s">
        <v>398</v>
      </c>
      <c r="F23" s="64"/>
      <c r="G23" s="64"/>
      <c r="H23" s="61" t="s">
        <v>399</v>
      </c>
      <c r="I23" s="65">
        <v>2022</v>
      </c>
      <c r="J23" s="7" t="s">
        <v>2302</v>
      </c>
    </row>
    <row r="24" spans="1:10" s="26" customFormat="1" ht="28.8" x14ac:dyDescent="0.3">
      <c r="A24" s="47">
        <v>23</v>
      </c>
      <c r="B24" s="61" t="s">
        <v>138</v>
      </c>
      <c r="C24" s="231">
        <v>25000000</v>
      </c>
      <c r="D24" s="62" t="s">
        <v>400</v>
      </c>
      <c r="E24" s="63" t="s">
        <v>401</v>
      </c>
      <c r="F24" s="64"/>
      <c r="G24" s="64"/>
      <c r="H24" s="61"/>
      <c r="I24" s="65">
        <v>2023</v>
      </c>
      <c r="J24" s="7" t="s">
        <v>402</v>
      </c>
    </row>
    <row r="25" spans="1:10" s="26" customFormat="1" ht="15.6" x14ac:dyDescent="0.3">
      <c r="A25" s="322">
        <v>24</v>
      </c>
      <c r="B25" s="323" t="s">
        <v>138</v>
      </c>
      <c r="C25" s="324">
        <v>10000000</v>
      </c>
      <c r="D25" s="325" t="s">
        <v>403</v>
      </c>
      <c r="E25" s="326" t="s">
        <v>398</v>
      </c>
      <c r="F25" s="327"/>
      <c r="G25" s="327"/>
      <c r="H25" s="323"/>
      <c r="I25" s="328">
        <v>2022</v>
      </c>
      <c r="J25" s="329" t="s">
        <v>404</v>
      </c>
    </row>
    <row r="26" spans="1:10" s="26" customFormat="1" ht="28.8" x14ac:dyDescent="0.3">
      <c r="A26" s="47">
        <v>25</v>
      </c>
      <c r="B26" s="61" t="s">
        <v>184</v>
      </c>
      <c r="C26" s="232">
        <v>47085000</v>
      </c>
      <c r="D26" s="62" t="s">
        <v>405</v>
      </c>
      <c r="E26" s="63" t="s">
        <v>401</v>
      </c>
      <c r="F26" s="64"/>
      <c r="G26" s="64"/>
      <c r="H26" s="61" t="s">
        <v>406</v>
      </c>
      <c r="I26" s="65">
        <v>2022</v>
      </c>
      <c r="J26" s="7" t="s">
        <v>2303</v>
      </c>
    </row>
    <row r="27" spans="1:10" s="26" customFormat="1" ht="15.6" x14ac:dyDescent="0.3">
      <c r="A27" s="47">
        <v>26</v>
      </c>
      <c r="B27" s="61" t="s">
        <v>138</v>
      </c>
      <c r="C27" s="231">
        <v>10000000</v>
      </c>
      <c r="D27" s="62" t="s">
        <v>407</v>
      </c>
      <c r="E27" s="63" t="s">
        <v>401</v>
      </c>
      <c r="F27" s="64"/>
      <c r="G27" s="64"/>
      <c r="H27" s="61"/>
      <c r="I27" s="65">
        <v>2022</v>
      </c>
      <c r="J27" s="7" t="s">
        <v>408</v>
      </c>
    </row>
    <row r="28" spans="1:10" s="26" customFormat="1" ht="28.8" x14ac:dyDescent="0.3">
      <c r="A28" s="322">
        <v>27</v>
      </c>
      <c r="B28" s="323" t="s">
        <v>138</v>
      </c>
      <c r="C28" s="324">
        <v>10000000</v>
      </c>
      <c r="D28" s="325" t="s">
        <v>409</v>
      </c>
      <c r="E28" s="326" t="s">
        <v>410</v>
      </c>
      <c r="F28" s="327"/>
      <c r="G28" s="327"/>
      <c r="H28" s="323"/>
      <c r="I28" s="328">
        <v>2022</v>
      </c>
      <c r="J28" s="329" t="s">
        <v>411</v>
      </c>
    </row>
    <row r="29" spans="1:10" s="26" customFormat="1" ht="15.6" x14ac:dyDescent="0.3">
      <c r="A29" s="47">
        <v>28</v>
      </c>
      <c r="B29" s="61" t="s">
        <v>138</v>
      </c>
      <c r="C29" s="231">
        <v>15000000</v>
      </c>
      <c r="D29" s="62" t="s">
        <v>2253</v>
      </c>
      <c r="E29" s="63" t="s">
        <v>412</v>
      </c>
      <c r="F29" s="64"/>
      <c r="G29" s="64"/>
      <c r="H29" s="61" t="s">
        <v>413</v>
      </c>
      <c r="I29" s="65">
        <v>2022</v>
      </c>
      <c r="J29" s="7" t="s">
        <v>2304</v>
      </c>
    </row>
    <row r="30" spans="1:10" s="26" customFormat="1" ht="15.6" x14ac:dyDescent="0.3">
      <c r="A30" s="47">
        <v>29</v>
      </c>
      <c r="B30" s="61" t="s">
        <v>138</v>
      </c>
      <c r="C30" s="231">
        <v>6105000000</v>
      </c>
      <c r="D30" s="62" t="s">
        <v>414</v>
      </c>
      <c r="E30" s="63" t="s">
        <v>415</v>
      </c>
      <c r="F30" s="55"/>
      <c r="G30" s="55"/>
      <c r="H30" s="61" t="s">
        <v>416</v>
      </c>
      <c r="I30" s="65">
        <v>2022</v>
      </c>
      <c r="J30" s="7" t="s">
        <v>2305</v>
      </c>
    </row>
    <row r="31" spans="1:10" s="26" customFormat="1" ht="15.6" x14ac:dyDescent="0.3">
      <c r="A31" s="47">
        <v>30</v>
      </c>
      <c r="B31" s="61" t="s">
        <v>184</v>
      </c>
      <c r="C31" s="232">
        <v>300000000</v>
      </c>
      <c r="D31" s="62" t="s">
        <v>417</v>
      </c>
      <c r="E31" s="63" t="s">
        <v>418</v>
      </c>
      <c r="F31" s="64" t="s">
        <v>419</v>
      </c>
      <c r="G31" s="64"/>
      <c r="H31" s="61" t="s">
        <v>420</v>
      </c>
      <c r="I31" s="65">
        <v>2022</v>
      </c>
      <c r="J31" s="7" t="s">
        <v>421</v>
      </c>
    </row>
    <row r="32" spans="1:10" s="26" customFormat="1" ht="15.6" x14ac:dyDescent="0.3">
      <c r="A32" s="47">
        <v>31</v>
      </c>
      <c r="B32" s="61" t="s">
        <v>184</v>
      </c>
      <c r="C32" s="232">
        <v>366375000</v>
      </c>
      <c r="D32" s="62" t="s">
        <v>422</v>
      </c>
      <c r="E32" s="63" t="s">
        <v>418</v>
      </c>
      <c r="F32" s="64"/>
      <c r="G32" s="64"/>
      <c r="H32" s="61"/>
      <c r="I32" s="65">
        <v>2020</v>
      </c>
      <c r="J32" s="7" t="s">
        <v>2032</v>
      </c>
    </row>
    <row r="33" spans="1:10" s="26" customFormat="1" ht="15.6" x14ac:dyDescent="0.3">
      <c r="A33" s="47">
        <v>32</v>
      </c>
      <c r="B33" s="61" t="s">
        <v>184</v>
      </c>
      <c r="C33" s="232">
        <v>917198000</v>
      </c>
      <c r="D33" s="62" t="s">
        <v>2028</v>
      </c>
      <c r="E33" s="63" t="s">
        <v>418</v>
      </c>
      <c r="F33" s="64"/>
      <c r="G33" s="64"/>
      <c r="H33" s="61" t="s">
        <v>423</v>
      </c>
      <c r="I33" s="65">
        <v>2020</v>
      </c>
      <c r="J33" s="7" t="s">
        <v>2306</v>
      </c>
    </row>
    <row r="34" spans="1:10" s="26" customFormat="1" ht="15.6" x14ac:dyDescent="0.3">
      <c r="A34" s="332">
        <v>33</v>
      </c>
      <c r="B34" s="333" t="s">
        <v>184</v>
      </c>
      <c r="C34" s="334">
        <v>2691050000</v>
      </c>
      <c r="D34" s="335" t="s">
        <v>424</v>
      </c>
      <c r="E34" s="336" t="s">
        <v>425</v>
      </c>
      <c r="F34" s="337" t="s">
        <v>3871</v>
      </c>
      <c r="G34" s="337" t="s">
        <v>419</v>
      </c>
      <c r="H34" s="333"/>
      <c r="I34" s="338">
        <v>2020</v>
      </c>
      <c r="J34" s="339" t="s">
        <v>426</v>
      </c>
    </row>
    <row r="35" spans="1:10" s="26" customFormat="1" ht="15.6" x14ac:dyDescent="0.3">
      <c r="A35" s="332">
        <v>34</v>
      </c>
      <c r="B35" s="333" t="s">
        <v>184</v>
      </c>
      <c r="C35" s="334">
        <v>1071040000</v>
      </c>
      <c r="D35" s="335" t="s">
        <v>427</v>
      </c>
      <c r="E35" s="336" t="s">
        <v>425</v>
      </c>
      <c r="F35" s="337" t="s">
        <v>3872</v>
      </c>
      <c r="G35" s="337" t="s">
        <v>419</v>
      </c>
      <c r="H35" s="333"/>
      <c r="I35" s="338">
        <v>2020</v>
      </c>
      <c r="J35" s="339" t="s">
        <v>428</v>
      </c>
    </row>
    <row r="36" spans="1:10" s="26" customFormat="1" ht="15.6" x14ac:dyDescent="0.3">
      <c r="A36" s="47">
        <v>35</v>
      </c>
      <c r="B36" s="61" t="s">
        <v>184</v>
      </c>
      <c r="C36" s="232">
        <v>2838000000</v>
      </c>
      <c r="D36" s="62" t="s">
        <v>429</v>
      </c>
      <c r="E36" s="63" t="s">
        <v>425</v>
      </c>
      <c r="F36" s="64" t="s">
        <v>3870</v>
      </c>
      <c r="G36" s="64"/>
      <c r="H36" s="61"/>
      <c r="I36" s="65">
        <v>2020</v>
      </c>
      <c r="J36" s="7" t="s">
        <v>2211</v>
      </c>
    </row>
    <row r="37" spans="1:10" s="26" customFormat="1" ht="15.6" x14ac:dyDescent="0.3">
      <c r="A37" s="47">
        <v>36</v>
      </c>
      <c r="B37" s="61" t="s">
        <v>184</v>
      </c>
      <c r="C37" s="232">
        <v>140080000</v>
      </c>
      <c r="D37" s="62" t="s">
        <v>3884</v>
      </c>
      <c r="E37" s="63" t="s">
        <v>425</v>
      </c>
      <c r="F37" s="64" t="s">
        <v>2348</v>
      </c>
      <c r="G37" s="64"/>
      <c r="H37" s="61"/>
      <c r="I37" s="65">
        <v>2020</v>
      </c>
      <c r="J37" s="7" t="s">
        <v>3885</v>
      </c>
    </row>
    <row r="38" spans="1:10" s="26" customFormat="1" ht="15.6" x14ac:dyDescent="0.3">
      <c r="A38" s="47">
        <v>37</v>
      </c>
      <c r="B38" s="61" t="s">
        <v>184</v>
      </c>
      <c r="C38" s="232">
        <v>1995000000</v>
      </c>
      <c r="D38" s="62" t="s">
        <v>2026</v>
      </c>
      <c r="E38" s="63" t="s">
        <v>418</v>
      </c>
      <c r="F38" s="64"/>
      <c r="G38" s="64"/>
      <c r="H38" s="61"/>
      <c r="I38" s="65">
        <v>2020</v>
      </c>
      <c r="J38" s="7" t="s">
        <v>2030</v>
      </c>
    </row>
    <row r="39" spans="1:10" s="26" customFormat="1" ht="28.8" x14ac:dyDescent="0.3">
      <c r="A39" s="47">
        <v>38</v>
      </c>
      <c r="B39" s="61" t="s">
        <v>184</v>
      </c>
      <c r="C39" s="232">
        <v>1300000000</v>
      </c>
      <c r="D39" s="62" t="s">
        <v>430</v>
      </c>
      <c r="E39" s="63" t="s">
        <v>185</v>
      </c>
      <c r="F39" s="64" t="s">
        <v>419</v>
      </c>
      <c r="G39" s="64" t="s">
        <v>360</v>
      </c>
      <c r="H39" s="61" t="s">
        <v>431</v>
      </c>
      <c r="I39" s="65">
        <v>2021</v>
      </c>
      <c r="J39" s="7" t="s">
        <v>432</v>
      </c>
    </row>
    <row r="40" spans="1:10" s="26" customFormat="1" ht="15.6" x14ac:dyDescent="0.3">
      <c r="A40" s="47">
        <v>39</v>
      </c>
      <c r="B40" s="61" t="s">
        <v>184</v>
      </c>
      <c r="C40" s="232">
        <v>38608000</v>
      </c>
      <c r="D40" s="62" t="s">
        <v>2027</v>
      </c>
      <c r="E40" s="55" t="s">
        <v>2345</v>
      </c>
      <c r="F40" s="55" t="s">
        <v>412</v>
      </c>
      <c r="G40" s="64" t="s">
        <v>543</v>
      </c>
      <c r="H40" s="61"/>
      <c r="I40" s="65">
        <v>2020</v>
      </c>
      <c r="J40" s="7" t="s">
        <v>187</v>
      </c>
    </row>
    <row r="41" spans="1:10" s="26" customFormat="1" ht="15.6" x14ac:dyDescent="0.3">
      <c r="A41" s="47">
        <v>40</v>
      </c>
      <c r="B41" s="61" t="s">
        <v>184</v>
      </c>
      <c r="C41" s="232">
        <v>2400000000</v>
      </c>
      <c r="D41" s="62" t="s">
        <v>433</v>
      </c>
      <c r="E41" s="63" t="s">
        <v>387</v>
      </c>
      <c r="F41" s="64"/>
      <c r="G41" s="64"/>
      <c r="H41" s="61" t="s">
        <v>434</v>
      </c>
      <c r="I41" s="65">
        <v>2020</v>
      </c>
      <c r="J41" s="7" t="s">
        <v>2307</v>
      </c>
    </row>
    <row r="42" spans="1:10" s="26" customFormat="1" ht="15.6" x14ac:dyDescent="0.3">
      <c r="A42" s="47">
        <v>41</v>
      </c>
      <c r="B42" s="61" t="s">
        <v>184</v>
      </c>
      <c r="C42" s="232">
        <v>605800000</v>
      </c>
      <c r="D42" s="62" t="s">
        <v>435</v>
      </c>
      <c r="E42" s="63" t="s">
        <v>415</v>
      </c>
      <c r="F42" s="55"/>
      <c r="G42" s="64"/>
      <c r="H42" s="61"/>
      <c r="I42" s="65">
        <v>2020</v>
      </c>
      <c r="J42" s="7" t="s">
        <v>2031</v>
      </c>
    </row>
    <row r="43" spans="1:10" s="26" customFormat="1" ht="15.6" x14ac:dyDescent="0.3">
      <c r="A43" s="47">
        <v>42</v>
      </c>
      <c r="B43" s="61" t="s">
        <v>184</v>
      </c>
      <c r="C43" s="232">
        <v>347625000</v>
      </c>
      <c r="D43" s="62" t="s">
        <v>436</v>
      </c>
      <c r="E43" s="63" t="s">
        <v>418</v>
      </c>
      <c r="F43" s="64"/>
      <c r="G43" s="64"/>
      <c r="H43" s="61" t="s">
        <v>437</v>
      </c>
      <c r="I43" s="65">
        <v>2021</v>
      </c>
      <c r="J43" s="7" t="s">
        <v>2308</v>
      </c>
    </row>
    <row r="44" spans="1:10" s="26" customFormat="1" ht="28.8" x14ac:dyDescent="0.3">
      <c r="A44" s="47">
        <v>43</v>
      </c>
      <c r="B44" s="61" t="s">
        <v>184</v>
      </c>
      <c r="C44" s="232">
        <v>2875416527</v>
      </c>
      <c r="D44" s="62" t="s">
        <v>2029</v>
      </c>
      <c r="E44" s="63" t="s">
        <v>418</v>
      </c>
      <c r="F44" s="64"/>
      <c r="G44" s="64"/>
      <c r="H44" s="61" t="s">
        <v>438</v>
      </c>
      <c r="I44" s="65">
        <v>2021</v>
      </c>
      <c r="J44" s="7" t="s">
        <v>2309</v>
      </c>
    </row>
    <row r="45" spans="1:10" s="26" customFormat="1" ht="15.6" x14ac:dyDescent="0.3">
      <c r="A45" s="47">
        <v>44</v>
      </c>
      <c r="B45" s="61" t="s">
        <v>184</v>
      </c>
      <c r="C45" s="232">
        <v>1674152000</v>
      </c>
      <c r="D45" s="62" t="s">
        <v>2347</v>
      </c>
      <c r="E45" s="63" t="s">
        <v>418</v>
      </c>
      <c r="F45" s="55" t="s">
        <v>2345</v>
      </c>
      <c r="G45" s="64"/>
      <c r="H45" s="61" t="s">
        <v>439</v>
      </c>
      <c r="I45" s="65">
        <v>2021</v>
      </c>
      <c r="J45" s="7" t="s">
        <v>2310</v>
      </c>
    </row>
    <row r="46" spans="1:10" s="26" customFormat="1" ht="15.6" x14ac:dyDescent="0.3">
      <c r="A46" s="47">
        <v>45</v>
      </c>
      <c r="B46" s="61" t="s">
        <v>184</v>
      </c>
      <c r="C46" s="232">
        <v>6150000000</v>
      </c>
      <c r="D46" s="62" t="s">
        <v>440</v>
      </c>
      <c r="E46" s="63" t="s">
        <v>425</v>
      </c>
      <c r="F46" s="64"/>
      <c r="G46" s="64"/>
      <c r="H46" s="61"/>
      <c r="I46" s="65">
        <v>2021</v>
      </c>
      <c r="J46" s="7" t="s">
        <v>2212</v>
      </c>
    </row>
    <row r="47" spans="1:10" s="26" customFormat="1" ht="15.6" x14ac:dyDescent="0.3">
      <c r="A47" s="47">
        <v>46</v>
      </c>
      <c r="B47" s="61" t="s">
        <v>184</v>
      </c>
      <c r="C47" s="232">
        <v>2074440000</v>
      </c>
      <c r="D47" s="62" t="s">
        <v>433</v>
      </c>
      <c r="E47" s="63" t="s">
        <v>415</v>
      </c>
      <c r="F47" s="64"/>
      <c r="G47" s="64"/>
      <c r="H47" s="61"/>
      <c r="I47" s="65">
        <v>2021</v>
      </c>
      <c r="J47" s="7" t="s">
        <v>441</v>
      </c>
    </row>
    <row r="48" spans="1:10" s="26" customFormat="1" ht="28.8" x14ac:dyDescent="0.3">
      <c r="A48" s="47">
        <v>47</v>
      </c>
      <c r="B48" s="61" t="s">
        <v>184</v>
      </c>
      <c r="C48" s="232">
        <v>1264000000</v>
      </c>
      <c r="D48" s="62" t="s">
        <v>442</v>
      </c>
      <c r="E48" s="63" t="s">
        <v>418</v>
      </c>
      <c r="F48" s="64" t="s">
        <v>419</v>
      </c>
      <c r="G48" s="64"/>
      <c r="H48" s="61" t="s">
        <v>443</v>
      </c>
      <c r="I48" s="65">
        <v>2022</v>
      </c>
      <c r="J48" s="7" t="s">
        <v>444</v>
      </c>
    </row>
    <row r="49" spans="1:10" s="26" customFormat="1" ht="15.6" x14ac:dyDescent="0.3">
      <c r="A49" s="47">
        <v>48</v>
      </c>
      <c r="B49" s="61" t="s">
        <v>184</v>
      </c>
      <c r="C49" s="232">
        <v>285000000</v>
      </c>
      <c r="D49" s="62" t="s">
        <v>445</v>
      </c>
      <c r="E49" s="63" t="s">
        <v>185</v>
      </c>
      <c r="F49" s="64" t="s">
        <v>419</v>
      </c>
      <c r="G49" s="64"/>
      <c r="H49" s="61" t="s">
        <v>443</v>
      </c>
      <c r="I49" s="65">
        <v>2022</v>
      </c>
      <c r="J49" s="7" t="s">
        <v>446</v>
      </c>
    </row>
    <row r="50" spans="1:10" s="26" customFormat="1" ht="28.8" x14ac:dyDescent="0.3">
      <c r="A50" s="47">
        <v>49</v>
      </c>
      <c r="B50" s="61" t="s">
        <v>184</v>
      </c>
      <c r="C50" s="232">
        <v>197550000</v>
      </c>
      <c r="D50" s="62" t="s">
        <v>447</v>
      </c>
      <c r="E50" s="63" t="s">
        <v>418</v>
      </c>
      <c r="F50" s="64"/>
      <c r="G50" s="64"/>
      <c r="H50" s="61"/>
      <c r="I50" s="65">
        <v>2022</v>
      </c>
      <c r="J50" s="7" t="s">
        <v>448</v>
      </c>
    </row>
    <row r="51" spans="1:10" s="26" customFormat="1" ht="28.8" x14ac:dyDescent="0.3">
      <c r="A51" s="47">
        <v>50</v>
      </c>
      <c r="B51" s="61" t="s">
        <v>184</v>
      </c>
      <c r="C51" s="232">
        <v>1335852000</v>
      </c>
      <c r="D51" s="62" t="s">
        <v>449</v>
      </c>
      <c r="E51" s="63" t="s">
        <v>450</v>
      </c>
      <c r="F51" s="64" t="s">
        <v>451</v>
      </c>
      <c r="G51" s="64" t="s">
        <v>452</v>
      </c>
      <c r="H51" s="61" t="s">
        <v>453</v>
      </c>
      <c r="I51" s="65">
        <v>2022</v>
      </c>
      <c r="J51" s="7" t="s">
        <v>454</v>
      </c>
    </row>
    <row r="52" spans="1:10" s="26" customFormat="1" ht="28.8" x14ac:dyDescent="0.3">
      <c r="A52" s="47">
        <v>51</v>
      </c>
      <c r="B52" s="61" t="s">
        <v>184</v>
      </c>
      <c r="C52" s="232">
        <v>10000000</v>
      </c>
      <c r="D52" s="62" t="s">
        <v>455</v>
      </c>
      <c r="E52" s="63" t="s">
        <v>151</v>
      </c>
      <c r="F52" s="64"/>
      <c r="G52" s="64"/>
      <c r="H52" s="61" t="s">
        <v>456</v>
      </c>
      <c r="I52" s="65">
        <v>2022</v>
      </c>
      <c r="J52" s="7" t="s">
        <v>2311</v>
      </c>
    </row>
    <row r="53" spans="1:10" s="26" customFormat="1" ht="28.8" x14ac:dyDescent="0.3">
      <c r="A53" s="47">
        <v>52</v>
      </c>
      <c r="B53" s="61" t="s">
        <v>184</v>
      </c>
      <c r="C53" s="232">
        <v>10000000</v>
      </c>
      <c r="D53" s="62" t="s">
        <v>457</v>
      </c>
      <c r="E53" s="63" t="s">
        <v>458</v>
      </c>
      <c r="F53" s="55"/>
      <c r="G53" s="55"/>
      <c r="H53" s="61"/>
      <c r="I53" s="65">
        <v>2022</v>
      </c>
      <c r="J53" s="7" t="s">
        <v>459</v>
      </c>
    </row>
    <row r="54" spans="1:10" s="26" customFormat="1" ht="28.8" x14ac:dyDescent="0.3">
      <c r="A54" s="47">
        <v>53</v>
      </c>
      <c r="B54" s="61" t="s">
        <v>184</v>
      </c>
      <c r="C54" s="232">
        <v>10000000</v>
      </c>
      <c r="D54" s="62" t="s">
        <v>460</v>
      </c>
      <c r="E54" s="63" t="s">
        <v>79</v>
      </c>
      <c r="F54" s="55"/>
      <c r="G54" s="55"/>
      <c r="H54" s="61"/>
      <c r="I54" s="65">
        <v>2022</v>
      </c>
      <c r="J54" s="7" t="s">
        <v>461</v>
      </c>
    </row>
    <row r="55" spans="1:10" s="26" customFormat="1" ht="28.8" x14ac:dyDescent="0.3">
      <c r="A55" s="47">
        <v>54</v>
      </c>
      <c r="B55" s="61" t="s">
        <v>184</v>
      </c>
      <c r="C55" s="232">
        <v>10000000</v>
      </c>
      <c r="D55" s="62" t="s">
        <v>462</v>
      </c>
      <c r="E55" s="63" t="s">
        <v>114</v>
      </c>
      <c r="F55" s="55"/>
      <c r="G55" s="55"/>
      <c r="H55" s="61" t="s">
        <v>463</v>
      </c>
      <c r="I55" s="65">
        <v>2022</v>
      </c>
      <c r="J55" s="7" t="s">
        <v>2312</v>
      </c>
    </row>
    <row r="56" spans="1:10" s="26" customFormat="1" ht="28.8" x14ac:dyDescent="0.3">
      <c r="A56" s="47">
        <v>55</v>
      </c>
      <c r="B56" s="61" t="s">
        <v>184</v>
      </c>
      <c r="C56" s="232">
        <v>10000000</v>
      </c>
      <c r="D56" s="62" t="s">
        <v>464</v>
      </c>
      <c r="E56" s="63" t="s">
        <v>110</v>
      </c>
      <c r="F56" s="55"/>
      <c r="G56" s="55"/>
      <c r="H56" s="61"/>
      <c r="I56" s="65">
        <v>2022</v>
      </c>
      <c r="J56" s="7" t="s">
        <v>465</v>
      </c>
    </row>
    <row r="57" spans="1:10" s="26" customFormat="1" ht="28.8" x14ac:dyDescent="0.3">
      <c r="A57" s="47">
        <v>56</v>
      </c>
      <c r="B57" s="61" t="s">
        <v>184</v>
      </c>
      <c r="C57" s="232">
        <v>10000000</v>
      </c>
      <c r="D57" s="62" t="s">
        <v>466</v>
      </c>
      <c r="E57" s="63" t="s">
        <v>108</v>
      </c>
      <c r="F57" s="64"/>
      <c r="G57" s="64"/>
      <c r="H57" s="61"/>
      <c r="I57" s="65">
        <v>2022</v>
      </c>
      <c r="J57" s="7" t="s">
        <v>467</v>
      </c>
    </row>
    <row r="58" spans="1:10" s="26" customFormat="1" ht="28.8" x14ac:dyDescent="0.3">
      <c r="A58" s="47">
        <v>57</v>
      </c>
      <c r="B58" s="61" t="s">
        <v>184</v>
      </c>
      <c r="C58" s="232">
        <v>10000000</v>
      </c>
      <c r="D58" s="62" t="s">
        <v>468</v>
      </c>
      <c r="E58" s="63" t="s">
        <v>120</v>
      </c>
      <c r="F58" s="64"/>
      <c r="G58" s="64"/>
      <c r="H58" s="61"/>
      <c r="I58" s="65">
        <v>2022</v>
      </c>
      <c r="J58" s="7" t="s">
        <v>469</v>
      </c>
    </row>
    <row r="59" spans="1:10" s="26" customFormat="1" ht="28.8" x14ac:dyDescent="0.3">
      <c r="A59" s="47">
        <v>58</v>
      </c>
      <c r="B59" s="61" t="s">
        <v>184</v>
      </c>
      <c r="C59" s="232">
        <v>10000000</v>
      </c>
      <c r="D59" s="62" t="s">
        <v>470</v>
      </c>
      <c r="E59" s="63" t="s">
        <v>374</v>
      </c>
      <c r="F59" s="64"/>
      <c r="G59" s="64"/>
      <c r="H59" s="61"/>
      <c r="I59" s="65">
        <v>2022</v>
      </c>
      <c r="J59" s="7" t="s">
        <v>471</v>
      </c>
    </row>
    <row r="60" spans="1:10" s="26" customFormat="1" ht="28.8" x14ac:dyDescent="0.3">
      <c r="A60" s="47">
        <v>59</v>
      </c>
      <c r="B60" s="61" t="s">
        <v>184</v>
      </c>
      <c r="C60" s="232">
        <v>10000000</v>
      </c>
      <c r="D60" s="62" t="s">
        <v>472</v>
      </c>
      <c r="E60" s="63" t="s">
        <v>473</v>
      </c>
      <c r="F60" s="64"/>
      <c r="G60" s="64"/>
      <c r="H60" s="61"/>
      <c r="I60" s="65">
        <v>2022</v>
      </c>
      <c r="J60" s="7" t="s">
        <v>474</v>
      </c>
    </row>
    <row r="61" spans="1:10" s="26" customFormat="1" ht="28.8" x14ac:dyDescent="0.3">
      <c r="A61" s="47">
        <v>60</v>
      </c>
      <c r="B61" s="61" t="s">
        <v>184</v>
      </c>
      <c r="C61" s="232">
        <v>10000000</v>
      </c>
      <c r="D61" s="62" t="s">
        <v>475</v>
      </c>
      <c r="E61" s="63" t="s">
        <v>117</v>
      </c>
      <c r="F61" s="67"/>
      <c r="G61" s="67"/>
      <c r="H61" s="61"/>
      <c r="I61" s="65">
        <v>2022</v>
      </c>
      <c r="J61" s="7" t="s">
        <v>476</v>
      </c>
    </row>
    <row r="62" spans="1:10" s="26" customFormat="1" ht="15.6" x14ac:dyDescent="0.3">
      <c r="A62" s="47">
        <v>61</v>
      </c>
      <c r="B62" s="61" t="s">
        <v>184</v>
      </c>
      <c r="C62" s="232">
        <v>15000000</v>
      </c>
      <c r="D62" s="68" t="s">
        <v>477</v>
      </c>
      <c r="E62" s="63" t="s">
        <v>478</v>
      </c>
      <c r="F62" s="67"/>
      <c r="G62" s="67"/>
      <c r="H62" s="3" t="s">
        <v>340</v>
      </c>
      <c r="I62" s="65">
        <v>2022</v>
      </c>
      <c r="J62" s="7" t="s">
        <v>2313</v>
      </c>
    </row>
    <row r="63" spans="1:10" s="26" customFormat="1" ht="15.6" x14ac:dyDescent="0.3">
      <c r="A63" s="47">
        <v>62</v>
      </c>
      <c r="B63" s="61" t="s">
        <v>184</v>
      </c>
      <c r="C63" s="232">
        <v>15000000</v>
      </c>
      <c r="D63" s="68" t="s">
        <v>479</v>
      </c>
      <c r="E63" s="63" t="s">
        <v>478</v>
      </c>
      <c r="F63" s="67"/>
      <c r="G63" s="67"/>
      <c r="H63" s="3" t="s">
        <v>480</v>
      </c>
      <c r="I63" s="65">
        <v>2022</v>
      </c>
      <c r="J63" s="7" t="s">
        <v>2314</v>
      </c>
    </row>
    <row r="64" spans="1:10" s="26" customFormat="1" ht="15.6" x14ac:dyDescent="0.3">
      <c r="A64" s="47">
        <v>63</v>
      </c>
      <c r="B64" s="61" t="s">
        <v>184</v>
      </c>
      <c r="C64" s="232">
        <v>15000000</v>
      </c>
      <c r="D64" s="68" t="s">
        <v>481</v>
      </c>
      <c r="E64" s="63" t="s">
        <v>478</v>
      </c>
      <c r="F64" s="67"/>
      <c r="G64" s="67"/>
      <c r="H64" s="3"/>
      <c r="I64" s="65">
        <v>2022</v>
      </c>
      <c r="J64" s="7" t="s">
        <v>482</v>
      </c>
    </row>
    <row r="65" spans="1:11" s="26" customFormat="1" ht="15.6" x14ac:dyDescent="0.3">
      <c r="A65" s="47">
        <v>64</v>
      </c>
      <c r="B65" s="61" t="s">
        <v>184</v>
      </c>
      <c r="C65" s="232">
        <v>10000000</v>
      </c>
      <c r="D65" s="68" t="s">
        <v>483</v>
      </c>
      <c r="E65" s="63" t="s">
        <v>129</v>
      </c>
      <c r="F65" s="67"/>
      <c r="G65" s="67"/>
      <c r="H65" s="3"/>
      <c r="I65" s="65">
        <v>2022</v>
      </c>
      <c r="J65" s="7" t="s">
        <v>484</v>
      </c>
    </row>
    <row r="66" spans="1:11" s="26" customFormat="1" ht="15.6" x14ac:dyDescent="0.3">
      <c r="A66" s="332">
        <v>65</v>
      </c>
      <c r="B66" s="333" t="s">
        <v>307</v>
      </c>
      <c r="C66" s="334">
        <v>2678000000</v>
      </c>
      <c r="D66" s="340" t="s">
        <v>485</v>
      </c>
      <c r="E66" s="336" t="s">
        <v>425</v>
      </c>
      <c r="F66" s="341"/>
      <c r="G66" s="341"/>
      <c r="H66" s="333" t="s">
        <v>486</v>
      </c>
      <c r="I66" s="338">
        <v>2020</v>
      </c>
      <c r="J66" s="339" t="s">
        <v>2315</v>
      </c>
    </row>
    <row r="67" spans="1:11" s="26" customFormat="1" ht="15.6" x14ac:dyDescent="0.3">
      <c r="A67" s="332">
        <v>66</v>
      </c>
      <c r="B67" s="333" t="s">
        <v>307</v>
      </c>
      <c r="C67" s="334">
        <v>233050000</v>
      </c>
      <c r="D67" s="340" t="s">
        <v>3873</v>
      </c>
      <c r="E67" s="336" t="s">
        <v>425</v>
      </c>
      <c r="F67" s="341"/>
      <c r="G67" s="341"/>
      <c r="H67" s="333"/>
      <c r="I67" s="338">
        <v>2021</v>
      </c>
      <c r="J67" s="339" t="s">
        <v>3891</v>
      </c>
    </row>
    <row r="68" spans="1:11" s="26" customFormat="1" ht="28.8" x14ac:dyDescent="0.3">
      <c r="A68" s="47">
        <v>67</v>
      </c>
      <c r="B68" s="61" t="s">
        <v>138</v>
      </c>
      <c r="C68" s="231">
        <v>1107332000</v>
      </c>
      <c r="D68" s="62" t="s">
        <v>253</v>
      </c>
      <c r="E68" s="63" t="s">
        <v>356</v>
      </c>
      <c r="F68" s="55"/>
      <c r="G68" s="55"/>
      <c r="H68" s="61" t="s">
        <v>487</v>
      </c>
      <c r="I68" s="65">
        <v>2022</v>
      </c>
      <c r="J68" s="7" t="s">
        <v>2316</v>
      </c>
    </row>
    <row r="69" spans="1:11" s="26" customFormat="1" ht="43.2" x14ac:dyDescent="0.3">
      <c r="A69" s="47">
        <v>68</v>
      </c>
      <c r="B69" s="61" t="s">
        <v>488</v>
      </c>
      <c r="C69" s="232">
        <v>2376280000</v>
      </c>
      <c r="D69" s="69" t="s">
        <v>1032</v>
      </c>
      <c r="E69" s="63" t="s">
        <v>489</v>
      </c>
      <c r="F69" s="4"/>
      <c r="G69" s="4"/>
      <c r="H69" s="4"/>
      <c r="I69" s="3">
        <v>2021</v>
      </c>
      <c r="J69" s="7" t="s">
        <v>490</v>
      </c>
    </row>
    <row r="70" spans="1:11" s="26" customFormat="1" ht="15.6" x14ac:dyDescent="0.3">
      <c r="A70" s="47">
        <v>69</v>
      </c>
      <c r="B70" s="61" t="s">
        <v>488</v>
      </c>
      <c r="C70" s="232">
        <v>15000000</v>
      </c>
      <c r="D70" s="63" t="s">
        <v>491</v>
      </c>
      <c r="E70" s="63" t="s">
        <v>151</v>
      </c>
      <c r="F70" s="4"/>
      <c r="G70" s="4"/>
      <c r="H70" s="4"/>
      <c r="I70" s="3">
        <v>2021</v>
      </c>
      <c r="J70" s="7" t="s">
        <v>492</v>
      </c>
    </row>
    <row r="71" spans="1:11" s="26" customFormat="1" ht="28.8" x14ac:dyDescent="0.3">
      <c r="A71" s="47">
        <v>70</v>
      </c>
      <c r="B71" s="61" t="s">
        <v>138</v>
      </c>
      <c r="C71" s="231">
        <v>10000000</v>
      </c>
      <c r="D71" s="62" t="s">
        <v>493</v>
      </c>
      <c r="E71" s="63" t="s">
        <v>494</v>
      </c>
      <c r="F71" s="4"/>
      <c r="G71" s="4"/>
      <c r="H71" s="4"/>
      <c r="I71" s="3">
        <v>2021</v>
      </c>
      <c r="J71" s="7" t="s">
        <v>495</v>
      </c>
    </row>
    <row r="72" spans="1:11" s="26" customFormat="1" ht="28.8" x14ac:dyDescent="0.3">
      <c r="A72" s="47">
        <v>71</v>
      </c>
      <c r="B72" s="61" t="s">
        <v>138</v>
      </c>
      <c r="C72" s="231">
        <v>25000000</v>
      </c>
      <c r="D72" s="62" t="s">
        <v>496</v>
      </c>
      <c r="E72" s="63" t="s">
        <v>366</v>
      </c>
      <c r="F72" s="4"/>
      <c r="G72" s="4"/>
      <c r="H72" s="4"/>
      <c r="I72" s="3">
        <v>2020</v>
      </c>
      <c r="J72" s="7" t="s">
        <v>497</v>
      </c>
    </row>
    <row r="73" spans="1:11" ht="31.2" x14ac:dyDescent="0.3">
      <c r="A73" s="47">
        <v>72</v>
      </c>
      <c r="B73" s="70" t="s">
        <v>184</v>
      </c>
      <c r="C73" s="233">
        <v>10000000</v>
      </c>
      <c r="D73" s="71" t="s">
        <v>498</v>
      </c>
      <c r="E73" s="72" t="s">
        <v>108</v>
      </c>
      <c r="F73" s="56"/>
      <c r="G73" s="56"/>
      <c r="H73" s="56"/>
      <c r="I73" s="65">
        <v>2022</v>
      </c>
      <c r="J73" s="73" t="s">
        <v>499</v>
      </c>
    </row>
    <row r="74" spans="1:11" ht="31.2" x14ac:dyDescent="0.3">
      <c r="A74" s="65">
        <v>73</v>
      </c>
      <c r="B74" s="65" t="s">
        <v>184</v>
      </c>
      <c r="C74" s="239">
        <v>10000000</v>
      </c>
      <c r="D74" s="71" t="s">
        <v>498</v>
      </c>
      <c r="E74" s="56" t="s">
        <v>500</v>
      </c>
      <c r="F74" s="56"/>
      <c r="G74" s="56"/>
      <c r="H74" s="56"/>
      <c r="I74" s="49">
        <v>2022</v>
      </c>
      <c r="J74" s="73" t="s">
        <v>501</v>
      </c>
    </row>
    <row r="75" spans="1:11" ht="15.6" x14ac:dyDescent="0.3">
      <c r="A75" s="296">
        <v>74</v>
      </c>
      <c r="B75" s="65" t="s">
        <v>184</v>
      </c>
      <c r="C75" s="239">
        <v>75000000</v>
      </c>
      <c r="D75" s="71" t="s">
        <v>3865</v>
      </c>
      <c r="E75" s="56" t="s">
        <v>2345</v>
      </c>
      <c r="F75" s="56" t="s">
        <v>2348</v>
      </c>
      <c r="G75" s="56"/>
      <c r="H75" s="56"/>
      <c r="I75" s="49">
        <v>2021</v>
      </c>
      <c r="J75" s="34" t="s">
        <v>3866</v>
      </c>
    </row>
    <row r="76" spans="1:11" ht="15.6" x14ac:dyDescent="0.3">
      <c r="A76" s="342">
        <v>75</v>
      </c>
      <c r="B76" s="343" t="s">
        <v>138</v>
      </c>
      <c r="C76" s="359">
        <v>30000000</v>
      </c>
      <c r="D76" s="344" t="s">
        <v>3833</v>
      </c>
      <c r="E76" s="330" t="s">
        <v>2346</v>
      </c>
      <c r="F76" s="330"/>
      <c r="G76" s="330"/>
      <c r="H76" s="330"/>
      <c r="I76" s="343">
        <v>2022</v>
      </c>
      <c r="J76" s="345" t="s">
        <v>3834</v>
      </c>
      <c r="K76" s="22"/>
    </row>
    <row r="77" spans="1:11" ht="15.6" x14ac:dyDescent="0.3">
      <c r="A77" s="248">
        <v>76</v>
      </c>
      <c r="B77" s="50" t="s">
        <v>138</v>
      </c>
      <c r="C77" s="243">
        <v>10000000</v>
      </c>
      <c r="D77" s="55" t="s">
        <v>3835</v>
      </c>
      <c r="E77" s="55" t="s">
        <v>2360</v>
      </c>
      <c r="F77" s="55"/>
      <c r="G77" s="55"/>
      <c r="H77" s="55"/>
      <c r="I77" s="50">
        <v>2022</v>
      </c>
      <c r="J77" s="250" t="s">
        <v>3836</v>
      </c>
      <c r="K77" s="22"/>
    </row>
    <row r="78" spans="1:11" ht="15.6" x14ac:dyDescent="0.3">
      <c r="A78" s="297">
        <v>77</v>
      </c>
      <c r="B78" s="50" t="s">
        <v>307</v>
      </c>
      <c r="C78" s="243">
        <v>67000000</v>
      </c>
      <c r="D78" s="55" t="s">
        <v>3861</v>
      </c>
      <c r="E78" s="55" t="s">
        <v>415</v>
      </c>
      <c r="F78" s="55"/>
      <c r="G78" s="55"/>
      <c r="H78" s="55"/>
      <c r="I78" s="50">
        <v>2022</v>
      </c>
      <c r="J78" s="250" t="s">
        <v>3864</v>
      </c>
      <c r="K78" s="22"/>
    </row>
    <row r="79" spans="1:11" ht="15.6" x14ac:dyDescent="0.3">
      <c r="A79" s="297">
        <v>78</v>
      </c>
      <c r="B79" s="65" t="s">
        <v>184</v>
      </c>
      <c r="C79" s="243">
        <v>2700000000</v>
      </c>
      <c r="D79" s="274" t="s">
        <v>3886</v>
      </c>
      <c r="E79" s="55" t="s">
        <v>425</v>
      </c>
      <c r="F79" s="55" t="s">
        <v>3887</v>
      </c>
      <c r="G79" s="55"/>
      <c r="H79" s="55"/>
      <c r="I79" s="50">
        <v>2023</v>
      </c>
      <c r="J79" s="250" t="s">
        <v>3888</v>
      </c>
      <c r="K79" s="22"/>
    </row>
    <row r="80" spans="1:11" ht="15.6" x14ac:dyDescent="0.3">
      <c r="A80" s="297">
        <v>79</v>
      </c>
      <c r="B80" s="50" t="s">
        <v>307</v>
      </c>
      <c r="C80" s="243">
        <v>6704604400</v>
      </c>
      <c r="D80" s="274" t="s">
        <v>3889</v>
      </c>
      <c r="E80" s="55" t="s">
        <v>425</v>
      </c>
      <c r="F80" s="55" t="s">
        <v>3887</v>
      </c>
      <c r="G80" s="55"/>
      <c r="H80" s="55"/>
      <c r="I80" s="50">
        <v>2022</v>
      </c>
      <c r="J80" s="250" t="s">
        <v>3890</v>
      </c>
      <c r="K80" s="22"/>
    </row>
    <row r="81" spans="1:10" ht="15.6" x14ac:dyDescent="0.3">
      <c r="A81" s="297">
        <v>80</v>
      </c>
      <c r="B81" s="3" t="s">
        <v>184</v>
      </c>
      <c r="C81" s="358">
        <v>50000000</v>
      </c>
      <c r="D81" s="30" t="s">
        <v>3924</v>
      </c>
      <c r="E81" s="55" t="s">
        <v>3925</v>
      </c>
      <c r="F81" s="30" t="s">
        <v>2346</v>
      </c>
      <c r="G81" s="30"/>
      <c r="H81" s="30"/>
      <c r="I81" s="33">
        <v>2022</v>
      </c>
      <c r="J81" s="34" t="s">
        <v>3926</v>
      </c>
    </row>
    <row r="83" spans="1:10" ht="15.6" x14ac:dyDescent="0.3">
      <c r="A83" s="365" t="s">
        <v>2333</v>
      </c>
      <c r="B83" s="365"/>
      <c r="C83" s="365"/>
    </row>
    <row r="84" spans="1:10" ht="15.6" x14ac:dyDescent="0.3">
      <c r="A84" s="240" t="s">
        <v>1551</v>
      </c>
      <c r="B84" s="366">
        <f>SUM(C32,C33,C34,C35,C36,C37,C40,C41,C42,C43,C44,C45,C47,C66,C72,C75)</f>
        <v>20817784527</v>
      </c>
      <c r="C84" s="367">
        <f>SUM(C118,C119,C120,C121,C122,C123,C126,C127,C128,C129,C130,C131,C133,C152,C158)</f>
        <v>0</v>
      </c>
    </row>
    <row r="85" spans="1:10" ht="15.6" x14ac:dyDescent="0.3">
      <c r="A85" s="240" t="s">
        <v>1552</v>
      </c>
      <c r="B85" s="366">
        <f>SUM(C3,C4,C5,C6,C7,C8,C9,C10,C11,C12,C15,C38,C39,C46,C67,C69,C70,C71,C81,C80,C78)</f>
        <v>19110934400</v>
      </c>
      <c r="C85" s="367">
        <f>SUM(C119,C120,C121,C122,C123,C124,C127,C128,C129,C130,C131,C132,C134,C153,C159)</f>
        <v>0</v>
      </c>
    </row>
    <row r="86" spans="1:10" ht="15.6" x14ac:dyDescent="0.3">
      <c r="A86" s="240" t="s">
        <v>1553</v>
      </c>
      <c r="B86" s="366">
        <f>SUM(C2,C13,C14,C16,C17,C18,C19,C20,C21,C22,C23,C24,C25,C26,C27,C28,C29,C30,C31,C48,C49,C50,C51,C52,C53,C54,C55,C56,C57,C58,C59,C60,C61,C62,C63,C64,C65,C68,C73,C74,C79,C76,C77)</f>
        <v>13796819000</v>
      </c>
      <c r="C86" s="367">
        <f>SUM(C120,C121,C122,C123,C124,C125,C128,C129,C130,C131,C132,C133,C135,C154,C160)</f>
        <v>0</v>
      </c>
    </row>
    <row r="87" spans="1:10" x14ac:dyDescent="0.3">
      <c r="C87" s="241"/>
    </row>
    <row r="89" spans="1:10" ht="23.4" x14ac:dyDescent="0.3">
      <c r="B89" s="312" t="s">
        <v>4039</v>
      </c>
    </row>
  </sheetData>
  <protectedRanges>
    <protectedRange sqref="F2:G28" name="Tabel 5c"/>
    <protectedRange sqref="E4" name="Tabel 5c_7"/>
    <protectedRange sqref="F51:G51 F33:G36 F31:G31 F42:G44 F55:G56 F58:G58 F46:G47" name="Tabel 5c_1"/>
    <protectedRange sqref="F66:G68" name="Tabel 5c_6"/>
    <protectedRange sqref="D67" name="Tabel 5c_2_6"/>
    <protectedRange sqref="D68" name="Tabel 5c_3_6"/>
    <protectedRange sqref="E67" name="Tabel 5c_2_1_1"/>
    <protectedRange sqref="E68" name="Tabel 5c_3_1_1"/>
    <protectedRange sqref="H67" name="Tabel 5c_2_4_1"/>
    <protectedRange sqref="H68" name="Tabel 5c_3_4_1"/>
  </protectedRanges>
  <autoFilter ref="A1:J81" xr:uid="{00000000-0009-0000-0000-000002000000}"/>
  <mergeCells count="4">
    <mergeCell ref="A83:C83"/>
    <mergeCell ref="B84:C84"/>
    <mergeCell ref="B85:C85"/>
    <mergeCell ref="B86:C86"/>
  </mergeCells>
  <hyperlinks>
    <hyperlink ref="J48" r:id="rId1" xr:uid="{979413FC-F76E-4776-A137-8CDD74B4B120}"/>
    <hyperlink ref="J31" r:id="rId2" xr:uid="{6510C422-8763-4027-9542-6451F922D875}"/>
    <hyperlink ref="J39" r:id="rId3" xr:uid="{40727FD9-F37B-4822-886A-B8A3E7783EEE}"/>
    <hyperlink ref="J49" r:id="rId4" xr:uid="{EE52A875-74D6-443D-B2AB-3AEB16513137}"/>
    <hyperlink ref="J57" r:id="rId5" xr:uid="{B89C988E-ED69-4F8F-8865-72B89BDCBC43}"/>
    <hyperlink ref="J53" r:id="rId6" xr:uid="{0B9DF5AA-13D4-48FF-8CE0-DA0CC2608E27}"/>
    <hyperlink ref="J54" r:id="rId7" xr:uid="{58E56E18-BF1F-4AC8-8C0E-62C83DD5A760}"/>
    <hyperlink ref="J56" r:id="rId8" xr:uid="{FA44FE69-14C8-4BC4-9403-71AB56D1B1E1}"/>
    <hyperlink ref="J58" r:id="rId9" xr:uid="{64834077-C45F-4032-BA1E-FBEBFEEC3DA7}"/>
    <hyperlink ref="J59" r:id="rId10" xr:uid="{A2FE4C13-434B-48D7-B866-49F993C665D0}"/>
    <hyperlink ref="J60" r:id="rId11" xr:uid="{99D23B6C-B7C5-419C-9B25-E2097DE738AC}"/>
    <hyperlink ref="J61" r:id="rId12" xr:uid="{3BA71F9C-3753-4D45-BCCC-77D0A2451E2E}"/>
    <hyperlink ref="J51" r:id="rId13" xr:uid="{A8755440-2D10-4A56-B529-F18D32D36406}"/>
    <hyperlink ref="J65" r:id="rId14" xr:uid="{F01ED87B-2A88-40F5-9146-7BC0838262C0}"/>
    <hyperlink ref="J64" r:id="rId15" xr:uid="{56717892-2FD3-4DA4-B24A-53C94E829C78}"/>
    <hyperlink ref="J10" r:id="rId16" xr:uid="{99472EFE-CE38-4CEE-9BEB-6D145CB926BA}"/>
    <hyperlink ref="J69" r:id="rId17" xr:uid="{692062D4-0AD2-402B-A912-13076F2D0E7F}"/>
    <hyperlink ref="J70" r:id="rId18" xr:uid="{64CFE448-EC4F-412A-B960-2223D8C304BB}"/>
    <hyperlink ref="J71" r:id="rId19" xr:uid="{9092985B-E9C7-4517-A44A-53A9DD8D2F83}"/>
    <hyperlink ref="J72" r:id="rId20" xr:uid="{529C0DDF-5136-48EB-BB94-82D4A799CB02}"/>
    <hyperlink ref="J25" r:id="rId21" xr:uid="{8642825E-6B99-4E7E-AD37-9C8B10535D8B}"/>
    <hyperlink ref="J3" r:id="rId22" xr:uid="{68B18963-5D58-41CA-BCB6-DEFC23E5630A}"/>
    <hyperlink ref="J4" r:id="rId23" xr:uid="{C62FE177-AE3E-4227-ADED-230CD33CEEB4}"/>
    <hyperlink ref="J9" r:id="rId24" xr:uid="{A732B620-89B7-46C9-BF5F-5958E4444074}"/>
    <hyperlink ref="J12" r:id="rId25" xr:uid="{E4855028-B96F-4FAC-A878-7A34E6C6EE01}"/>
    <hyperlink ref="J16" r:id="rId26" xr:uid="{625677E9-4675-4A17-AD95-EE4411E76BAF}"/>
    <hyperlink ref="J17" r:id="rId27" xr:uid="{75172A01-5FD7-46EC-BD5D-4DE240FF74C2}"/>
    <hyperlink ref="J8" r:id="rId28" xr:uid="{77F74476-EB9E-4ECE-9D5C-87F6461E9D29}"/>
    <hyperlink ref="J11" r:id="rId29" xr:uid="{C47A3CF2-AEA8-412F-A7A1-283D86859E1B}"/>
    <hyperlink ref="J15" r:id="rId30" xr:uid="{C6AC52EE-144C-404A-B8B2-0F7FF341C455}"/>
    <hyperlink ref="J73" r:id="rId31" xr:uid="{B5CF8CAB-8FAF-4147-858E-1D495BBEC8A1}"/>
    <hyperlink ref="J74" r:id="rId32" xr:uid="{661E6EFF-CBB7-4864-BDDF-F443C1970929}"/>
    <hyperlink ref="J28" r:id="rId33" xr:uid="{C3D35B63-C71A-48CC-8E26-632D6EDA8166}"/>
    <hyperlink ref="J34" r:id="rId34" xr:uid="{0B6068E5-9ACC-4031-BFA6-0D7A53044836}"/>
    <hyperlink ref="J35" r:id="rId35" xr:uid="{EC6F2E7B-A63D-483E-8EE5-23EB35AFDB12}"/>
    <hyperlink ref="J47" r:id="rId36" xr:uid="{309CFD0D-96BC-4B4D-89FD-D7B5B8A03A2A}"/>
    <hyperlink ref="J50" r:id="rId37" xr:uid="{94C04E72-4DBD-493C-A31E-DBD855F1C43C}"/>
    <hyperlink ref="J24" r:id="rId38" xr:uid="{A1B87280-3087-435F-9F95-823FD574EFA3}"/>
    <hyperlink ref="J5" r:id="rId39" xr:uid="{91D76C23-F328-4886-8882-C80600D0B618}"/>
    <hyperlink ref="J38" r:id="rId40" xr:uid="{6CA3CE06-5DF0-4FC7-9A62-F09991C5D9FA}"/>
    <hyperlink ref="J42" r:id="rId41" xr:uid="{6EC483EA-B80B-46A3-898B-AD7FD419F0C0}"/>
    <hyperlink ref="J32" r:id="rId42" xr:uid="{9ADB4F4B-3E45-41EC-912C-8C1E99B86174}"/>
    <hyperlink ref="J14" r:id="rId43" xr:uid="{2CFDF403-4662-4A4F-9B9A-4530E3C93509}"/>
    <hyperlink ref="J40" r:id="rId44" xr:uid="{7C604774-4061-4957-A6AE-B1B137881173}"/>
    <hyperlink ref="J36" r:id="rId45" xr:uid="{E4594E3F-191E-49A3-BCAB-5E5986BC92C3}"/>
    <hyperlink ref="J46" r:id="rId46" xr:uid="{54E5BDE8-50A4-4FF7-BAF8-D631203B7D66}"/>
    <hyperlink ref="J2" r:id="rId47" xr:uid="{30A09DB1-10BD-4343-B64C-577655A05E5A}"/>
    <hyperlink ref="J6" r:id="rId48" xr:uid="{C41F389C-2018-48C0-BE53-240CEA30433E}"/>
    <hyperlink ref="J7" r:id="rId49" xr:uid="{917524D0-628B-4684-B0D8-5A04E01EBBC5}"/>
    <hyperlink ref="J23" r:id="rId50" xr:uid="{CE057A9B-9E2F-4883-884E-BC3258EC4E21}"/>
    <hyperlink ref="J26" r:id="rId51" xr:uid="{461BC572-16BB-466F-90F6-70E2501C2E32}"/>
    <hyperlink ref="J29" r:id="rId52" xr:uid="{99CFC3D5-54D1-4121-8962-0808C6904DDD}"/>
    <hyperlink ref="J30" r:id="rId53" xr:uid="{06090126-882B-4F13-B8BF-EFB83BBC91CB}"/>
    <hyperlink ref="J33" r:id="rId54" xr:uid="{9F2B75DE-D065-4C8C-8B6F-99F6B7C23EB3}"/>
    <hyperlink ref="J41" r:id="rId55" xr:uid="{CDA1B108-663D-4E3B-8831-BB3A2ADD52F3}"/>
    <hyperlink ref="J43" r:id="rId56" xr:uid="{B800B542-ED16-4859-AAC8-34573E6E7284}"/>
    <hyperlink ref="J44" r:id="rId57" xr:uid="{F487051C-4623-4AD3-9A2F-250EB02DA5C7}"/>
    <hyperlink ref="J45" r:id="rId58" xr:uid="{7157C4A0-48D7-41EC-984F-5D3EF245FC7C}"/>
    <hyperlink ref="J52" r:id="rId59" xr:uid="{A0C1EE00-98ED-49A9-AC70-376DE2F5B56B}"/>
    <hyperlink ref="J55" r:id="rId60" xr:uid="{D8EEB06D-5644-4440-A67D-E846B700435D}"/>
    <hyperlink ref="J62" r:id="rId61" xr:uid="{C4233160-8890-4F77-8B3E-40534692AF60}"/>
    <hyperlink ref="J63" r:id="rId62" xr:uid="{BC454420-D344-4E77-82DD-FB49587919C2}"/>
    <hyperlink ref="J66" r:id="rId63" xr:uid="{350710C1-A7DF-4A05-8AEB-A6B9D2C0311D}"/>
    <hyperlink ref="J68" r:id="rId64" xr:uid="{79ED1E6B-63C9-4B5D-8C72-8E645056CF89}"/>
    <hyperlink ref="J18" r:id="rId65" xr:uid="{63D99F7C-529A-4F0E-899F-0E431D5456A0}"/>
    <hyperlink ref="J21" r:id="rId66" xr:uid="{908B812F-43D6-41F3-B345-B98C7A35D982}"/>
    <hyperlink ref="J22" r:id="rId67" xr:uid="{7D566166-762D-491E-829D-A7F13569F953}"/>
    <hyperlink ref="J19" r:id="rId68" xr:uid="{69C09F94-BD97-43A2-9A8F-30DAD0B789E7}"/>
    <hyperlink ref="J20" r:id="rId69" xr:uid="{FDC5C429-5F3E-4DD9-B63B-AC70FCD83409}"/>
    <hyperlink ref="J76" r:id="rId70" xr:uid="{0A074834-4F5D-41F2-8C61-88F3133EC918}"/>
    <hyperlink ref="J77" r:id="rId71" xr:uid="{C0DDA9C6-2B25-4166-A9AE-4C1A9E95563A}"/>
    <hyperlink ref="J78" r:id="rId72" xr:uid="{4DE1863C-70D1-4016-B2B7-164C66ED3802}"/>
    <hyperlink ref="J75" r:id="rId73" xr:uid="{5EED7569-1D6C-47FC-8D20-8F40C0A3FB03}"/>
    <hyperlink ref="J37" r:id="rId74" xr:uid="{1CF18E0E-1E80-44E7-B56C-5ACF1D17168F}"/>
    <hyperlink ref="J79" r:id="rId75" xr:uid="{E218A629-7F67-4FBA-A7F9-0CD1CDB19166}"/>
    <hyperlink ref="J80" r:id="rId76" xr:uid="{8C6E4907-AB2B-49A6-95D0-C572EE05BA16}"/>
    <hyperlink ref="J67" r:id="rId77" xr:uid="{D1A61B72-564E-4051-8473-8EE864BF9D97}"/>
    <hyperlink ref="J81" r:id="rId78" xr:uid="{4C51657F-820E-43F2-A262-D6A153DD80D7}"/>
    <hyperlink ref="B89" location="'Daftar Sheet'!A1" display="&lt;&lt;&lt; Daftar Sheet" xr:uid="{BFBFDF73-F3AD-4654-8BA7-8F3A990C8A51}"/>
  </hyperlinks>
  <pageMargins left="0.7" right="0.7" top="0.75" bottom="0.75" header="0.3" footer="0.3"/>
  <pageSetup orientation="portrait" r:id="rId79"/>
  <legacyDrawing r:id="rId8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4D46-3ACB-4B7A-9184-2482A8706DC3}">
  <dimension ref="A1:X852"/>
  <sheetViews>
    <sheetView topLeftCell="A8" zoomScale="70" zoomScaleNormal="70" workbookViewId="0">
      <pane xSplit="1" ySplit="1" topLeftCell="B171" activePane="bottomRight" state="frozen"/>
      <selection activeCell="D46" sqref="D46"/>
      <selection pane="topRight" activeCell="D46" sqref="D46"/>
      <selection pane="bottomLeft" activeCell="D46" sqref="D46"/>
      <selection pane="bottomRight" activeCell="B183" sqref="B183"/>
    </sheetView>
  </sheetViews>
  <sheetFormatPr defaultColWidth="14.44140625" defaultRowHeight="14.4" x14ac:dyDescent="0.3"/>
  <cols>
    <col min="1" max="1" width="11.44140625" style="21" bestFit="1" customWidth="1"/>
    <col min="2" max="2" width="188" style="21" bestFit="1" customWidth="1"/>
    <col min="3" max="3" width="42.21875" style="25" bestFit="1" customWidth="1"/>
    <col min="4" max="4" width="77.21875" style="27" bestFit="1" customWidth="1"/>
    <col min="5" max="5" width="30.21875" style="29" bestFit="1" customWidth="1"/>
    <col min="6" max="6" width="15.21875" style="25" bestFit="1" customWidth="1"/>
    <col min="7" max="7" width="31.77734375" style="21" customWidth="1"/>
    <col min="8" max="8" width="36.21875" style="21" customWidth="1"/>
    <col min="9" max="9" width="31.77734375" style="21" customWidth="1"/>
    <col min="10" max="10" width="48.21875" style="25" bestFit="1" customWidth="1"/>
    <col min="11" max="11" width="24.77734375" style="25" customWidth="1"/>
    <col min="12" max="12" width="90" style="21" bestFit="1" customWidth="1"/>
    <col min="13" max="24" width="8.5546875" style="21" customWidth="1"/>
    <col min="25" max="16384" width="14.44140625" style="21"/>
  </cols>
  <sheetData>
    <row r="1" spans="1:24" ht="14.25" hidden="1" customHeight="1" x14ac:dyDescent="0.3">
      <c r="A1" s="18"/>
      <c r="B1" s="19"/>
      <c r="C1" s="20"/>
      <c r="E1" s="28"/>
      <c r="F1" s="20"/>
      <c r="G1" s="19"/>
      <c r="H1" s="19"/>
      <c r="I1" s="19"/>
      <c r="J1" s="20"/>
      <c r="K1" s="20"/>
      <c r="L1" s="19"/>
      <c r="M1" s="19"/>
      <c r="N1" s="19"/>
      <c r="O1" s="19"/>
      <c r="P1" s="19"/>
      <c r="Q1" s="19"/>
      <c r="R1" s="19"/>
      <c r="S1" s="19"/>
      <c r="T1" s="19"/>
      <c r="U1" s="19"/>
      <c r="V1" s="19"/>
      <c r="W1" s="19"/>
      <c r="X1" s="19"/>
    </row>
    <row r="2" spans="1:24" ht="14.25" hidden="1" customHeight="1" x14ac:dyDescent="0.3">
      <c r="A2" s="18"/>
      <c r="B2" s="19"/>
      <c r="C2" s="20"/>
      <c r="E2" s="28"/>
      <c r="F2" s="20"/>
      <c r="G2" s="19"/>
      <c r="H2" s="19"/>
      <c r="I2" s="19"/>
      <c r="J2" s="20"/>
      <c r="K2" s="20"/>
      <c r="L2" s="19"/>
      <c r="M2" s="19"/>
      <c r="N2" s="19"/>
      <c r="O2" s="19"/>
      <c r="P2" s="19"/>
      <c r="Q2" s="19"/>
      <c r="R2" s="19"/>
      <c r="S2" s="19"/>
      <c r="T2" s="19"/>
      <c r="U2" s="19"/>
      <c r="V2" s="19"/>
      <c r="W2" s="19"/>
      <c r="X2" s="19"/>
    </row>
    <row r="3" spans="1:24" ht="14.25" hidden="1" customHeight="1" x14ac:dyDescent="0.3">
      <c r="A3" s="18"/>
      <c r="B3" s="19"/>
      <c r="C3" s="20"/>
      <c r="E3" s="28"/>
      <c r="F3" s="20"/>
      <c r="G3" s="19"/>
      <c r="H3" s="19"/>
      <c r="I3" s="19"/>
      <c r="J3" s="20"/>
      <c r="K3" s="20"/>
      <c r="L3" s="19"/>
      <c r="M3" s="19"/>
      <c r="N3" s="19"/>
      <c r="O3" s="19"/>
      <c r="P3" s="19"/>
      <c r="Q3" s="19"/>
      <c r="R3" s="19"/>
      <c r="S3" s="19"/>
      <c r="T3" s="19"/>
      <c r="U3" s="19"/>
      <c r="V3" s="19"/>
      <c r="W3" s="19"/>
      <c r="X3" s="19"/>
    </row>
    <row r="4" spans="1:24" ht="14.25" hidden="1" customHeight="1" x14ac:dyDescent="0.3">
      <c r="A4" s="18"/>
      <c r="B4" s="19"/>
      <c r="C4" s="20"/>
      <c r="E4" s="28"/>
      <c r="F4" s="20"/>
      <c r="G4" s="19"/>
      <c r="H4" s="19"/>
      <c r="I4" s="19"/>
      <c r="J4" s="20"/>
      <c r="K4" s="20"/>
      <c r="L4" s="19"/>
      <c r="M4" s="19"/>
      <c r="N4" s="19"/>
      <c r="O4" s="19"/>
      <c r="P4" s="19"/>
      <c r="Q4" s="19"/>
      <c r="R4" s="19"/>
      <c r="S4" s="19"/>
      <c r="T4" s="19"/>
      <c r="U4" s="19"/>
      <c r="V4" s="19"/>
      <c r="W4" s="19"/>
      <c r="X4" s="19"/>
    </row>
    <row r="5" spans="1:24" ht="14.25" hidden="1" customHeight="1" x14ac:dyDescent="0.3">
      <c r="A5" s="18"/>
      <c r="B5" s="19"/>
      <c r="C5" s="20"/>
      <c r="E5" s="28"/>
      <c r="F5" s="20"/>
      <c r="G5" s="19"/>
      <c r="H5" s="19"/>
      <c r="I5" s="19"/>
      <c r="J5" s="20"/>
      <c r="K5" s="20"/>
      <c r="L5" s="19"/>
      <c r="M5" s="19"/>
      <c r="N5" s="19"/>
      <c r="O5" s="19"/>
      <c r="P5" s="19"/>
      <c r="Q5" s="19"/>
      <c r="R5" s="19"/>
      <c r="S5" s="19"/>
      <c r="T5" s="19"/>
      <c r="U5" s="19"/>
      <c r="V5" s="19"/>
      <c r="W5" s="19"/>
      <c r="X5" s="19"/>
    </row>
    <row r="6" spans="1:24" ht="14.25" hidden="1" customHeight="1" x14ac:dyDescent="0.3">
      <c r="A6" s="18"/>
      <c r="B6" s="19"/>
      <c r="C6" s="20"/>
      <c r="E6" s="28"/>
      <c r="F6" s="20"/>
      <c r="G6" s="19"/>
      <c r="H6" s="19"/>
      <c r="I6" s="19"/>
      <c r="J6" s="20"/>
      <c r="K6" s="20"/>
      <c r="L6" s="19"/>
      <c r="M6" s="19"/>
      <c r="N6" s="19"/>
      <c r="O6" s="19"/>
      <c r="P6" s="19"/>
      <c r="Q6" s="19"/>
      <c r="R6" s="19"/>
      <c r="S6" s="19"/>
      <c r="T6" s="19"/>
      <c r="U6" s="19"/>
      <c r="V6" s="19"/>
      <c r="W6" s="19"/>
      <c r="X6" s="19"/>
    </row>
    <row r="7" spans="1:24" ht="14.25" hidden="1" customHeight="1" x14ac:dyDescent="0.3">
      <c r="A7" s="18"/>
      <c r="B7" s="19"/>
      <c r="C7" s="20"/>
      <c r="E7" s="28"/>
      <c r="F7" s="20"/>
      <c r="G7" s="19"/>
      <c r="H7" s="19"/>
      <c r="I7" s="19"/>
      <c r="J7" s="20"/>
      <c r="K7" s="20"/>
      <c r="L7" s="19"/>
      <c r="M7" s="19"/>
      <c r="N7" s="19"/>
      <c r="O7" s="19"/>
      <c r="P7" s="19"/>
      <c r="Q7" s="19"/>
      <c r="R7" s="19"/>
      <c r="S7" s="19"/>
      <c r="T7" s="19"/>
      <c r="U7" s="19"/>
      <c r="V7" s="19"/>
      <c r="W7" s="19"/>
      <c r="X7" s="19"/>
    </row>
    <row r="8" spans="1:24" ht="37.049999999999997" customHeight="1" x14ac:dyDescent="0.3">
      <c r="A8" s="59" t="s">
        <v>51</v>
      </c>
      <c r="B8" s="59" t="s">
        <v>502</v>
      </c>
      <c r="C8" s="59" t="s">
        <v>503</v>
      </c>
      <c r="D8" s="102" t="s">
        <v>504</v>
      </c>
      <c r="E8" s="102" t="s">
        <v>505</v>
      </c>
      <c r="F8" s="59" t="s">
        <v>506</v>
      </c>
      <c r="G8" s="59" t="s">
        <v>507</v>
      </c>
      <c r="H8" s="59" t="s">
        <v>508</v>
      </c>
      <c r="I8" s="59" t="s">
        <v>509</v>
      </c>
      <c r="J8" s="59" t="s">
        <v>135</v>
      </c>
      <c r="K8" s="59" t="s">
        <v>510</v>
      </c>
      <c r="L8" s="60" t="s">
        <v>137</v>
      </c>
      <c r="M8" s="19"/>
      <c r="N8" s="19"/>
      <c r="O8" s="19"/>
      <c r="P8" s="19"/>
      <c r="Q8" s="19"/>
      <c r="R8" s="19"/>
      <c r="S8" s="19"/>
      <c r="T8" s="19"/>
      <c r="U8" s="19"/>
      <c r="V8" s="19"/>
      <c r="W8" s="19"/>
      <c r="X8" s="19"/>
    </row>
    <row r="9" spans="1:24" customFormat="1" ht="14.25" customHeight="1" x14ac:dyDescent="0.3">
      <c r="A9" s="47">
        <v>1</v>
      </c>
      <c r="B9" s="23" t="s">
        <v>511</v>
      </c>
      <c r="C9" s="48" t="s">
        <v>512</v>
      </c>
      <c r="D9" s="74" t="s">
        <v>513</v>
      </c>
      <c r="E9" s="48" t="s">
        <v>142</v>
      </c>
      <c r="F9" s="48" t="s">
        <v>514</v>
      </c>
      <c r="G9" s="23" t="s">
        <v>189</v>
      </c>
      <c r="H9" s="23"/>
      <c r="I9" s="48"/>
      <c r="J9" s="49" t="s">
        <v>515</v>
      </c>
      <c r="K9" s="49">
        <v>2020</v>
      </c>
      <c r="L9" s="7" t="s">
        <v>516</v>
      </c>
      <c r="M9" s="22"/>
      <c r="N9" s="22"/>
      <c r="O9" s="22"/>
      <c r="P9" s="22"/>
      <c r="Q9" s="22"/>
      <c r="R9" s="22"/>
      <c r="S9" s="22"/>
      <c r="T9" s="22"/>
      <c r="U9" s="22"/>
      <c r="V9" s="22"/>
      <c r="W9" s="22"/>
      <c r="X9" s="22"/>
    </row>
    <row r="10" spans="1:24" customFormat="1" ht="14.25" customHeight="1" x14ac:dyDescent="0.3">
      <c r="A10" s="47">
        <v>2</v>
      </c>
      <c r="B10" s="75" t="s">
        <v>517</v>
      </c>
      <c r="C10" s="76" t="s">
        <v>512</v>
      </c>
      <c r="D10" s="74" t="s">
        <v>513</v>
      </c>
      <c r="E10" s="48" t="s">
        <v>142</v>
      </c>
      <c r="F10" s="48" t="s">
        <v>514</v>
      </c>
      <c r="G10" s="23" t="s">
        <v>151</v>
      </c>
      <c r="H10" s="23" t="s">
        <v>164</v>
      </c>
      <c r="I10" s="23"/>
      <c r="J10" s="48"/>
      <c r="K10" s="49">
        <v>2021</v>
      </c>
      <c r="L10" s="7" t="s">
        <v>518</v>
      </c>
      <c r="M10" s="22"/>
      <c r="N10" s="22"/>
      <c r="O10" s="22"/>
      <c r="P10" s="22"/>
      <c r="Q10" s="22"/>
      <c r="R10" s="22"/>
      <c r="S10" s="22"/>
      <c r="T10" s="22"/>
      <c r="U10" s="22"/>
      <c r="V10" s="22"/>
      <c r="W10" s="22"/>
      <c r="X10" s="22"/>
    </row>
    <row r="11" spans="1:24" customFormat="1" ht="14.25" customHeight="1" x14ac:dyDescent="0.3">
      <c r="A11" s="47">
        <v>3</v>
      </c>
      <c r="B11" s="75" t="s">
        <v>519</v>
      </c>
      <c r="C11" s="76" t="s">
        <v>512</v>
      </c>
      <c r="D11" s="74" t="s">
        <v>513</v>
      </c>
      <c r="E11" s="48" t="s">
        <v>142</v>
      </c>
      <c r="F11" s="48" t="s">
        <v>514</v>
      </c>
      <c r="G11" s="23" t="s">
        <v>520</v>
      </c>
      <c r="H11" s="23" t="s">
        <v>415</v>
      </c>
      <c r="I11" s="23" t="s">
        <v>522</v>
      </c>
      <c r="J11" s="48"/>
      <c r="K11" s="49">
        <v>2021</v>
      </c>
      <c r="L11" s="7" t="s">
        <v>523</v>
      </c>
      <c r="M11" s="22"/>
      <c r="N11" s="22"/>
      <c r="O11" s="22"/>
      <c r="P11" s="22"/>
      <c r="Q11" s="22"/>
      <c r="R11" s="22"/>
      <c r="S11" s="22"/>
      <c r="T11" s="22"/>
      <c r="U11" s="22"/>
      <c r="V11" s="22"/>
      <c r="W11" s="22"/>
      <c r="X11" s="22"/>
    </row>
    <row r="12" spans="1:24" customFormat="1" ht="15" customHeight="1" x14ac:dyDescent="0.3">
      <c r="A12" s="47">
        <v>4</v>
      </c>
      <c r="B12" s="75" t="s">
        <v>524</v>
      </c>
      <c r="C12" s="76" t="s">
        <v>512</v>
      </c>
      <c r="D12" s="74" t="s">
        <v>513</v>
      </c>
      <c r="E12" s="48" t="s">
        <v>142</v>
      </c>
      <c r="F12" s="48" t="s">
        <v>514</v>
      </c>
      <c r="G12" s="23" t="s">
        <v>164</v>
      </c>
      <c r="H12" s="23" t="s">
        <v>525</v>
      </c>
      <c r="I12" s="23"/>
      <c r="J12" s="48"/>
      <c r="K12" s="49">
        <v>2021</v>
      </c>
      <c r="L12" s="7" t="s">
        <v>526</v>
      </c>
      <c r="M12" s="22"/>
      <c r="N12" s="22"/>
      <c r="O12" s="22"/>
      <c r="P12" s="22"/>
      <c r="Q12" s="22"/>
      <c r="R12" s="22"/>
      <c r="S12" s="22"/>
      <c r="T12" s="22"/>
      <c r="U12" s="22"/>
      <c r="V12" s="22"/>
      <c r="W12" s="22"/>
      <c r="X12" s="22"/>
    </row>
    <row r="13" spans="1:24" customFormat="1" ht="14.25" customHeight="1" x14ac:dyDescent="0.3">
      <c r="A13" s="47">
        <v>5</v>
      </c>
      <c r="B13" s="77" t="s">
        <v>527</v>
      </c>
      <c r="C13" s="78" t="s">
        <v>512</v>
      </c>
      <c r="D13" s="79" t="s">
        <v>528</v>
      </c>
      <c r="E13" s="48" t="s">
        <v>142</v>
      </c>
      <c r="F13" s="48" t="s">
        <v>514</v>
      </c>
      <c r="G13" s="23" t="s">
        <v>529</v>
      </c>
      <c r="H13" s="23"/>
      <c r="I13" s="23"/>
      <c r="J13" s="48"/>
      <c r="K13" s="49">
        <v>2021</v>
      </c>
      <c r="L13" s="7" t="s">
        <v>530</v>
      </c>
      <c r="M13" s="22"/>
      <c r="N13" s="22"/>
      <c r="O13" s="22"/>
      <c r="P13" s="22"/>
      <c r="Q13" s="22"/>
      <c r="R13" s="22"/>
      <c r="S13" s="22"/>
      <c r="T13" s="22"/>
      <c r="U13" s="22"/>
      <c r="V13" s="22"/>
      <c r="W13" s="22"/>
      <c r="X13" s="22"/>
    </row>
    <row r="14" spans="1:24" customFormat="1" ht="14.25" customHeight="1" x14ac:dyDescent="0.3">
      <c r="A14" s="47">
        <v>6</v>
      </c>
      <c r="B14" s="75" t="s">
        <v>531</v>
      </c>
      <c r="C14" s="76" t="s">
        <v>512</v>
      </c>
      <c r="D14" s="74" t="s">
        <v>513</v>
      </c>
      <c r="E14" s="48" t="s">
        <v>142</v>
      </c>
      <c r="F14" s="48" t="s">
        <v>514</v>
      </c>
      <c r="G14" s="23" t="s">
        <v>366</v>
      </c>
      <c r="H14" s="23" t="s">
        <v>532</v>
      </c>
      <c r="I14" s="23" t="s">
        <v>533</v>
      </c>
      <c r="J14" s="48" t="s">
        <v>534</v>
      </c>
      <c r="K14" s="49">
        <v>2021</v>
      </c>
      <c r="L14" s="7" t="s">
        <v>535</v>
      </c>
      <c r="M14" s="22"/>
      <c r="N14" s="22"/>
      <c r="O14" s="22"/>
      <c r="P14" s="22"/>
      <c r="Q14" s="22"/>
      <c r="R14" s="22"/>
      <c r="S14" s="22"/>
      <c r="T14" s="22"/>
      <c r="U14" s="22"/>
      <c r="V14" s="22"/>
      <c r="W14" s="22"/>
      <c r="X14" s="22"/>
    </row>
    <row r="15" spans="1:24" customFormat="1" ht="14.25" customHeight="1" x14ac:dyDescent="0.3">
      <c r="A15" s="47">
        <v>7</v>
      </c>
      <c r="B15" s="75" t="s">
        <v>536</v>
      </c>
      <c r="C15" s="76" t="s">
        <v>512</v>
      </c>
      <c r="D15" s="79" t="s">
        <v>537</v>
      </c>
      <c r="E15" s="48" t="s">
        <v>142</v>
      </c>
      <c r="F15" s="48" t="s">
        <v>514</v>
      </c>
      <c r="G15" s="23" t="s">
        <v>538</v>
      </c>
      <c r="H15" s="23" t="s">
        <v>539</v>
      </c>
      <c r="I15" s="23"/>
      <c r="J15" s="48"/>
      <c r="K15" s="49">
        <v>2021</v>
      </c>
      <c r="L15" s="7" t="s">
        <v>540</v>
      </c>
      <c r="M15" s="22"/>
      <c r="N15" s="22"/>
      <c r="O15" s="22"/>
      <c r="P15" s="22"/>
      <c r="Q15" s="22"/>
      <c r="R15" s="22"/>
      <c r="S15" s="22"/>
      <c r="T15" s="22"/>
      <c r="U15" s="22"/>
      <c r="V15" s="22"/>
      <c r="W15" s="22"/>
      <c r="X15" s="22"/>
    </row>
    <row r="16" spans="1:24" customFormat="1" ht="14.25" customHeight="1" x14ac:dyDescent="0.3">
      <c r="A16" s="47">
        <v>8</v>
      </c>
      <c r="B16" s="80" t="s">
        <v>541</v>
      </c>
      <c r="C16" s="81" t="s">
        <v>512</v>
      </c>
      <c r="D16" s="82" t="s">
        <v>542</v>
      </c>
      <c r="E16" s="48" t="s">
        <v>142</v>
      </c>
      <c r="F16" s="48" t="s">
        <v>514</v>
      </c>
      <c r="G16" s="23" t="s">
        <v>415</v>
      </c>
      <c r="H16" s="23" t="s">
        <v>543</v>
      </c>
      <c r="I16" s="23"/>
      <c r="J16" s="48"/>
      <c r="K16" s="49">
        <v>2022</v>
      </c>
      <c r="L16" s="7" t="s">
        <v>544</v>
      </c>
      <c r="M16" s="22"/>
      <c r="N16" s="22"/>
      <c r="O16" s="22"/>
      <c r="P16" s="22"/>
      <c r="Q16" s="22"/>
      <c r="R16" s="22"/>
      <c r="S16" s="22"/>
      <c r="T16" s="22"/>
      <c r="U16" s="22"/>
      <c r="V16" s="22"/>
      <c r="W16" s="22"/>
      <c r="X16" s="22"/>
    </row>
    <row r="17" spans="1:24" customFormat="1" ht="14.25" customHeight="1" x14ac:dyDescent="0.3">
      <c r="A17" s="47">
        <v>9</v>
      </c>
      <c r="B17" s="75" t="s">
        <v>545</v>
      </c>
      <c r="C17" s="81" t="s">
        <v>512</v>
      </c>
      <c r="D17" s="74" t="s">
        <v>513</v>
      </c>
      <c r="E17" s="48" t="s">
        <v>142</v>
      </c>
      <c r="F17" s="48" t="s">
        <v>514</v>
      </c>
      <c r="G17" s="23" t="s">
        <v>546</v>
      </c>
      <c r="H17" s="23" t="s">
        <v>521</v>
      </c>
      <c r="I17" s="23"/>
      <c r="J17" s="49"/>
      <c r="K17" s="49">
        <v>2022</v>
      </c>
      <c r="L17" s="7" t="s">
        <v>547</v>
      </c>
      <c r="M17" s="22"/>
      <c r="N17" s="22"/>
      <c r="O17" s="22"/>
      <c r="P17" s="22"/>
      <c r="Q17" s="22"/>
      <c r="R17" s="22"/>
      <c r="S17" s="22"/>
      <c r="T17" s="22"/>
      <c r="U17" s="22"/>
      <c r="V17" s="22"/>
      <c r="W17" s="22"/>
      <c r="X17" s="22"/>
    </row>
    <row r="18" spans="1:24" customFormat="1" ht="14.25" customHeight="1" x14ac:dyDescent="0.3">
      <c r="A18" s="47">
        <v>10</v>
      </c>
      <c r="B18" s="75" t="s">
        <v>548</v>
      </c>
      <c r="C18" s="81" t="s">
        <v>512</v>
      </c>
      <c r="D18" s="79" t="s">
        <v>537</v>
      </c>
      <c r="E18" s="48" t="s">
        <v>142</v>
      </c>
      <c r="F18" s="48" t="s">
        <v>514</v>
      </c>
      <c r="G18" s="23" t="s">
        <v>164</v>
      </c>
      <c r="H18" s="23"/>
      <c r="I18" s="23"/>
      <c r="J18" s="48"/>
      <c r="K18" s="49">
        <v>2022</v>
      </c>
      <c r="L18" s="7" t="s">
        <v>549</v>
      </c>
      <c r="M18" s="22"/>
      <c r="N18" s="22"/>
      <c r="O18" s="22"/>
      <c r="P18" s="22"/>
      <c r="Q18" s="22"/>
      <c r="R18" s="22"/>
      <c r="S18" s="22"/>
      <c r="T18" s="22"/>
      <c r="U18" s="22"/>
      <c r="V18" s="22"/>
      <c r="W18" s="22"/>
      <c r="X18" s="22"/>
    </row>
    <row r="19" spans="1:24" customFormat="1" ht="14.25" customHeight="1" x14ac:dyDescent="0.3">
      <c r="A19" s="47">
        <v>11</v>
      </c>
      <c r="B19" s="77" t="s">
        <v>550</v>
      </c>
      <c r="C19" s="81" t="s">
        <v>512</v>
      </c>
      <c r="D19" s="77" t="s">
        <v>551</v>
      </c>
      <c r="E19" s="65" t="s">
        <v>552</v>
      </c>
      <c r="F19" s="48" t="s">
        <v>553</v>
      </c>
      <c r="G19" s="23" t="s">
        <v>554</v>
      </c>
      <c r="H19" s="23"/>
      <c r="I19" s="23"/>
      <c r="J19" s="50"/>
      <c r="K19" s="49">
        <v>2020</v>
      </c>
      <c r="L19" s="7" t="s">
        <v>555</v>
      </c>
      <c r="M19" s="22"/>
      <c r="N19" s="22"/>
      <c r="O19" s="22"/>
      <c r="P19" s="22"/>
      <c r="Q19" s="22"/>
      <c r="R19" s="22"/>
      <c r="S19" s="22"/>
      <c r="T19" s="22"/>
      <c r="U19" s="22"/>
      <c r="V19" s="22"/>
      <c r="W19" s="22"/>
      <c r="X19" s="22"/>
    </row>
    <row r="20" spans="1:24" customFormat="1" ht="14.25" customHeight="1" x14ac:dyDescent="0.3">
      <c r="A20" s="47">
        <v>12</v>
      </c>
      <c r="B20" s="77" t="s">
        <v>556</v>
      </c>
      <c r="C20" s="81" t="s">
        <v>512</v>
      </c>
      <c r="D20" s="77" t="s">
        <v>557</v>
      </c>
      <c r="E20" s="65" t="s">
        <v>558</v>
      </c>
      <c r="F20" s="48" t="s">
        <v>553</v>
      </c>
      <c r="G20" s="23" t="s">
        <v>543</v>
      </c>
      <c r="H20" s="23" t="s">
        <v>539</v>
      </c>
      <c r="I20" s="23" t="s">
        <v>559</v>
      </c>
      <c r="J20" s="48"/>
      <c r="K20" s="49">
        <v>2020</v>
      </c>
      <c r="L20" s="7" t="s">
        <v>560</v>
      </c>
      <c r="M20" s="22"/>
      <c r="N20" s="22"/>
      <c r="O20" s="22"/>
      <c r="P20" s="22"/>
      <c r="Q20" s="22"/>
      <c r="R20" s="22"/>
      <c r="S20" s="22"/>
      <c r="T20" s="22"/>
      <c r="U20" s="22"/>
      <c r="V20" s="22"/>
      <c r="W20" s="22"/>
      <c r="X20" s="22"/>
    </row>
    <row r="21" spans="1:24" customFormat="1" ht="14.25" customHeight="1" x14ac:dyDescent="0.3">
      <c r="A21" s="47">
        <v>13</v>
      </c>
      <c r="B21" s="77" t="s">
        <v>561</v>
      </c>
      <c r="C21" s="81" t="s">
        <v>512</v>
      </c>
      <c r="D21" s="77" t="s">
        <v>557</v>
      </c>
      <c r="E21" s="65" t="s">
        <v>558</v>
      </c>
      <c r="F21" s="48" t="s">
        <v>553</v>
      </c>
      <c r="G21" s="23" t="s">
        <v>356</v>
      </c>
      <c r="H21" s="23"/>
      <c r="I21" s="23"/>
      <c r="J21" s="49" t="s">
        <v>562</v>
      </c>
      <c r="K21" s="49">
        <v>2020</v>
      </c>
      <c r="L21" s="7" t="s">
        <v>563</v>
      </c>
      <c r="M21" s="22"/>
      <c r="N21" s="22"/>
      <c r="O21" s="22"/>
      <c r="P21" s="22"/>
      <c r="Q21" s="22"/>
      <c r="R21" s="22"/>
      <c r="S21" s="22"/>
      <c r="T21" s="22"/>
      <c r="U21" s="22"/>
      <c r="V21" s="22"/>
      <c r="W21" s="22"/>
      <c r="X21" s="22"/>
    </row>
    <row r="22" spans="1:24" customFormat="1" ht="14.25" customHeight="1" x14ac:dyDescent="0.3">
      <c r="A22" s="47">
        <v>14</v>
      </c>
      <c r="B22" s="75" t="s">
        <v>564</v>
      </c>
      <c r="C22" s="81" t="s">
        <v>512</v>
      </c>
      <c r="D22" s="77" t="s">
        <v>557</v>
      </c>
      <c r="E22" s="65" t="s">
        <v>558</v>
      </c>
      <c r="F22" s="48" t="s">
        <v>553</v>
      </c>
      <c r="G22" s="23" t="s">
        <v>151</v>
      </c>
      <c r="H22" s="23" t="s">
        <v>164</v>
      </c>
      <c r="I22" s="23" t="s">
        <v>366</v>
      </c>
      <c r="J22" s="54" t="s">
        <v>165</v>
      </c>
      <c r="K22" s="49">
        <v>2020</v>
      </c>
      <c r="L22" s="7" t="s">
        <v>565</v>
      </c>
      <c r="M22" s="22"/>
      <c r="N22" s="22"/>
      <c r="O22" s="22"/>
      <c r="P22" s="22"/>
      <c r="Q22" s="22"/>
      <c r="R22" s="22"/>
      <c r="S22" s="22"/>
      <c r="T22" s="22"/>
      <c r="U22" s="22"/>
      <c r="V22" s="22"/>
      <c r="W22" s="22"/>
      <c r="X22" s="22"/>
    </row>
    <row r="23" spans="1:24" customFormat="1" ht="14.25" customHeight="1" x14ac:dyDescent="0.3">
      <c r="A23" s="47">
        <v>15</v>
      </c>
      <c r="B23" s="75" t="s">
        <v>566</v>
      </c>
      <c r="C23" s="81" t="s">
        <v>512</v>
      </c>
      <c r="D23" s="82" t="s">
        <v>567</v>
      </c>
      <c r="E23" s="65" t="s">
        <v>558</v>
      </c>
      <c r="F23" s="48" t="s">
        <v>553</v>
      </c>
      <c r="G23" s="23" t="s">
        <v>568</v>
      </c>
      <c r="H23" s="23"/>
      <c r="I23" s="23"/>
      <c r="J23" s="49"/>
      <c r="K23" s="49">
        <v>2020</v>
      </c>
      <c r="L23" s="7" t="s">
        <v>569</v>
      </c>
      <c r="M23" s="22"/>
      <c r="N23" s="22"/>
      <c r="O23" s="22"/>
      <c r="P23" s="22"/>
      <c r="Q23" s="22"/>
      <c r="R23" s="22"/>
      <c r="S23" s="22"/>
      <c r="T23" s="22"/>
      <c r="U23" s="22"/>
      <c r="V23" s="22"/>
      <c r="W23" s="22"/>
      <c r="X23" s="22"/>
    </row>
    <row r="24" spans="1:24" customFormat="1" ht="14.25" customHeight="1" x14ac:dyDescent="0.3">
      <c r="A24" s="47">
        <v>16</v>
      </c>
      <c r="B24" s="83" t="s">
        <v>570</v>
      </c>
      <c r="C24" s="81" t="s">
        <v>512</v>
      </c>
      <c r="D24" s="82" t="s">
        <v>571</v>
      </c>
      <c r="E24" s="65" t="s">
        <v>558</v>
      </c>
      <c r="F24" s="48" t="s">
        <v>553</v>
      </c>
      <c r="G24" s="23" t="s">
        <v>415</v>
      </c>
      <c r="H24" s="23" t="s">
        <v>572</v>
      </c>
      <c r="I24" s="23" t="s">
        <v>573</v>
      </c>
      <c r="J24" s="54"/>
      <c r="K24" s="49">
        <v>2020</v>
      </c>
      <c r="L24" s="7" t="s">
        <v>574</v>
      </c>
      <c r="M24" s="22"/>
      <c r="N24" s="22"/>
      <c r="O24" s="22"/>
      <c r="P24" s="22"/>
      <c r="Q24" s="22"/>
      <c r="R24" s="22"/>
      <c r="S24" s="22"/>
      <c r="T24" s="22"/>
      <c r="U24" s="22"/>
      <c r="V24" s="22"/>
      <c r="W24" s="22"/>
      <c r="X24" s="22"/>
    </row>
    <row r="25" spans="1:24" customFormat="1" ht="14.25" customHeight="1" x14ac:dyDescent="0.3">
      <c r="A25" s="47">
        <v>17</v>
      </c>
      <c r="B25" s="77" t="s">
        <v>575</v>
      </c>
      <c r="C25" s="81" t="s">
        <v>512</v>
      </c>
      <c r="D25" s="77" t="s">
        <v>557</v>
      </c>
      <c r="E25" s="65" t="s">
        <v>558</v>
      </c>
      <c r="F25" s="48" t="s">
        <v>553</v>
      </c>
      <c r="G25" s="23" t="s">
        <v>415</v>
      </c>
      <c r="H25" s="23"/>
      <c r="I25" s="23"/>
      <c r="J25" s="54" t="s">
        <v>576</v>
      </c>
      <c r="K25" s="49">
        <v>2020</v>
      </c>
      <c r="L25" s="7" t="s">
        <v>577</v>
      </c>
      <c r="M25" s="22"/>
      <c r="N25" s="22"/>
      <c r="O25" s="22"/>
      <c r="P25" s="22"/>
      <c r="Q25" s="22"/>
      <c r="R25" s="22"/>
      <c r="S25" s="22"/>
      <c r="T25" s="22"/>
      <c r="U25" s="22"/>
      <c r="V25" s="22"/>
      <c r="W25" s="22"/>
      <c r="X25" s="22"/>
    </row>
    <row r="26" spans="1:24" customFormat="1" ht="14.25" customHeight="1" x14ac:dyDescent="0.3">
      <c r="A26" s="47">
        <v>18</v>
      </c>
      <c r="B26" s="75" t="s">
        <v>578</v>
      </c>
      <c r="C26" s="81" t="s">
        <v>512</v>
      </c>
      <c r="D26" s="82" t="s">
        <v>571</v>
      </c>
      <c r="E26" s="65" t="s">
        <v>558</v>
      </c>
      <c r="F26" s="48" t="s">
        <v>553</v>
      </c>
      <c r="G26" s="23" t="s">
        <v>572</v>
      </c>
      <c r="H26" s="23" t="s">
        <v>415</v>
      </c>
      <c r="I26" s="23" t="s">
        <v>573</v>
      </c>
      <c r="J26" s="48"/>
      <c r="K26" s="49">
        <v>2020</v>
      </c>
      <c r="L26" s="7" t="s">
        <v>579</v>
      </c>
      <c r="M26" s="22"/>
      <c r="N26" s="22"/>
      <c r="O26" s="22"/>
      <c r="P26" s="22"/>
      <c r="Q26" s="22"/>
      <c r="R26" s="22"/>
      <c r="S26" s="22"/>
      <c r="T26" s="22"/>
      <c r="U26" s="22"/>
      <c r="V26" s="22"/>
      <c r="W26" s="22"/>
      <c r="X26" s="22"/>
    </row>
    <row r="27" spans="1:24" customFormat="1" ht="14.25" customHeight="1" x14ac:dyDescent="0.3">
      <c r="A27" s="47">
        <v>19</v>
      </c>
      <c r="B27" s="77" t="s">
        <v>580</v>
      </c>
      <c r="C27" s="81" t="s">
        <v>512</v>
      </c>
      <c r="D27" s="77" t="s">
        <v>557</v>
      </c>
      <c r="E27" s="65" t="s">
        <v>558</v>
      </c>
      <c r="F27" s="48" t="s">
        <v>553</v>
      </c>
      <c r="G27" s="23" t="s">
        <v>581</v>
      </c>
      <c r="H27" s="23" t="s">
        <v>500</v>
      </c>
      <c r="I27" s="23"/>
      <c r="J27" s="48" t="s">
        <v>582</v>
      </c>
      <c r="K27" s="49">
        <v>2020</v>
      </c>
      <c r="L27" s="7" t="s">
        <v>583</v>
      </c>
      <c r="M27" s="22"/>
      <c r="N27" s="22"/>
      <c r="O27" s="22"/>
      <c r="P27" s="22"/>
      <c r="Q27" s="22"/>
      <c r="R27" s="22"/>
      <c r="S27" s="22"/>
      <c r="T27" s="22"/>
      <c r="U27" s="22"/>
      <c r="V27" s="22"/>
      <c r="W27" s="22"/>
      <c r="X27" s="22"/>
    </row>
    <row r="28" spans="1:24" customFormat="1" ht="14.25" customHeight="1" x14ac:dyDescent="0.3">
      <c r="A28" s="47">
        <v>20</v>
      </c>
      <c r="B28" s="77" t="s">
        <v>584</v>
      </c>
      <c r="C28" s="81" t="s">
        <v>512</v>
      </c>
      <c r="D28" s="77" t="s">
        <v>557</v>
      </c>
      <c r="E28" s="65" t="s">
        <v>558</v>
      </c>
      <c r="F28" s="48" t="s">
        <v>553</v>
      </c>
      <c r="G28" s="23" t="s">
        <v>538</v>
      </c>
      <c r="H28" s="23"/>
      <c r="I28" s="23"/>
      <c r="J28" s="48" t="s">
        <v>585</v>
      </c>
      <c r="K28" s="49">
        <v>2020</v>
      </c>
      <c r="L28" s="7" t="s">
        <v>586</v>
      </c>
      <c r="M28" s="22"/>
      <c r="N28" s="22"/>
      <c r="O28" s="22"/>
      <c r="P28" s="22"/>
      <c r="Q28" s="22"/>
      <c r="R28" s="22"/>
      <c r="S28" s="22"/>
      <c r="T28" s="22"/>
      <c r="U28" s="22"/>
      <c r="V28" s="22"/>
      <c r="W28" s="22"/>
      <c r="X28" s="22"/>
    </row>
    <row r="29" spans="1:24" customFormat="1" ht="14.25" customHeight="1" x14ac:dyDescent="0.3">
      <c r="A29" s="47">
        <v>21</v>
      </c>
      <c r="B29" s="83" t="s">
        <v>587</v>
      </c>
      <c r="C29" s="81" t="s">
        <v>512</v>
      </c>
      <c r="D29" s="77" t="s">
        <v>551</v>
      </c>
      <c r="E29" s="65" t="s">
        <v>552</v>
      </c>
      <c r="F29" s="48" t="s">
        <v>553</v>
      </c>
      <c r="G29" s="23" t="s">
        <v>539</v>
      </c>
      <c r="H29" s="23"/>
      <c r="I29" s="23"/>
      <c r="J29" s="53"/>
      <c r="K29" s="49">
        <v>2020</v>
      </c>
      <c r="L29" s="7" t="s">
        <v>588</v>
      </c>
      <c r="M29" s="22"/>
      <c r="N29" s="22"/>
      <c r="O29" s="22"/>
      <c r="P29" s="22"/>
      <c r="Q29" s="22"/>
      <c r="R29" s="22"/>
      <c r="S29" s="22"/>
      <c r="T29" s="22"/>
      <c r="U29" s="22"/>
      <c r="V29" s="22"/>
      <c r="W29" s="22"/>
      <c r="X29" s="22"/>
    </row>
    <row r="30" spans="1:24" customFormat="1" ht="14.25" customHeight="1" x14ac:dyDescent="0.3">
      <c r="A30" s="47">
        <v>22</v>
      </c>
      <c r="B30" s="75" t="s">
        <v>589</v>
      </c>
      <c r="C30" s="81" t="s">
        <v>512</v>
      </c>
      <c r="D30" s="77" t="s">
        <v>557</v>
      </c>
      <c r="E30" s="65" t="s">
        <v>558</v>
      </c>
      <c r="F30" s="84" t="s">
        <v>553</v>
      </c>
      <c r="G30" s="23" t="s">
        <v>539</v>
      </c>
      <c r="H30" s="23"/>
      <c r="I30" s="23"/>
      <c r="J30" s="53" t="s">
        <v>590</v>
      </c>
      <c r="K30" s="49">
        <v>2020</v>
      </c>
      <c r="L30" s="7" t="s">
        <v>591</v>
      </c>
      <c r="M30" s="22"/>
      <c r="N30" s="22"/>
      <c r="O30" s="22"/>
      <c r="P30" s="22"/>
      <c r="Q30" s="22"/>
      <c r="R30" s="22"/>
      <c r="S30" s="22"/>
      <c r="T30" s="22"/>
      <c r="U30" s="22"/>
      <c r="V30" s="22"/>
      <c r="W30" s="22"/>
      <c r="X30" s="22"/>
    </row>
    <row r="31" spans="1:24" customFormat="1" ht="14.25" customHeight="1" x14ac:dyDescent="0.3">
      <c r="A31" s="47">
        <v>23</v>
      </c>
      <c r="B31" s="77" t="s">
        <v>592</v>
      </c>
      <c r="C31" s="81" t="s">
        <v>512</v>
      </c>
      <c r="D31" s="77" t="s">
        <v>557</v>
      </c>
      <c r="E31" s="65" t="s">
        <v>558</v>
      </c>
      <c r="F31" s="48" t="s">
        <v>553</v>
      </c>
      <c r="G31" s="23" t="s">
        <v>500</v>
      </c>
      <c r="H31" s="23" t="s">
        <v>593</v>
      </c>
      <c r="I31" s="23"/>
      <c r="J31" s="53"/>
      <c r="K31" s="49">
        <v>2021</v>
      </c>
      <c r="L31" s="7" t="s">
        <v>594</v>
      </c>
      <c r="M31" s="22"/>
      <c r="N31" s="22"/>
      <c r="O31" s="22"/>
      <c r="P31" s="22"/>
      <c r="Q31" s="22"/>
      <c r="R31" s="22"/>
      <c r="S31" s="22"/>
      <c r="T31" s="22"/>
      <c r="U31" s="22"/>
      <c r="V31" s="22"/>
      <c r="W31" s="22"/>
      <c r="X31" s="22"/>
    </row>
    <row r="32" spans="1:24" customFormat="1" ht="14.25" customHeight="1" x14ac:dyDescent="0.3">
      <c r="A32" s="47">
        <v>24</v>
      </c>
      <c r="B32" s="75" t="s">
        <v>595</v>
      </c>
      <c r="C32" s="81" t="s">
        <v>512</v>
      </c>
      <c r="D32" s="82" t="s">
        <v>567</v>
      </c>
      <c r="E32" s="65" t="s">
        <v>558</v>
      </c>
      <c r="F32" s="48" t="s">
        <v>553</v>
      </c>
      <c r="G32" s="23" t="s">
        <v>568</v>
      </c>
      <c r="H32" s="23" t="s">
        <v>554</v>
      </c>
      <c r="I32" s="23"/>
      <c r="J32" s="53"/>
      <c r="K32" s="49">
        <v>2021</v>
      </c>
      <c r="L32" s="7" t="s">
        <v>596</v>
      </c>
      <c r="M32" s="22"/>
      <c r="N32" s="22"/>
      <c r="O32" s="22"/>
      <c r="P32" s="22"/>
      <c r="Q32" s="22"/>
      <c r="R32" s="22"/>
      <c r="S32" s="22"/>
      <c r="T32" s="22"/>
      <c r="U32" s="22"/>
      <c r="V32" s="22"/>
      <c r="W32" s="22"/>
      <c r="X32" s="22"/>
    </row>
    <row r="33" spans="1:24" customFormat="1" ht="14.25" customHeight="1" x14ac:dyDescent="0.3">
      <c r="A33" s="47">
        <v>25</v>
      </c>
      <c r="B33" s="77" t="s">
        <v>597</v>
      </c>
      <c r="C33" s="81" t="s">
        <v>512</v>
      </c>
      <c r="D33" s="77" t="s">
        <v>557</v>
      </c>
      <c r="E33" s="65" t="s">
        <v>558</v>
      </c>
      <c r="F33" s="48" t="s">
        <v>553</v>
      </c>
      <c r="G33" s="23" t="s">
        <v>525</v>
      </c>
      <c r="H33" s="23" t="s">
        <v>415</v>
      </c>
      <c r="I33" s="23"/>
      <c r="J33" s="48"/>
      <c r="K33" s="49">
        <v>2021</v>
      </c>
      <c r="L33" s="7" t="s">
        <v>598</v>
      </c>
      <c r="M33" s="22"/>
      <c r="N33" s="22"/>
      <c r="O33" s="22"/>
      <c r="P33" s="22"/>
      <c r="Q33" s="22"/>
      <c r="R33" s="22"/>
      <c r="S33" s="22"/>
      <c r="T33" s="22"/>
      <c r="U33" s="22"/>
      <c r="V33" s="22"/>
      <c r="W33" s="22"/>
      <c r="X33" s="22"/>
    </row>
    <row r="34" spans="1:24" customFormat="1" ht="14.25" customHeight="1" x14ac:dyDescent="0.3">
      <c r="A34" s="47">
        <v>26</v>
      </c>
      <c r="B34" s="77" t="s">
        <v>599</v>
      </c>
      <c r="C34" s="81" t="s">
        <v>512</v>
      </c>
      <c r="D34" s="77" t="s">
        <v>557</v>
      </c>
      <c r="E34" s="65" t="s">
        <v>558</v>
      </c>
      <c r="F34" s="84" t="s">
        <v>553</v>
      </c>
      <c r="G34" s="23" t="s">
        <v>525</v>
      </c>
      <c r="H34" s="23" t="s">
        <v>415</v>
      </c>
      <c r="I34" s="23"/>
      <c r="J34" s="48"/>
      <c r="K34" s="49">
        <v>2021</v>
      </c>
      <c r="L34" s="7" t="s">
        <v>600</v>
      </c>
      <c r="M34" s="22"/>
      <c r="N34" s="22"/>
      <c r="O34" s="22"/>
      <c r="P34" s="22"/>
      <c r="Q34" s="22"/>
      <c r="R34" s="22"/>
      <c r="S34" s="22"/>
      <c r="T34" s="22"/>
      <c r="U34" s="22"/>
      <c r="V34" s="22"/>
      <c r="W34" s="22"/>
      <c r="X34" s="22"/>
    </row>
    <row r="35" spans="1:24" customFormat="1" ht="14.25" customHeight="1" x14ac:dyDescent="0.3">
      <c r="A35" s="47">
        <v>27</v>
      </c>
      <c r="B35" s="75" t="s">
        <v>601</v>
      </c>
      <c r="C35" s="81" t="s">
        <v>512</v>
      </c>
      <c r="D35" s="77" t="s">
        <v>557</v>
      </c>
      <c r="E35" s="65" t="s">
        <v>558</v>
      </c>
      <c r="F35" s="48" t="s">
        <v>553</v>
      </c>
      <c r="G35" s="23" t="s">
        <v>164</v>
      </c>
      <c r="H35" s="23" t="s">
        <v>529</v>
      </c>
      <c r="I35" s="23"/>
      <c r="J35" s="54" t="s">
        <v>602</v>
      </c>
      <c r="K35" s="49">
        <v>2021</v>
      </c>
      <c r="L35" s="7" t="s">
        <v>603</v>
      </c>
      <c r="M35" s="22"/>
      <c r="N35" s="22"/>
      <c r="O35" s="22"/>
      <c r="P35" s="22"/>
      <c r="Q35" s="22"/>
      <c r="R35" s="22"/>
      <c r="S35" s="22"/>
      <c r="T35" s="22"/>
      <c r="U35" s="22"/>
      <c r="V35" s="22"/>
      <c r="W35" s="22"/>
      <c r="X35" s="22"/>
    </row>
    <row r="36" spans="1:24" customFormat="1" ht="14.25" customHeight="1" x14ac:dyDescent="0.3">
      <c r="A36" s="47">
        <v>28</v>
      </c>
      <c r="B36" s="75" t="s">
        <v>604</v>
      </c>
      <c r="C36" s="81" t="s">
        <v>512</v>
      </c>
      <c r="D36" s="82" t="s">
        <v>605</v>
      </c>
      <c r="E36" s="65" t="s">
        <v>558</v>
      </c>
      <c r="F36" s="48" t="s">
        <v>553</v>
      </c>
      <c r="G36" s="23" t="s">
        <v>606</v>
      </c>
      <c r="H36" s="23" t="s">
        <v>607</v>
      </c>
      <c r="I36" s="23"/>
      <c r="J36" s="54"/>
      <c r="K36" s="49">
        <v>2021</v>
      </c>
      <c r="L36" s="7" t="s">
        <v>608</v>
      </c>
      <c r="M36" s="22"/>
      <c r="N36" s="22"/>
      <c r="O36" s="22"/>
      <c r="P36" s="22"/>
      <c r="Q36" s="22"/>
      <c r="R36" s="22"/>
      <c r="S36" s="22"/>
      <c r="T36" s="22"/>
      <c r="U36" s="22"/>
      <c r="V36" s="22"/>
      <c r="W36" s="22"/>
      <c r="X36" s="22"/>
    </row>
    <row r="37" spans="1:24" customFormat="1" ht="14.25" customHeight="1" x14ac:dyDescent="0.3">
      <c r="A37" s="47">
        <v>29</v>
      </c>
      <c r="B37" s="75" t="s">
        <v>609</v>
      </c>
      <c r="C37" s="81" t="s">
        <v>512</v>
      </c>
      <c r="D37" s="77" t="s">
        <v>557</v>
      </c>
      <c r="E37" s="65" t="s">
        <v>558</v>
      </c>
      <c r="F37" s="48" t="s">
        <v>553</v>
      </c>
      <c r="G37" s="23" t="s">
        <v>366</v>
      </c>
      <c r="H37" s="55" t="s">
        <v>610</v>
      </c>
      <c r="I37" s="23"/>
      <c r="J37" s="54" t="s">
        <v>611</v>
      </c>
      <c r="K37" s="49">
        <v>2021</v>
      </c>
      <c r="L37" s="7" t="s">
        <v>612</v>
      </c>
      <c r="M37" s="22"/>
      <c r="N37" s="22"/>
      <c r="O37" s="22"/>
      <c r="P37" s="22"/>
      <c r="Q37" s="22"/>
      <c r="R37" s="22"/>
      <c r="S37" s="22"/>
      <c r="T37" s="22"/>
      <c r="U37" s="22"/>
      <c r="V37" s="22"/>
      <c r="W37" s="22"/>
      <c r="X37" s="22"/>
    </row>
    <row r="38" spans="1:24" customFormat="1" ht="14.25" customHeight="1" x14ac:dyDescent="0.3">
      <c r="A38" s="47">
        <v>30</v>
      </c>
      <c r="B38" s="77" t="s">
        <v>613</v>
      </c>
      <c r="C38" s="81" t="s">
        <v>512</v>
      </c>
      <c r="D38" s="77" t="s">
        <v>557</v>
      </c>
      <c r="E38" s="65" t="s">
        <v>558</v>
      </c>
      <c r="F38" s="48" t="s">
        <v>553</v>
      </c>
      <c r="G38" s="23" t="s">
        <v>606</v>
      </c>
      <c r="H38" s="23" t="s">
        <v>91</v>
      </c>
      <c r="I38" s="23"/>
      <c r="J38" s="54"/>
      <c r="K38" s="49">
        <v>2021</v>
      </c>
      <c r="L38" s="7" t="s">
        <v>614</v>
      </c>
      <c r="M38" s="22"/>
      <c r="N38" s="22"/>
      <c r="O38" s="22"/>
      <c r="P38" s="22"/>
      <c r="Q38" s="22"/>
      <c r="R38" s="22"/>
      <c r="S38" s="22"/>
      <c r="T38" s="22"/>
      <c r="U38" s="22"/>
      <c r="V38" s="22"/>
      <c r="W38" s="22"/>
      <c r="X38" s="22"/>
    </row>
    <row r="39" spans="1:24" customFormat="1" ht="14.25" customHeight="1" x14ac:dyDescent="0.3">
      <c r="A39" s="47">
        <v>31</v>
      </c>
      <c r="B39" s="77" t="s">
        <v>615</v>
      </c>
      <c r="C39" s="81" t="s">
        <v>512</v>
      </c>
      <c r="D39" s="82" t="s">
        <v>616</v>
      </c>
      <c r="E39" s="65" t="s">
        <v>617</v>
      </c>
      <c r="F39" s="84" t="s">
        <v>553</v>
      </c>
      <c r="G39" s="23" t="s">
        <v>91</v>
      </c>
      <c r="H39" s="23"/>
      <c r="I39" s="23"/>
      <c r="J39" s="48" t="s">
        <v>618</v>
      </c>
      <c r="K39" s="49">
        <v>2021</v>
      </c>
      <c r="L39" s="7" t="s">
        <v>619</v>
      </c>
      <c r="M39" s="22"/>
      <c r="N39" s="22"/>
      <c r="O39" s="22"/>
      <c r="P39" s="22"/>
      <c r="Q39" s="22"/>
      <c r="R39" s="22"/>
      <c r="S39" s="22"/>
      <c r="T39" s="22"/>
      <c r="U39" s="22"/>
      <c r="V39" s="22"/>
      <c r="W39" s="22"/>
      <c r="X39" s="22"/>
    </row>
    <row r="40" spans="1:24" customFormat="1" ht="14.25" customHeight="1" x14ac:dyDescent="0.3">
      <c r="A40" s="47">
        <v>32</v>
      </c>
      <c r="B40" s="75" t="s">
        <v>620</v>
      </c>
      <c r="C40" s="81" t="s">
        <v>512</v>
      </c>
      <c r="D40" s="82" t="s">
        <v>605</v>
      </c>
      <c r="E40" s="65" t="s">
        <v>558</v>
      </c>
      <c r="F40" s="48" t="s">
        <v>553</v>
      </c>
      <c r="G40" s="23" t="s">
        <v>538</v>
      </c>
      <c r="H40" s="23" t="s">
        <v>621</v>
      </c>
      <c r="I40" s="23" t="s">
        <v>568</v>
      </c>
      <c r="J40" s="48" t="s">
        <v>622</v>
      </c>
      <c r="K40" s="49">
        <v>2022</v>
      </c>
      <c r="L40" s="7" t="s">
        <v>623</v>
      </c>
      <c r="M40" s="22"/>
      <c r="N40" s="22"/>
      <c r="O40" s="22"/>
      <c r="P40" s="22"/>
      <c r="Q40" s="22"/>
      <c r="R40" s="22"/>
      <c r="S40" s="22"/>
      <c r="T40" s="22"/>
      <c r="U40" s="22"/>
      <c r="V40" s="22"/>
      <c r="W40" s="22"/>
      <c r="X40" s="22"/>
    </row>
    <row r="41" spans="1:24" customFormat="1" ht="14.25" customHeight="1" x14ac:dyDescent="0.3">
      <c r="A41" s="47">
        <v>33</v>
      </c>
      <c r="B41" s="77" t="s">
        <v>624</v>
      </c>
      <c r="C41" s="81" t="s">
        <v>512</v>
      </c>
      <c r="D41" s="77" t="s">
        <v>557</v>
      </c>
      <c r="E41" s="65" t="s">
        <v>558</v>
      </c>
      <c r="F41" s="48" t="s">
        <v>553</v>
      </c>
      <c r="G41" s="23" t="s">
        <v>151</v>
      </c>
      <c r="H41" s="23" t="s">
        <v>525</v>
      </c>
      <c r="I41" s="23"/>
      <c r="J41" s="49"/>
      <c r="K41" s="49">
        <v>2022</v>
      </c>
      <c r="L41" s="7" t="s">
        <v>625</v>
      </c>
      <c r="M41" s="22"/>
      <c r="N41" s="22"/>
      <c r="O41" s="22"/>
      <c r="P41" s="22"/>
      <c r="Q41" s="22"/>
      <c r="R41" s="22"/>
      <c r="S41" s="22"/>
      <c r="T41" s="22"/>
      <c r="U41" s="22"/>
      <c r="V41" s="22"/>
      <c r="W41" s="22"/>
      <c r="X41" s="22"/>
    </row>
    <row r="42" spans="1:24" customFormat="1" ht="14.25" customHeight="1" x14ac:dyDescent="0.3">
      <c r="A42" s="47">
        <v>34</v>
      </c>
      <c r="B42" s="75" t="s">
        <v>626</v>
      </c>
      <c r="C42" s="81" t="s">
        <v>512</v>
      </c>
      <c r="D42" s="77" t="s">
        <v>557</v>
      </c>
      <c r="E42" s="65" t="s">
        <v>558</v>
      </c>
      <c r="F42" s="84" t="s">
        <v>553</v>
      </c>
      <c r="G42" s="23" t="s">
        <v>91</v>
      </c>
      <c r="H42" s="23" t="s">
        <v>627</v>
      </c>
      <c r="I42" s="23"/>
      <c r="J42" s="49"/>
      <c r="K42" s="49">
        <v>2022</v>
      </c>
      <c r="L42" s="7" t="s">
        <v>628</v>
      </c>
      <c r="M42" s="22"/>
      <c r="N42" s="22"/>
      <c r="O42" s="22"/>
      <c r="P42" s="22"/>
      <c r="Q42" s="22"/>
      <c r="R42" s="22"/>
      <c r="S42" s="22"/>
      <c r="T42" s="22"/>
      <c r="U42" s="22"/>
      <c r="V42" s="22"/>
      <c r="W42" s="22"/>
      <c r="X42" s="22"/>
    </row>
    <row r="43" spans="1:24" customFormat="1" ht="14.25" customHeight="1" x14ac:dyDescent="0.3">
      <c r="A43" s="47">
        <v>35</v>
      </c>
      <c r="B43" s="75" t="s">
        <v>629</v>
      </c>
      <c r="C43" s="81" t="s">
        <v>512</v>
      </c>
      <c r="D43" s="77" t="s">
        <v>557</v>
      </c>
      <c r="E43" s="65" t="s">
        <v>558</v>
      </c>
      <c r="F43" s="48" t="s">
        <v>553</v>
      </c>
      <c r="G43" s="23" t="s">
        <v>415</v>
      </c>
      <c r="H43" s="23" t="s">
        <v>525</v>
      </c>
      <c r="I43" s="23"/>
      <c r="J43" s="49" t="s">
        <v>630</v>
      </c>
      <c r="K43" s="49">
        <v>2022</v>
      </c>
      <c r="L43" s="7" t="s">
        <v>631</v>
      </c>
      <c r="M43" s="22"/>
      <c r="N43" s="22"/>
      <c r="O43" s="22"/>
      <c r="P43" s="22"/>
      <c r="Q43" s="22"/>
      <c r="R43" s="22"/>
      <c r="S43" s="22"/>
      <c r="T43" s="22"/>
      <c r="U43" s="22"/>
      <c r="V43" s="22"/>
      <c r="W43" s="22"/>
      <c r="X43" s="22"/>
    </row>
    <row r="44" spans="1:24" customFormat="1" ht="14.25" customHeight="1" x14ac:dyDescent="0.3">
      <c r="A44" s="47">
        <v>36</v>
      </c>
      <c r="B44" s="75" t="s">
        <v>632</v>
      </c>
      <c r="C44" s="81" t="s">
        <v>512</v>
      </c>
      <c r="D44" s="82" t="s">
        <v>605</v>
      </c>
      <c r="E44" s="65" t="s">
        <v>558</v>
      </c>
      <c r="F44" s="48" t="s">
        <v>553</v>
      </c>
      <c r="G44" s="23" t="s">
        <v>529</v>
      </c>
      <c r="H44" s="23" t="s">
        <v>633</v>
      </c>
      <c r="I44" s="23"/>
      <c r="J44" s="49"/>
      <c r="K44" s="49">
        <v>2022</v>
      </c>
      <c r="L44" s="7" t="s">
        <v>634</v>
      </c>
      <c r="M44" s="22"/>
      <c r="N44" s="22"/>
      <c r="O44" s="22"/>
      <c r="P44" s="22"/>
      <c r="Q44" s="22"/>
      <c r="R44" s="22"/>
      <c r="S44" s="22"/>
      <c r="T44" s="22"/>
      <c r="U44" s="22"/>
      <c r="V44" s="22"/>
      <c r="W44" s="22"/>
      <c r="X44" s="22"/>
    </row>
    <row r="45" spans="1:24" customFormat="1" ht="14.25" customHeight="1" x14ac:dyDescent="0.3">
      <c r="A45" s="47">
        <v>37</v>
      </c>
      <c r="B45" s="75" t="s">
        <v>635</v>
      </c>
      <c r="C45" s="81" t="s">
        <v>512</v>
      </c>
      <c r="D45" s="77" t="s">
        <v>557</v>
      </c>
      <c r="E45" s="65" t="s">
        <v>558</v>
      </c>
      <c r="F45" s="84" t="s">
        <v>553</v>
      </c>
      <c r="G45" s="23" t="s">
        <v>91</v>
      </c>
      <c r="H45" s="23" t="s">
        <v>164</v>
      </c>
      <c r="I45" s="23"/>
      <c r="J45" s="49"/>
      <c r="K45" s="49">
        <v>2022</v>
      </c>
      <c r="L45" s="7" t="s">
        <v>636</v>
      </c>
      <c r="M45" s="22"/>
      <c r="N45" s="22"/>
      <c r="O45" s="22"/>
      <c r="P45" s="22"/>
      <c r="Q45" s="22"/>
      <c r="R45" s="22"/>
      <c r="S45" s="22"/>
      <c r="T45" s="22"/>
      <c r="U45" s="22"/>
      <c r="V45" s="22"/>
      <c r="W45" s="22"/>
      <c r="X45" s="22"/>
    </row>
    <row r="46" spans="1:24" customFormat="1" ht="14.25" customHeight="1" x14ac:dyDescent="0.3">
      <c r="A46" s="47">
        <v>38</v>
      </c>
      <c r="B46" s="77" t="s">
        <v>637</v>
      </c>
      <c r="C46" s="81" t="s">
        <v>512</v>
      </c>
      <c r="D46" s="82" t="s">
        <v>638</v>
      </c>
      <c r="E46" s="49" t="s">
        <v>142</v>
      </c>
      <c r="F46" s="49" t="s">
        <v>639</v>
      </c>
      <c r="G46" s="23" t="s">
        <v>543</v>
      </c>
      <c r="H46" s="23" t="s">
        <v>554</v>
      </c>
      <c r="I46" s="23"/>
      <c r="J46" s="49"/>
      <c r="K46" s="49">
        <v>2020</v>
      </c>
      <c r="L46" s="7" t="s">
        <v>640</v>
      </c>
      <c r="M46" s="22"/>
      <c r="N46" s="22"/>
      <c r="O46" s="22"/>
      <c r="P46" s="22"/>
      <c r="Q46" s="22"/>
      <c r="R46" s="22"/>
      <c r="S46" s="22"/>
      <c r="T46" s="22"/>
      <c r="U46" s="22"/>
      <c r="V46" s="22"/>
      <c r="W46" s="22"/>
      <c r="X46" s="22"/>
    </row>
    <row r="47" spans="1:24" customFormat="1" ht="14.25" customHeight="1" x14ac:dyDescent="0.3">
      <c r="A47" s="47">
        <v>39</v>
      </c>
      <c r="B47" s="82" t="s">
        <v>641</v>
      </c>
      <c r="C47" s="81" t="s">
        <v>512</v>
      </c>
      <c r="D47" s="82" t="s">
        <v>638</v>
      </c>
      <c r="E47" s="48" t="s">
        <v>142</v>
      </c>
      <c r="F47" s="48" t="s">
        <v>639</v>
      </c>
      <c r="G47" s="55" t="s">
        <v>543</v>
      </c>
      <c r="H47" s="55" t="s">
        <v>164</v>
      </c>
      <c r="I47" s="55" t="s">
        <v>642</v>
      </c>
      <c r="J47" s="50"/>
      <c r="K47" s="49">
        <v>2020</v>
      </c>
      <c r="L47" s="7" t="s">
        <v>643</v>
      </c>
      <c r="M47" s="22"/>
      <c r="N47" s="22"/>
      <c r="O47" s="22"/>
      <c r="P47" s="22"/>
      <c r="Q47" s="22"/>
      <c r="R47" s="22"/>
      <c r="S47" s="22"/>
      <c r="T47" s="22"/>
      <c r="U47" s="22"/>
      <c r="V47" s="22"/>
      <c r="W47" s="22"/>
      <c r="X47" s="22"/>
    </row>
    <row r="48" spans="1:24" customFormat="1" ht="14.25" customHeight="1" x14ac:dyDescent="0.3">
      <c r="A48" s="47">
        <v>40</v>
      </c>
      <c r="B48" s="82" t="s">
        <v>644</v>
      </c>
      <c r="C48" s="81" t="s">
        <v>512</v>
      </c>
      <c r="D48" s="82" t="s">
        <v>645</v>
      </c>
      <c r="E48" s="48" t="s">
        <v>142</v>
      </c>
      <c r="F48" s="49" t="s">
        <v>639</v>
      </c>
      <c r="G48" s="23" t="s">
        <v>533</v>
      </c>
      <c r="H48" s="57" t="s">
        <v>546</v>
      </c>
      <c r="I48" s="57"/>
      <c r="J48" s="50" t="s">
        <v>646</v>
      </c>
      <c r="K48" s="49">
        <v>2021</v>
      </c>
      <c r="L48" s="7" t="s">
        <v>647</v>
      </c>
      <c r="M48" s="22"/>
      <c r="N48" s="22"/>
      <c r="O48" s="22"/>
      <c r="P48" s="22"/>
      <c r="Q48" s="22"/>
      <c r="R48" s="22"/>
      <c r="S48" s="22"/>
      <c r="T48" s="22"/>
      <c r="U48" s="22"/>
      <c r="V48" s="22"/>
      <c r="W48" s="22"/>
      <c r="X48" s="22"/>
    </row>
    <row r="49" spans="1:24" customFormat="1" ht="14.25" customHeight="1" x14ac:dyDescent="0.3">
      <c r="A49" s="47">
        <v>41</v>
      </c>
      <c r="B49" s="77" t="s">
        <v>648</v>
      </c>
      <c r="C49" s="81" t="s">
        <v>512</v>
      </c>
      <c r="D49" s="82" t="s">
        <v>649</v>
      </c>
      <c r="E49" s="48" t="s">
        <v>142</v>
      </c>
      <c r="F49" s="48" t="s">
        <v>639</v>
      </c>
      <c r="G49" s="23" t="s">
        <v>606</v>
      </c>
      <c r="H49" s="57"/>
      <c r="I49" s="57"/>
      <c r="J49" s="50"/>
      <c r="K49" s="49">
        <v>2021</v>
      </c>
      <c r="L49" s="7" t="s">
        <v>650</v>
      </c>
      <c r="M49" s="22"/>
      <c r="N49" s="22"/>
      <c r="O49" s="22"/>
      <c r="P49" s="22"/>
      <c r="Q49" s="22"/>
      <c r="R49" s="22"/>
      <c r="S49" s="22"/>
      <c r="T49" s="22"/>
      <c r="U49" s="22"/>
      <c r="V49" s="22"/>
      <c r="W49" s="22"/>
      <c r="X49" s="22"/>
    </row>
    <row r="50" spans="1:24" customFormat="1" ht="14.25" customHeight="1" x14ac:dyDescent="0.3">
      <c r="A50" s="47">
        <v>42</v>
      </c>
      <c r="B50" s="75" t="s">
        <v>651</v>
      </c>
      <c r="C50" s="81" t="s">
        <v>512</v>
      </c>
      <c r="D50" s="82" t="s">
        <v>652</v>
      </c>
      <c r="E50" s="54" t="s">
        <v>142</v>
      </c>
      <c r="F50" s="49" t="s">
        <v>639</v>
      </c>
      <c r="G50" s="57" t="s">
        <v>607</v>
      </c>
      <c r="H50" s="23" t="s">
        <v>606</v>
      </c>
      <c r="I50" s="57" t="s">
        <v>366</v>
      </c>
      <c r="J50" s="54" t="s">
        <v>173</v>
      </c>
      <c r="K50" s="49">
        <v>2021</v>
      </c>
      <c r="L50" s="7" t="s">
        <v>653</v>
      </c>
      <c r="M50" s="22"/>
      <c r="N50" s="22"/>
      <c r="O50" s="22"/>
      <c r="P50" s="22"/>
      <c r="Q50" s="22"/>
      <c r="R50" s="22"/>
      <c r="S50" s="22"/>
      <c r="T50" s="22"/>
      <c r="U50" s="22"/>
      <c r="V50" s="22"/>
      <c r="W50" s="22"/>
      <c r="X50" s="22"/>
    </row>
    <row r="51" spans="1:24" customFormat="1" ht="14.25" customHeight="1" x14ac:dyDescent="0.3">
      <c r="A51" s="47">
        <v>43</v>
      </c>
      <c r="B51" s="82" t="s">
        <v>654</v>
      </c>
      <c r="C51" s="81" t="s">
        <v>512</v>
      </c>
      <c r="D51" s="82" t="s">
        <v>645</v>
      </c>
      <c r="E51" s="54" t="s">
        <v>142</v>
      </c>
      <c r="F51" s="48" t="s">
        <v>639</v>
      </c>
      <c r="G51" s="23" t="s">
        <v>151</v>
      </c>
      <c r="H51" s="57" t="s">
        <v>655</v>
      </c>
      <c r="I51" s="23" t="s">
        <v>366</v>
      </c>
      <c r="J51" s="54" t="s">
        <v>656</v>
      </c>
      <c r="K51" s="49">
        <v>2021</v>
      </c>
      <c r="L51" s="7" t="s">
        <v>657</v>
      </c>
      <c r="M51" s="22"/>
      <c r="N51" s="22"/>
      <c r="O51" s="22"/>
      <c r="P51" s="22"/>
      <c r="Q51" s="22"/>
      <c r="R51" s="22"/>
      <c r="S51" s="22"/>
      <c r="T51" s="22"/>
      <c r="U51" s="22"/>
      <c r="V51" s="22"/>
      <c r="W51" s="22"/>
      <c r="X51" s="22"/>
    </row>
    <row r="52" spans="1:24" customFormat="1" ht="14.25" customHeight="1" x14ac:dyDescent="0.3">
      <c r="A52" s="47">
        <v>44</v>
      </c>
      <c r="B52" s="77" t="s">
        <v>658</v>
      </c>
      <c r="C52" s="81" t="s">
        <v>512</v>
      </c>
      <c r="D52" s="82" t="s">
        <v>659</v>
      </c>
      <c r="E52" s="54" t="s">
        <v>142</v>
      </c>
      <c r="F52" s="49" t="s">
        <v>639</v>
      </c>
      <c r="G52" s="55" t="s">
        <v>607</v>
      </c>
      <c r="H52" s="57" t="s">
        <v>398</v>
      </c>
      <c r="I52" s="57" t="s">
        <v>521</v>
      </c>
      <c r="J52" s="54" t="s">
        <v>660</v>
      </c>
      <c r="K52" s="49">
        <v>2021</v>
      </c>
      <c r="L52" s="7" t="s">
        <v>661</v>
      </c>
      <c r="M52" s="22"/>
      <c r="N52" s="22"/>
      <c r="O52" s="22"/>
      <c r="P52" s="22"/>
      <c r="Q52" s="22"/>
      <c r="R52" s="22"/>
      <c r="S52" s="22"/>
      <c r="T52" s="22"/>
      <c r="U52" s="22"/>
      <c r="V52" s="22"/>
      <c r="W52" s="22"/>
      <c r="X52" s="22"/>
    </row>
    <row r="53" spans="1:24" ht="14.25" customHeight="1" x14ac:dyDescent="0.3">
      <c r="A53" s="47">
        <v>45</v>
      </c>
      <c r="B53" s="85" t="s">
        <v>662</v>
      </c>
      <c r="C53" s="86" t="s">
        <v>512</v>
      </c>
      <c r="D53" s="87" t="s">
        <v>652</v>
      </c>
      <c r="E53" s="88" t="s">
        <v>142</v>
      </c>
      <c r="F53" s="65" t="s">
        <v>639</v>
      </c>
      <c r="G53" s="64" t="s">
        <v>606</v>
      </c>
      <c r="H53" s="64" t="s">
        <v>607</v>
      </c>
      <c r="I53" s="64" t="s">
        <v>366</v>
      </c>
      <c r="J53" s="65"/>
      <c r="K53" s="65">
        <v>2021</v>
      </c>
      <c r="L53" s="7" t="s">
        <v>653</v>
      </c>
      <c r="M53" s="19"/>
      <c r="N53" s="19"/>
      <c r="O53" s="19"/>
      <c r="P53" s="19"/>
      <c r="Q53" s="19"/>
      <c r="R53" s="19"/>
      <c r="S53" s="19"/>
      <c r="T53" s="19"/>
      <c r="U53" s="19"/>
      <c r="V53" s="19"/>
      <c r="W53" s="19"/>
      <c r="X53" s="19"/>
    </row>
    <row r="54" spans="1:24" customFormat="1" ht="14.25" customHeight="1" x14ac:dyDescent="0.3">
      <c r="A54" s="47">
        <v>46</v>
      </c>
      <c r="B54" s="77" t="s">
        <v>663</v>
      </c>
      <c r="C54" s="81" t="s">
        <v>512</v>
      </c>
      <c r="D54" s="77" t="s">
        <v>664</v>
      </c>
      <c r="E54" s="65" t="s">
        <v>665</v>
      </c>
      <c r="F54" s="48" t="s">
        <v>666</v>
      </c>
      <c r="G54" s="23" t="s">
        <v>554</v>
      </c>
      <c r="H54" s="57"/>
      <c r="I54" s="57"/>
      <c r="J54" s="54"/>
      <c r="K54" s="49">
        <v>2020</v>
      </c>
      <c r="L54" s="7" t="s">
        <v>667</v>
      </c>
      <c r="M54" s="22"/>
      <c r="N54" s="22"/>
      <c r="O54" s="22"/>
      <c r="P54" s="22"/>
      <c r="Q54" s="22"/>
      <c r="R54" s="22"/>
      <c r="S54" s="22"/>
      <c r="T54" s="22"/>
      <c r="U54" s="22"/>
      <c r="V54" s="22"/>
      <c r="W54" s="22"/>
      <c r="X54" s="22"/>
    </row>
    <row r="55" spans="1:24" customFormat="1" ht="14.25" customHeight="1" x14ac:dyDescent="0.3">
      <c r="A55" s="47">
        <v>47</v>
      </c>
      <c r="B55" s="77" t="s">
        <v>668</v>
      </c>
      <c r="C55" s="81" t="s">
        <v>512</v>
      </c>
      <c r="D55" s="82" t="s">
        <v>669</v>
      </c>
      <c r="E55" s="89" t="s">
        <v>670</v>
      </c>
      <c r="F55" s="48" t="s">
        <v>666</v>
      </c>
      <c r="G55" s="23" t="s">
        <v>554</v>
      </c>
      <c r="H55" s="23"/>
      <c r="I55" s="23"/>
      <c r="J55" s="58" t="s">
        <v>671</v>
      </c>
      <c r="K55" s="49">
        <v>2020</v>
      </c>
      <c r="L55" s="7" t="s">
        <v>672</v>
      </c>
      <c r="M55" s="22"/>
      <c r="N55" s="22"/>
      <c r="O55" s="22"/>
      <c r="P55" s="22"/>
      <c r="Q55" s="22"/>
      <c r="R55" s="22"/>
      <c r="S55" s="22"/>
      <c r="T55" s="22"/>
      <c r="U55" s="22"/>
      <c r="V55" s="22"/>
      <c r="W55" s="22"/>
      <c r="X55" s="22"/>
    </row>
    <row r="56" spans="1:24" customFormat="1" ht="14.25" customHeight="1" x14ac:dyDescent="0.3">
      <c r="A56" s="47">
        <v>48</v>
      </c>
      <c r="B56" s="77" t="s">
        <v>673</v>
      </c>
      <c r="C56" s="81" t="s">
        <v>512</v>
      </c>
      <c r="D56" s="82" t="s">
        <v>669</v>
      </c>
      <c r="E56" s="89" t="s">
        <v>670</v>
      </c>
      <c r="F56" s="48" t="s">
        <v>666</v>
      </c>
      <c r="G56" s="23" t="s">
        <v>164</v>
      </c>
      <c r="H56" s="23" t="s">
        <v>627</v>
      </c>
      <c r="I56" s="23" t="s">
        <v>366</v>
      </c>
      <c r="J56" s="58" t="s">
        <v>674</v>
      </c>
      <c r="K56" s="49">
        <v>2020</v>
      </c>
      <c r="L56" s="7" t="s">
        <v>675</v>
      </c>
      <c r="M56" s="22"/>
      <c r="N56" s="22"/>
      <c r="O56" s="22"/>
      <c r="P56" s="22"/>
      <c r="Q56" s="22"/>
      <c r="R56" s="22"/>
      <c r="S56" s="22"/>
      <c r="T56" s="22"/>
      <c r="U56" s="22"/>
      <c r="V56" s="22"/>
      <c r="W56" s="22"/>
      <c r="X56" s="22"/>
    </row>
    <row r="57" spans="1:24" customFormat="1" ht="14.25" customHeight="1" x14ac:dyDescent="0.3">
      <c r="A57" s="47">
        <v>49</v>
      </c>
      <c r="B57" s="83" t="s">
        <v>676</v>
      </c>
      <c r="C57" s="81" t="s">
        <v>512</v>
      </c>
      <c r="D57" s="82" t="s">
        <v>677</v>
      </c>
      <c r="E57" s="65" t="s">
        <v>678</v>
      </c>
      <c r="F57" s="48" t="s">
        <v>666</v>
      </c>
      <c r="G57" s="23" t="s">
        <v>415</v>
      </c>
      <c r="H57" s="23" t="s">
        <v>573</v>
      </c>
      <c r="I57" s="23" t="s">
        <v>522</v>
      </c>
      <c r="J57" s="58"/>
      <c r="K57" s="49">
        <v>2020</v>
      </c>
      <c r="L57" s="7" t="s">
        <v>679</v>
      </c>
      <c r="M57" s="22"/>
      <c r="N57" s="22"/>
      <c r="O57" s="22"/>
      <c r="P57" s="22"/>
      <c r="Q57" s="22"/>
      <c r="R57" s="22"/>
      <c r="S57" s="22"/>
      <c r="T57" s="22"/>
      <c r="U57" s="22"/>
      <c r="V57" s="22"/>
      <c r="W57" s="22"/>
      <c r="X57" s="22"/>
    </row>
    <row r="58" spans="1:24" customFormat="1" ht="14.25" customHeight="1" x14ac:dyDescent="0.3">
      <c r="A58" s="47">
        <v>50</v>
      </c>
      <c r="B58" s="75" t="s">
        <v>680</v>
      </c>
      <c r="C58" s="81" t="s">
        <v>512</v>
      </c>
      <c r="D58" s="82" t="s">
        <v>681</v>
      </c>
      <c r="E58" s="65" t="s">
        <v>682</v>
      </c>
      <c r="F58" s="48" t="s">
        <v>666</v>
      </c>
      <c r="G58" s="23" t="s">
        <v>415</v>
      </c>
      <c r="H58" s="57" t="s">
        <v>573</v>
      </c>
      <c r="I58" s="57"/>
      <c r="J58" s="54"/>
      <c r="K58" s="49">
        <v>2020</v>
      </c>
      <c r="L58" s="7" t="s">
        <v>683</v>
      </c>
      <c r="M58" s="22"/>
      <c r="N58" s="22"/>
      <c r="O58" s="22"/>
      <c r="P58" s="22"/>
      <c r="Q58" s="22"/>
      <c r="R58" s="22"/>
      <c r="S58" s="22"/>
      <c r="T58" s="22"/>
      <c r="U58" s="22"/>
      <c r="V58" s="22"/>
      <c r="W58" s="22"/>
      <c r="X58" s="22"/>
    </row>
    <row r="59" spans="1:24" customFormat="1" ht="14.25" customHeight="1" x14ac:dyDescent="0.3">
      <c r="A59" s="47">
        <v>51</v>
      </c>
      <c r="B59" s="83" t="s">
        <v>684</v>
      </c>
      <c r="C59" s="81" t="s">
        <v>512</v>
      </c>
      <c r="D59" s="82" t="s">
        <v>677</v>
      </c>
      <c r="E59" s="65" t="s">
        <v>678</v>
      </c>
      <c r="F59" s="48" t="s">
        <v>666</v>
      </c>
      <c r="G59" s="57" t="s">
        <v>573</v>
      </c>
      <c r="H59" s="23" t="s">
        <v>415</v>
      </c>
      <c r="I59" s="23" t="s">
        <v>572</v>
      </c>
      <c r="J59" s="58" t="s">
        <v>685</v>
      </c>
      <c r="K59" s="58">
        <v>2020</v>
      </c>
      <c r="L59" s="7" t="s">
        <v>686</v>
      </c>
      <c r="M59" s="22"/>
      <c r="N59" s="22"/>
      <c r="O59" s="22"/>
      <c r="P59" s="22"/>
      <c r="Q59" s="22"/>
      <c r="R59" s="22"/>
      <c r="S59" s="22"/>
      <c r="T59" s="22"/>
      <c r="U59" s="22"/>
      <c r="V59" s="22"/>
      <c r="W59" s="22"/>
      <c r="X59" s="22"/>
    </row>
    <row r="60" spans="1:24" customFormat="1" ht="14.25" customHeight="1" x14ac:dyDescent="0.3">
      <c r="A60" s="47">
        <v>52</v>
      </c>
      <c r="B60" s="75" t="s">
        <v>687</v>
      </c>
      <c r="C60" s="81" t="s">
        <v>512</v>
      </c>
      <c r="D60" s="90" t="s">
        <v>688</v>
      </c>
      <c r="E60" s="49" t="s">
        <v>689</v>
      </c>
      <c r="F60" s="48" t="s">
        <v>666</v>
      </c>
      <c r="G60" s="23" t="s">
        <v>606</v>
      </c>
      <c r="H60" s="23" t="s">
        <v>607</v>
      </c>
      <c r="I60" s="23" t="s">
        <v>366</v>
      </c>
      <c r="J60" s="58" t="s">
        <v>299</v>
      </c>
      <c r="K60" s="58">
        <v>2020</v>
      </c>
      <c r="L60" s="7" t="s">
        <v>690</v>
      </c>
      <c r="M60" s="22"/>
      <c r="N60" s="22"/>
      <c r="O60" s="22"/>
      <c r="P60" s="22"/>
      <c r="Q60" s="22"/>
      <c r="R60" s="22"/>
      <c r="S60" s="22"/>
      <c r="T60" s="22"/>
      <c r="U60" s="22"/>
      <c r="V60" s="22"/>
      <c r="W60" s="22"/>
      <c r="X60" s="22"/>
    </row>
    <row r="61" spans="1:24" customFormat="1" ht="14.25" customHeight="1" x14ac:dyDescent="0.3">
      <c r="A61" s="47">
        <v>53</v>
      </c>
      <c r="B61" s="83" t="s">
        <v>691</v>
      </c>
      <c r="C61" s="81" t="s">
        <v>512</v>
      </c>
      <c r="D61" s="77" t="s">
        <v>692</v>
      </c>
      <c r="E61" s="49" t="s">
        <v>693</v>
      </c>
      <c r="F61" s="48" t="s">
        <v>666</v>
      </c>
      <c r="G61" s="23" t="s">
        <v>543</v>
      </c>
      <c r="H61" s="23" t="s">
        <v>642</v>
      </c>
      <c r="I61" s="23" t="s">
        <v>164</v>
      </c>
      <c r="J61" s="58"/>
      <c r="K61" s="58">
        <v>2021</v>
      </c>
      <c r="L61" s="7" t="s">
        <v>694</v>
      </c>
      <c r="M61" s="22"/>
      <c r="N61" s="22"/>
      <c r="O61" s="22"/>
      <c r="P61" s="22"/>
      <c r="Q61" s="22"/>
      <c r="R61" s="22"/>
      <c r="S61" s="22"/>
      <c r="T61" s="22"/>
      <c r="U61" s="22"/>
      <c r="V61" s="22"/>
      <c r="W61" s="22"/>
      <c r="X61" s="22"/>
    </row>
    <row r="62" spans="1:24" customFormat="1" ht="14.25" customHeight="1" x14ac:dyDescent="0.3">
      <c r="A62" s="47">
        <v>54</v>
      </c>
      <c r="B62" s="77" t="s">
        <v>695</v>
      </c>
      <c r="C62" s="81" t="s">
        <v>512</v>
      </c>
      <c r="D62" s="82" t="s">
        <v>696</v>
      </c>
      <c r="E62" s="49" t="s">
        <v>697</v>
      </c>
      <c r="F62" s="48" t="s">
        <v>666</v>
      </c>
      <c r="G62" s="23" t="s">
        <v>543</v>
      </c>
      <c r="H62" s="23" t="s">
        <v>164</v>
      </c>
      <c r="I62" s="23" t="s">
        <v>642</v>
      </c>
      <c r="J62" s="58"/>
      <c r="K62" s="58">
        <v>2021</v>
      </c>
      <c r="L62" s="7" t="s">
        <v>698</v>
      </c>
      <c r="M62" s="22"/>
      <c r="N62" s="22"/>
      <c r="O62" s="22"/>
      <c r="P62" s="22"/>
      <c r="Q62" s="22"/>
      <c r="R62" s="22"/>
      <c r="S62" s="22"/>
      <c r="T62" s="22"/>
      <c r="U62" s="22"/>
      <c r="V62" s="22"/>
      <c r="W62" s="22"/>
      <c r="X62" s="22"/>
    </row>
    <row r="63" spans="1:24" customFormat="1" ht="14.25" customHeight="1" x14ac:dyDescent="0.3">
      <c r="A63" s="47">
        <v>55</v>
      </c>
      <c r="B63" s="83" t="s">
        <v>699</v>
      </c>
      <c r="C63" s="81" t="s">
        <v>512</v>
      </c>
      <c r="D63" s="82" t="s">
        <v>677</v>
      </c>
      <c r="E63" s="49" t="s">
        <v>678</v>
      </c>
      <c r="F63" s="48" t="s">
        <v>666</v>
      </c>
      <c r="G63" s="23" t="s">
        <v>151</v>
      </c>
      <c r="H63" s="23" t="s">
        <v>164</v>
      </c>
      <c r="I63" s="23" t="s">
        <v>366</v>
      </c>
      <c r="J63" s="58"/>
      <c r="K63" s="58">
        <v>2021</v>
      </c>
      <c r="L63" s="7" t="s">
        <v>700</v>
      </c>
      <c r="M63" s="22"/>
      <c r="N63" s="22"/>
      <c r="O63" s="22"/>
      <c r="P63" s="22"/>
      <c r="Q63" s="22"/>
      <c r="R63" s="22"/>
      <c r="S63" s="22"/>
      <c r="T63" s="22"/>
      <c r="U63" s="22"/>
      <c r="V63" s="22"/>
      <c r="W63" s="22"/>
      <c r="X63" s="22"/>
    </row>
    <row r="64" spans="1:24" customFormat="1" ht="14.25" customHeight="1" x14ac:dyDescent="0.3">
      <c r="A64" s="47">
        <v>56</v>
      </c>
      <c r="B64" s="77" t="s">
        <v>701</v>
      </c>
      <c r="C64" s="81" t="s">
        <v>512</v>
      </c>
      <c r="D64" s="82" t="s">
        <v>702</v>
      </c>
      <c r="E64" s="49" t="s">
        <v>703</v>
      </c>
      <c r="F64" s="48" t="s">
        <v>666</v>
      </c>
      <c r="G64" s="23" t="s">
        <v>415</v>
      </c>
      <c r="H64" s="55"/>
      <c r="I64" s="55"/>
      <c r="J64" s="50"/>
      <c r="K64" s="50">
        <v>2021</v>
      </c>
      <c r="L64" s="7" t="s">
        <v>704</v>
      </c>
      <c r="M64" s="22"/>
      <c r="N64" s="22"/>
      <c r="O64" s="22"/>
      <c r="P64" s="22"/>
      <c r="Q64" s="22"/>
      <c r="R64" s="22"/>
      <c r="S64" s="22"/>
      <c r="T64" s="22"/>
      <c r="U64" s="22"/>
      <c r="V64" s="22"/>
      <c r="W64" s="22"/>
      <c r="X64" s="22"/>
    </row>
    <row r="65" spans="1:24" customFormat="1" ht="14.25" customHeight="1" x14ac:dyDescent="0.3">
      <c r="A65" s="47">
        <v>57</v>
      </c>
      <c r="B65" s="77" t="s">
        <v>705</v>
      </c>
      <c r="C65" s="81" t="s">
        <v>512</v>
      </c>
      <c r="D65" s="82" t="s">
        <v>706</v>
      </c>
      <c r="E65" s="49" t="s">
        <v>707</v>
      </c>
      <c r="F65" s="48" t="s">
        <v>666</v>
      </c>
      <c r="G65" s="55" t="s">
        <v>572</v>
      </c>
      <c r="H65" s="55" t="s">
        <v>520</v>
      </c>
      <c r="I65" s="55" t="s">
        <v>521</v>
      </c>
      <c r="J65" s="50"/>
      <c r="K65" s="50">
        <v>2021</v>
      </c>
      <c r="L65" s="7" t="s">
        <v>708</v>
      </c>
      <c r="M65" s="22"/>
      <c r="N65" s="22"/>
      <c r="O65" s="22"/>
      <c r="P65" s="22"/>
      <c r="Q65" s="22"/>
      <c r="R65" s="22"/>
      <c r="S65" s="22"/>
      <c r="T65" s="22"/>
      <c r="U65" s="22"/>
      <c r="V65" s="22"/>
      <c r="W65" s="22"/>
      <c r="X65" s="22"/>
    </row>
    <row r="66" spans="1:24" customFormat="1" ht="14.25" customHeight="1" x14ac:dyDescent="0.3">
      <c r="A66" s="47">
        <v>58</v>
      </c>
      <c r="B66" s="77" t="s">
        <v>709</v>
      </c>
      <c r="C66" s="81" t="s">
        <v>512</v>
      </c>
      <c r="D66" s="82" t="s">
        <v>696</v>
      </c>
      <c r="E66" s="49" t="s">
        <v>697</v>
      </c>
      <c r="F66" s="48" t="s">
        <v>666</v>
      </c>
      <c r="G66" s="23" t="s">
        <v>398</v>
      </c>
      <c r="H66" s="55" t="s">
        <v>554</v>
      </c>
      <c r="I66" s="55"/>
      <c r="J66" s="50" t="s">
        <v>710</v>
      </c>
      <c r="K66" s="50">
        <v>2021</v>
      </c>
      <c r="L66" s="7" t="s">
        <v>711</v>
      </c>
      <c r="M66" s="22"/>
      <c r="N66" s="22"/>
      <c r="O66" s="22"/>
      <c r="P66" s="22"/>
      <c r="Q66" s="22"/>
      <c r="R66" s="22"/>
      <c r="S66" s="22"/>
      <c r="T66" s="22"/>
      <c r="U66" s="22"/>
      <c r="V66" s="22"/>
      <c r="W66" s="22"/>
      <c r="X66" s="22"/>
    </row>
    <row r="67" spans="1:24" customFormat="1" ht="14.25" customHeight="1" x14ac:dyDescent="0.3">
      <c r="A67" s="47">
        <v>59</v>
      </c>
      <c r="B67" s="75" t="s">
        <v>712</v>
      </c>
      <c r="C67" s="81" t="s">
        <v>512</v>
      </c>
      <c r="D67" s="82" t="s">
        <v>713</v>
      </c>
      <c r="E67" s="88" t="s">
        <v>714</v>
      </c>
      <c r="F67" s="48" t="s">
        <v>666</v>
      </c>
      <c r="G67" s="23" t="s">
        <v>572</v>
      </c>
      <c r="H67" s="23"/>
      <c r="I67" s="23"/>
      <c r="J67" s="50"/>
      <c r="K67" s="50">
        <v>2021</v>
      </c>
      <c r="L67" s="7" t="s">
        <v>715</v>
      </c>
      <c r="M67" s="22"/>
      <c r="N67" s="22"/>
      <c r="O67" s="22"/>
      <c r="P67" s="22"/>
      <c r="Q67" s="22"/>
      <c r="R67" s="22"/>
      <c r="S67" s="22"/>
      <c r="T67" s="22"/>
      <c r="U67" s="22"/>
      <c r="V67" s="22"/>
      <c r="W67" s="22"/>
      <c r="X67" s="22"/>
    </row>
    <row r="68" spans="1:24" customFormat="1" ht="14.25" customHeight="1" x14ac:dyDescent="0.3">
      <c r="A68" s="47">
        <v>60</v>
      </c>
      <c r="B68" s="75" t="s">
        <v>705</v>
      </c>
      <c r="C68" s="81" t="s">
        <v>512</v>
      </c>
      <c r="D68" s="82" t="s">
        <v>706</v>
      </c>
      <c r="E68" s="49" t="s">
        <v>707</v>
      </c>
      <c r="F68" s="48" t="s">
        <v>666</v>
      </c>
      <c r="G68" s="55" t="s">
        <v>572</v>
      </c>
      <c r="H68" s="55" t="s">
        <v>520</v>
      </c>
      <c r="I68" s="55" t="s">
        <v>521</v>
      </c>
      <c r="J68" s="50"/>
      <c r="K68" s="50">
        <v>2021</v>
      </c>
      <c r="L68" s="7" t="s">
        <v>716</v>
      </c>
      <c r="M68" s="22"/>
      <c r="N68" s="22"/>
      <c r="O68" s="22"/>
      <c r="P68" s="22"/>
      <c r="Q68" s="22"/>
      <c r="R68" s="22"/>
      <c r="S68" s="22"/>
      <c r="T68" s="22"/>
      <c r="U68" s="22"/>
      <c r="V68" s="22"/>
      <c r="W68" s="22"/>
      <c r="X68" s="22"/>
    </row>
    <row r="69" spans="1:24" customFormat="1" ht="14.25" customHeight="1" x14ac:dyDescent="0.3">
      <c r="A69" s="47">
        <v>61</v>
      </c>
      <c r="B69" s="75" t="s">
        <v>717</v>
      </c>
      <c r="C69" s="81" t="s">
        <v>512</v>
      </c>
      <c r="D69" s="90" t="s">
        <v>688</v>
      </c>
      <c r="E69" s="49" t="s">
        <v>689</v>
      </c>
      <c r="F69" s="48" t="s">
        <v>666</v>
      </c>
      <c r="G69" s="55" t="s">
        <v>606</v>
      </c>
      <c r="H69" s="55" t="s">
        <v>607</v>
      </c>
      <c r="I69" s="55" t="s">
        <v>366</v>
      </c>
      <c r="J69" s="50"/>
      <c r="K69" s="50">
        <v>2021</v>
      </c>
      <c r="L69" s="7" t="s">
        <v>718</v>
      </c>
      <c r="M69" s="22"/>
      <c r="N69" s="22"/>
      <c r="O69" s="22"/>
      <c r="P69" s="22"/>
      <c r="Q69" s="22"/>
      <c r="R69" s="22"/>
      <c r="S69" s="22"/>
      <c r="T69" s="22"/>
      <c r="U69" s="22"/>
      <c r="V69" s="22"/>
      <c r="W69" s="22"/>
      <c r="X69" s="22"/>
    </row>
    <row r="70" spans="1:24" customFormat="1" ht="14.25" customHeight="1" x14ac:dyDescent="0.3">
      <c r="A70" s="47">
        <v>62</v>
      </c>
      <c r="B70" s="77" t="s">
        <v>719</v>
      </c>
      <c r="C70" s="81" t="s">
        <v>512</v>
      </c>
      <c r="D70" s="82" t="s">
        <v>720</v>
      </c>
      <c r="E70" s="49" t="s">
        <v>721</v>
      </c>
      <c r="F70" s="48" t="s">
        <v>666</v>
      </c>
      <c r="G70" s="55" t="s">
        <v>546</v>
      </c>
      <c r="H70" s="55"/>
      <c r="I70" s="55"/>
      <c r="J70" s="50"/>
      <c r="K70" s="50">
        <v>2021</v>
      </c>
      <c r="L70" s="7" t="s">
        <v>722</v>
      </c>
      <c r="M70" s="22"/>
      <c r="N70" s="22"/>
      <c r="O70" s="22"/>
      <c r="P70" s="22"/>
      <c r="Q70" s="22"/>
      <c r="R70" s="22"/>
      <c r="S70" s="22"/>
      <c r="T70" s="22"/>
      <c r="U70" s="22"/>
      <c r="V70" s="22"/>
      <c r="W70" s="22"/>
      <c r="X70" s="22"/>
    </row>
    <row r="71" spans="1:24" customFormat="1" ht="14.25" customHeight="1" x14ac:dyDescent="0.3">
      <c r="A71" s="47">
        <v>63</v>
      </c>
      <c r="B71" s="82" t="s">
        <v>723</v>
      </c>
      <c r="C71" s="81" t="s">
        <v>512</v>
      </c>
      <c r="D71" s="82" t="s">
        <v>724</v>
      </c>
      <c r="E71" s="49" t="s">
        <v>689</v>
      </c>
      <c r="F71" s="48" t="s">
        <v>666</v>
      </c>
      <c r="G71" s="55" t="s">
        <v>546</v>
      </c>
      <c r="H71" s="55"/>
      <c r="I71" s="55"/>
      <c r="J71" s="50"/>
      <c r="K71" s="50">
        <v>2021</v>
      </c>
      <c r="L71" s="7" t="s">
        <v>725</v>
      </c>
      <c r="M71" s="22"/>
      <c r="N71" s="22"/>
      <c r="O71" s="22"/>
      <c r="P71" s="22"/>
      <c r="Q71" s="22"/>
      <c r="R71" s="22"/>
      <c r="S71" s="22"/>
      <c r="T71" s="22"/>
      <c r="U71" s="22"/>
      <c r="V71" s="22"/>
      <c r="W71" s="22"/>
      <c r="X71" s="22"/>
    </row>
    <row r="72" spans="1:24" customFormat="1" ht="14.25" customHeight="1" x14ac:dyDescent="0.3">
      <c r="A72" s="47">
        <v>64</v>
      </c>
      <c r="B72" s="77" t="s">
        <v>726</v>
      </c>
      <c r="C72" s="81" t="s">
        <v>512</v>
      </c>
      <c r="D72" s="82" t="s">
        <v>688</v>
      </c>
      <c r="E72" s="49" t="s">
        <v>689</v>
      </c>
      <c r="F72" s="48" t="s">
        <v>666</v>
      </c>
      <c r="G72" s="23" t="s">
        <v>606</v>
      </c>
      <c r="H72" s="23" t="s">
        <v>607</v>
      </c>
      <c r="I72" s="23" t="s">
        <v>366</v>
      </c>
      <c r="J72" s="50"/>
      <c r="K72" s="50">
        <v>2021</v>
      </c>
      <c r="L72" s="7" t="s">
        <v>727</v>
      </c>
      <c r="M72" s="22"/>
      <c r="N72" s="22"/>
      <c r="O72" s="22"/>
      <c r="P72" s="22"/>
      <c r="Q72" s="22"/>
      <c r="R72" s="22"/>
      <c r="S72" s="22"/>
      <c r="T72" s="22"/>
      <c r="U72" s="22"/>
      <c r="V72" s="22"/>
      <c r="W72" s="22"/>
      <c r="X72" s="22"/>
    </row>
    <row r="73" spans="1:24" ht="14.25" customHeight="1" x14ac:dyDescent="0.3">
      <c r="A73" s="47">
        <v>65</v>
      </c>
      <c r="B73" s="85" t="s">
        <v>728</v>
      </c>
      <c r="C73" s="92" t="s">
        <v>512</v>
      </c>
      <c r="D73" s="87" t="s">
        <v>688</v>
      </c>
      <c r="E73" s="49" t="s">
        <v>689</v>
      </c>
      <c r="F73" s="65" t="s">
        <v>666</v>
      </c>
      <c r="G73" s="64" t="s">
        <v>606</v>
      </c>
      <c r="H73" s="64" t="s">
        <v>607</v>
      </c>
      <c r="I73" s="64" t="s">
        <v>366</v>
      </c>
      <c r="J73" s="65"/>
      <c r="K73" s="65">
        <v>2021</v>
      </c>
      <c r="L73" s="7" t="s">
        <v>729</v>
      </c>
      <c r="M73" s="19"/>
      <c r="N73" s="19"/>
      <c r="O73" s="19"/>
      <c r="P73" s="19"/>
      <c r="Q73" s="19"/>
      <c r="R73" s="19"/>
      <c r="S73" s="19"/>
      <c r="T73" s="19"/>
      <c r="U73" s="19"/>
      <c r="V73" s="19"/>
      <c r="W73" s="19"/>
      <c r="X73" s="19"/>
    </row>
    <row r="74" spans="1:24" ht="14.25" customHeight="1" x14ac:dyDescent="0.3">
      <c r="A74" s="47">
        <v>66</v>
      </c>
      <c r="B74" s="85" t="s">
        <v>730</v>
      </c>
      <c r="C74" s="92" t="s">
        <v>512</v>
      </c>
      <c r="D74" s="87" t="s">
        <v>688</v>
      </c>
      <c r="E74" s="49" t="s">
        <v>689</v>
      </c>
      <c r="F74" s="65" t="s">
        <v>666</v>
      </c>
      <c r="G74" s="64" t="s">
        <v>606</v>
      </c>
      <c r="H74" s="64" t="s">
        <v>607</v>
      </c>
      <c r="I74" s="64" t="s">
        <v>366</v>
      </c>
      <c r="J74" s="65" t="s">
        <v>299</v>
      </c>
      <c r="K74" s="65">
        <v>2021</v>
      </c>
      <c r="L74" s="7" t="s">
        <v>731</v>
      </c>
      <c r="M74" s="19"/>
      <c r="N74" s="19"/>
      <c r="O74" s="19"/>
      <c r="P74" s="19"/>
      <c r="Q74" s="19"/>
      <c r="R74" s="19"/>
      <c r="S74" s="19"/>
      <c r="T74" s="19"/>
      <c r="U74" s="19"/>
      <c r="V74" s="19"/>
      <c r="W74" s="19"/>
      <c r="X74" s="19"/>
    </row>
    <row r="75" spans="1:24" customFormat="1" ht="14.25" customHeight="1" x14ac:dyDescent="0.3">
      <c r="A75" s="47">
        <v>67</v>
      </c>
      <c r="B75" s="77" t="s">
        <v>732</v>
      </c>
      <c r="C75" s="81" t="s">
        <v>512</v>
      </c>
      <c r="D75" s="77" t="s">
        <v>669</v>
      </c>
      <c r="E75" s="49" t="s">
        <v>703</v>
      </c>
      <c r="F75" s="48" t="s">
        <v>666</v>
      </c>
      <c r="G75" s="23" t="s">
        <v>164</v>
      </c>
      <c r="H75" s="23" t="s">
        <v>539</v>
      </c>
      <c r="I75" s="23" t="s">
        <v>554</v>
      </c>
      <c r="J75" s="50" t="s">
        <v>733</v>
      </c>
      <c r="K75" s="50">
        <v>2022</v>
      </c>
      <c r="L75" s="7" t="s">
        <v>734</v>
      </c>
      <c r="M75" s="22"/>
      <c r="N75" s="22"/>
      <c r="O75" s="22"/>
      <c r="P75" s="22"/>
      <c r="Q75" s="22"/>
      <c r="R75" s="22"/>
      <c r="S75" s="22"/>
      <c r="T75" s="22"/>
      <c r="U75" s="22"/>
      <c r="V75" s="22"/>
      <c r="W75" s="22"/>
      <c r="X75" s="22"/>
    </row>
    <row r="76" spans="1:24" customFormat="1" ht="14.25" customHeight="1" x14ac:dyDescent="0.3">
      <c r="A76" s="47">
        <v>68</v>
      </c>
      <c r="B76" s="83" t="s">
        <v>735</v>
      </c>
      <c r="C76" s="81" t="s">
        <v>512</v>
      </c>
      <c r="D76" s="77" t="s">
        <v>677</v>
      </c>
      <c r="E76" s="49" t="s">
        <v>678</v>
      </c>
      <c r="F76" s="48" t="s">
        <v>666</v>
      </c>
      <c r="G76" s="23" t="s">
        <v>543</v>
      </c>
      <c r="H76" s="57" t="s">
        <v>554</v>
      </c>
      <c r="I76" s="57" t="s">
        <v>398</v>
      </c>
      <c r="J76" s="50"/>
      <c r="K76" s="50">
        <v>2022</v>
      </c>
      <c r="L76" s="91" t="s">
        <v>736</v>
      </c>
      <c r="M76" s="22"/>
      <c r="N76" s="22"/>
      <c r="O76" s="22"/>
      <c r="P76" s="22"/>
      <c r="Q76" s="22"/>
      <c r="R76" s="22"/>
      <c r="S76" s="22"/>
      <c r="T76" s="22"/>
      <c r="U76" s="22"/>
      <c r="V76" s="22"/>
      <c r="W76" s="22"/>
      <c r="X76" s="22"/>
    </row>
    <row r="77" spans="1:24" ht="14.25" customHeight="1" x14ac:dyDescent="0.3">
      <c r="A77" s="47">
        <v>69</v>
      </c>
      <c r="B77" s="80" t="s">
        <v>737</v>
      </c>
      <c r="C77" s="81" t="s">
        <v>512</v>
      </c>
      <c r="D77" s="82" t="s">
        <v>738</v>
      </c>
      <c r="E77" s="49" t="s">
        <v>689</v>
      </c>
      <c r="F77" s="48" t="s">
        <v>666</v>
      </c>
      <c r="G77" s="23" t="s">
        <v>543</v>
      </c>
      <c r="H77" s="23" t="s">
        <v>164</v>
      </c>
      <c r="I77" s="23" t="s">
        <v>642</v>
      </c>
      <c r="J77" s="50"/>
      <c r="K77" s="50">
        <v>2022</v>
      </c>
      <c r="L77" s="7" t="s">
        <v>739</v>
      </c>
      <c r="M77" s="19"/>
      <c r="N77" s="19"/>
      <c r="O77" s="19"/>
      <c r="P77" s="19"/>
      <c r="Q77" s="19"/>
      <c r="R77" s="19"/>
      <c r="S77" s="19"/>
      <c r="T77" s="19"/>
      <c r="U77" s="19"/>
      <c r="V77" s="19"/>
      <c r="W77" s="19"/>
      <c r="X77" s="19"/>
    </row>
    <row r="78" spans="1:24" ht="14.25" customHeight="1" x14ac:dyDescent="0.3">
      <c r="A78" s="47">
        <v>70</v>
      </c>
      <c r="B78" s="77" t="s">
        <v>740</v>
      </c>
      <c r="C78" s="81" t="s">
        <v>512</v>
      </c>
      <c r="D78" s="77" t="s">
        <v>669</v>
      </c>
      <c r="E78" s="49" t="s">
        <v>703</v>
      </c>
      <c r="F78" s="48" t="s">
        <v>666</v>
      </c>
      <c r="G78" s="55" t="s">
        <v>151</v>
      </c>
      <c r="H78" s="55" t="s">
        <v>655</v>
      </c>
      <c r="I78" s="55" t="s">
        <v>366</v>
      </c>
      <c r="J78" s="50" t="s">
        <v>741</v>
      </c>
      <c r="K78" s="50">
        <v>2022</v>
      </c>
      <c r="L78" s="7" t="s">
        <v>742</v>
      </c>
      <c r="M78" s="19"/>
      <c r="N78" s="19"/>
      <c r="O78" s="19"/>
      <c r="P78" s="19"/>
      <c r="Q78" s="19"/>
      <c r="R78" s="19"/>
      <c r="S78" s="19"/>
      <c r="T78" s="19"/>
      <c r="U78" s="19"/>
      <c r="V78" s="19"/>
      <c r="W78" s="19"/>
      <c r="X78" s="19"/>
    </row>
    <row r="79" spans="1:24" ht="14.25" customHeight="1" x14ac:dyDescent="0.3">
      <c r="A79" s="47">
        <v>71</v>
      </c>
      <c r="B79" s="77" t="s">
        <v>743</v>
      </c>
      <c r="C79" s="81" t="s">
        <v>512</v>
      </c>
      <c r="D79" s="77" t="s">
        <v>669</v>
      </c>
      <c r="E79" s="49" t="s">
        <v>703</v>
      </c>
      <c r="F79" s="48" t="s">
        <v>666</v>
      </c>
      <c r="G79" s="55" t="s">
        <v>525</v>
      </c>
      <c r="H79" s="55" t="s">
        <v>164</v>
      </c>
      <c r="I79" s="55"/>
      <c r="J79" s="50" t="s">
        <v>211</v>
      </c>
      <c r="K79" s="50">
        <v>2022</v>
      </c>
      <c r="L79" s="7" t="s">
        <v>744</v>
      </c>
      <c r="M79" s="19"/>
      <c r="N79" s="19"/>
      <c r="O79" s="19"/>
      <c r="P79" s="19"/>
      <c r="Q79" s="19"/>
      <c r="R79" s="19"/>
      <c r="S79" s="19"/>
      <c r="T79" s="19"/>
      <c r="U79" s="19"/>
      <c r="V79" s="19"/>
      <c r="W79" s="19"/>
      <c r="X79" s="19"/>
    </row>
    <row r="80" spans="1:24" ht="14.25" customHeight="1" x14ac:dyDescent="0.3">
      <c r="A80" s="47">
        <v>72</v>
      </c>
      <c r="B80" s="77" t="s">
        <v>745</v>
      </c>
      <c r="C80" s="81" t="s">
        <v>512</v>
      </c>
      <c r="D80" s="82" t="s">
        <v>746</v>
      </c>
      <c r="E80" s="93" t="s">
        <v>747</v>
      </c>
      <c r="F80" s="48" t="s">
        <v>666</v>
      </c>
      <c r="G80" s="55" t="s">
        <v>606</v>
      </c>
      <c r="H80" s="55" t="s">
        <v>607</v>
      </c>
      <c r="I80" s="55" t="s">
        <v>573</v>
      </c>
      <c r="J80" s="94"/>
      <c r="K80" s="50">
        <v>2022</v>
      </c>
      <c r="L80" s="7" t="s">
        <v>748</v>
      </c>
      <c r="M80" s="19"/>
      <c r="N80" s="19"/>
      <c r="O80" s="19"/>
      <c r="P80" s="19"/>
      <c r="Q80" s="19"/>
      <c r="R80" s="19"/>
      <c r="S80" s="19"/>
      <c r="T80" s="19"/>
      <c r="U80" s="19"/>
      <c r="V80" s="19"/>
      <c r="W80" s="19"/>
      <c r="X80" s="19"/>
    </row>
    <row r="81" spans="1:24" ht="14.25" customHeight="1" x14ac:dyDescent="0.3">
      <c r="A81" s="47">
        <v>73</v>
      </c>
      <c r="B81" s="77" t="s">
        <v>749</v>
      </c>
      <c r="C81" s="81" t="s">
        <v>512</v>
      </c>
      <c r="D81" s="82" t="s">
        <v>750</v>
      </c>
      <c r="E81" s="49" t="s">
        <v>751</v>
      </c>
      <c r="F81" s="48" t="s">
        <v>666</v>
      </c>
      <c r="G81" s="55" t="s">
        <v>546</v>
      </c>
      <c r="H81" s="55"/>
      <c r="I81" s="55"/>
      <c r="J81" s="94"/>
      <c r="K81" s="50">
        <v>2022</v>
      </c>
      <c r="L81" s="7" t="s">
        <v>752</v>
      </c>
      <c r="M81" s="19"/>
      <c r="N81" s="19"/>
      <c r="O81" s="19"/>
      <c r="P81" s="19"/>
      <c r="Q81" s="19"/>
      <c r="R81" s="19"/>
      <c r="S81" s="19"/>
      <c r="T81" s="19"/>
      <c r="U81" s="19"/>
      <c r="V81" s="19"/>
      <c r="W81" s="19"/>
      <c r="X81" s="19"/>
    </row>
    <row r="82" spans="1:24" ht="14.25" customHeight="1" x14ac:dyDescent="0.3">
      <c r="A82" s="47">
        <v>74</v>
      </c>
      <c r="B82" s="83" t="s">
        <v>753</v>
      </c>
      <c r="C82" s="81" t="s">
        <v>512</v>
      </c>
      <c r="D82" s="82" t="s">
        <v>754</v>
      </c>
      <c r="E82" s="49" t="s">
        <v>678</v>
      </c>
      <c r="F82" s="48" t="s">
        <v>666</v>
      </c>
      <c r="G82" s="55" t="s">
        <v>543</v>
      </c>
      <c r="H82" s="23" t="s">
        <v>642</v>
      </c>
      <c r="I82" s="55" t="s">
        <v>164</v>
      </c>
      <c r="J82" s="94"/>
      <c r="K82" s="50">
        <v>2022</v>
      </c>
      <c r="L82" s="91" t="s">
        <v>755</v>
      </c>
      <c r="M82" s="19"/>
      <c r="N82" s="19"/>
      <c r="O82" s="19"/>
      <c r="P82" s="19"/>
      <c r="Q82" s="19"/>
      <c r="R82" s="19"/>
      <c r="S82" s="19"/>
      <c r="T82" s="19"/>
      <c r="U82" s="19"/>
      <c r="V82" s="19"/>
      <c r="W82" s="19"/>
      <c r="X82" s="19"/>
    </row>
    <row r="83" spans="1:24" ht="14.25" customHeight="1" x14ac:dyDescent="0.3">
      <c r="A83" s="47">
        <v>75</v>
      </c>
      <c r="B83" s="95" t="s">
        <v>756</v>
      </c>
      <c r="C83" s="96" t="s">
        <v>757</v>
      </c>
      <c r="D83" s="95" t="s">
        <v>758</v>
      </c>
      <c r="E83" s="89" t="s">
        <v>142</v>
      </c>
      <c r="F83" s="50" t="s">
        <v>759</v>
      </c>
      <c r="G83" s="55" t="s">
        <v>398</v>
      </c>
      <c r="H83" s="55" t="s">
        <v>554</v>
      </c>
      <c r="I83" s="55"/>
      <c r="J83" s="50" t="s">
        <v>760</v>
      </c>
      <c r="K83" s="50">
        <v>2020</v>
      </c>
      <c r="L83" s="7" t="s">
        <v>761</v>
      </c>
      <c r="M83" s="19"/>
      <c r="N83" s="19"/>
      <c r="O83" s="19"/>
      <c r="P83" s="19"/>
      <c r="Q83" s="19"/>
      <c r="R83" s="19"/>
      <c r="S83" s="19"/>
      <c r="T83" s="19"/>
      <c r="U83" s="19"/>
      <c r="V83" s="19"/>
      <c r="W83" s="19"/>
      <c r="X83" s="19"/>
    </row>
    <row r="84" spans="1:24" ht="14.25" customHeight="1" x14ac:dyDescent="0.3">
      <c r="A84" s="47">
        <v>76</v>
      </c>
      <c r="B84" s="80" t="s">
        <v>762</v>
      </c>
      <c r="C84" s="96" t="s">
        <v>757</v>
      </c>
      <c r="D84" s="82" t="s">
        <v>758</v>
      </c>
      <c r="E84" s="86" t="s">
        <v>142</v>
      </c>
      <c r="F84" s="50" t="s">
        <v>759</v>
      </c>
      <c r="G84" s="55" t="s">
        <v>151</v>
      </c>
      <c r="H84" s="55" t="s">
        <v>164</v>
      </c>
      <c r="I84" s="55" t="s">
        <v>366</v>
      </c>
      <c r="J84" s="94"/>
      <c r="K84" s="50">
        <v>2020</v>
      </c>
      <c r="L84" s="7" t="s">
        <v>763</v>
      </c>
      <c r="M84" s="19"/>
      <c r="N84" s="19"/>
      <c r="O84" s="19"/>
      <c r="P84" s="19"/>
      <c r="Q84" s="19"/>
      <c r="R84" s="19"/>
      <c r="S84" s="19"/>
      <c r="T84" s="19"/>
      <c r="U84" s="19"/>
      <c r="V84" s="19"/>
      <c r="W84" s="19"/>
      <c r="X84" s="19"/>
    </row>
    <row r="85" spans="1:24" ht="14.25" customHeight="1" x14ac:dyDescent="0.3">
      <c r="A85" s="47">
        <v>77</v>
      </c>
      <c r="B85" s="80" t="s">
        <v>764</v>
      </c>
      <c r="C85" s="78" t="s">
        <v>757</v>
      </c>
      <c r="D85" s="82" t="s">
        <v>758</v>
      </c>
      <c r="E85" s="86" t="s">
        <v>142</v>
      </c>
      <c r="F85" s="50" t="s">
        <v>759</v>
      </c>
      <c r="G85" s="55" t="s">
        <v>546</v>
      </c>
      <c r="H85" s="55" t="s">
        <v>633</v>
      </c>
      <c r="I85" s="55" t="s">
        <v>356</v>
      </c>
      <c r="J85" s="94"/>
      <c r="K85" s="50">
        <v>2020</v>
      </c>
      <c r="L85" s="7" t="s">
        <v>765</v>
      </c>
      <c r="M85" s="19"/>
      <c r="N85" s="19"/>
      <c r="O85" s="19"/>
      <c r="P85" s="19"/>
      <c r="Q85" s="19"/>
      <c r="R85" s="19"/>
      <c r="S85" s="19"/>
      <c r="T85" s="19"/>
      <c r="U85" s="19"/>
      <c r="V85" s="19"/>
      <c r="W85" s="19"/>
      <c r="X85" s="19"/>
    </row>
    <row r="86" spans="1:24" ht="14.25" customHeight="1" x14ac:dyDescent="0.3">
      <c r="A86" s="47">
        <v>78</v>
      </c>
      <c r="B86" s="80" t="s">
        <v>766</v>
      </c>
      <c r="C86" s="78" t="s">
        <v>757</v>
      </c>
      <c r="D86" s="82" t="s">
        <v>758</v>
      </c>
      <c r="E86" s="86" t="s">
        <v>142</v>
      </c>
      <c r="F86" s="50" t="s">
        <v>759</v>
      </c>
      <c r="G86" s="55" t="s">
        <v>529</v>
      </c>
      <c r="H86" s="55" t="s">
        <v>633</v>
      </c>
      <c r="I86" s="55"/>
      <c r="J86" s="94"/>
      <c r="K86" s="50">
        <v>2020</v>
      </c>
      <c r="L86" s="7" t="s">
        <v>767</v>
      </c>
      <c r="M86" s="19"/>
      <c r="N86" s="19"/>
      <c r="O86" s="19"/>
      <c r="P86" s="19"/>
      <c r="Q86" s="19"/>
      <c r="R86" s="19"/>
      <c r="S86" s="19"/>
      <c r="T86" s="19"/>
      <c r="U86" s="19"/>
      <c r="V86" s="19"/>
      <c r="W86" s="19"/>
      <c r="X86" s="19"/>
    </row>
    <row r="87" spans="1:24" ht="14.25" customHeight="1" x14ac:dyDescent="0.3">
      <c r="A87" s="47">
        <v>79</v>
      </c>
      <c r="B87" s="80" t="s">
        <v>768</v>
      </c>
      <c r="C87" s="78" t="s">
        <v>757</v>
      </c>
      <c r="D87" s="82" t="s">
        <v>758</v>
      </c>
      <c r="E87" s="86" t="s">
        <v>142</v>
      </c>
      <c r="F87" s="50" t="s">
        <v>759</v>
      </c>
      <c r="G87" s="55" t="s">
        <v>91</v>
      </c>
      <c r="H87" s="55"/>
      <c r="I87" s="55"/>
      <c r="J87" s="50" t="s">
        <v>769</v>
      </c>
      <c r="K87" s="50">
        <v>2020</v>
      </c>
      <c r="L87" s="7" t="s">
        <v>770</v>
      </c>
      <c r="M87" s="19"/>
      <c r="N87" s="19"/>
      <c r="O87" s="19"/>
      <c r="P87" s="19"/>
      <c r="Q87" s="19"/>
      <c r="R87" s="19"/>
      <c r="S87" s="19"/>
      <c r="T87" s="19"/>
      <c r="U87" s="19"/>
      <c r="V87" s="19"/>
      <c r="W87" s="19"/>
      <c r="X87" s="19"/>
    </row>
    <row r="88" spans="1:24" ht="14.25" customHeight="1" x14ac:dyDescent="0.3">
      <c r="A88" s="47">
        <v>80</v>
      </c>
      <c r="B88" s="83" t="s">
        <v>771</v>
      </c>
      <c r="C88" s="78" t="s">
        <v>772</v>
      </c>
      <c r="D88" s="82" t="s">
        <v>773</v>
      </c>
      <c r="E88" s="88" t="s">
        <v>142</v>
      </c>
      <c r="F88" s="50" t="s">
        <v>759</v>
      </c>
      <c r="G88" s="55" t="s">
        <v>415</v>
      </c>
      <c r="H88" s="55" t="s">
        <v>572</v>
      </c>
      <c r="I88" s="55"/>
      <c r="J88" s="50" t="s">
        <v>630</v>
      </c>
      <c r="K88" s="50">
        <v>2021</v>
      </c>
      <c r="L88" s="7" t="s">
        <v>774</v>
      </c>
      <c r="M88" s="19"/>
      <c r="N88" s="19"/>
      <c r="O88" s="19"/>
      <c r="P88" s="19"/>
      <c r="Q88" s="19"/>
      <c r="R88" s="19"/>
      <c r="S88" s="19"/>
      <c r="T88" s="19"/>
      <c r="U88" s="19"/>
      <c r="V88" s="19"/>
      <c r="W88" s="19"/>
      <c r="X88" s="19"/>
    </row>
    <row r="89" spans="1:24" ht="14.25" customHeight="1" x14ac:dyDescent="0.3">
      <c r="A89" s="47">
        <v>81</v>
      </c>
      <c r="B89" s="80" t="s">
        <v>775</v>
      </c>
      <c r="C89" s="78" t="s">
        <v>757</v>
      </c>
      <c r="D89" s="82" t="s">
        <v>776</v>
      </c>
      <c r="E89" s="86" t="s">
        <v>142</v>
      </c>
      <c r="F89" s="50" t="s">
        <v>759</v>
      </c>
      <c r="G89" s="55" t="s">
        <v>606</v>
      </c>
      <c r="H89" s="55" t="s">
        <v>607</v>
      </c>
      <c r="I89" s="55" t="s">
        <v>366</v>
      </c>
      <c r="J89" s="50" t="s">
        <v>777</v>
      </c>
      <c r="K89" s="50">
        <v>2021</v>
      </c>
      <c r="L89" s="7" t="s">
        <v>778</v>
      </c>
      <c r="M89" s="19"/>
      <c r="N89" s="19"/>
      <c r="O89" s="19"/>
      <c r="P89" s="19"/>
      <c r="Q89" s="19"/>
      <c r="R89" s="19"/>
      <c r="S89" s="19"/>
      <c r="T89" s="19"/>
      <c r="U89" s="19"/>
      <c r="V89" s="19"/>
      <c r="W89" s="19"/>
      <c r="X89" s="19"/>
    </row>
    <row r="90" spans="1:24" ht="14.25" customHeight="1" x14ac:dyDescent="0.3">
      <c r="A90" s="47">
        <v>82</v>
      </c>
      <c r="B90" s="97" t="s">
        <v>779</v>
      </c>
      <c r="C90" s="88" t="s">
        <v>772</v>
      </c>
      <c r="D90" s="87" t="s">
        <v>780</v>
      </c>
      <c r="E90" s="86" t="s">
        <v>142</v>
      </c>
      <c r="F90" s="65" t="s">
        <v>759</v>
      </c>
      <c r="G90" s="64" t="s">
        <v>366</v>
      </c>
      <c r="H90" s="64"/>
      <c r="I90" s="64"/>
      <c r="J90" s="65"/>
      <c r="K90" s="65">
        <v>2021</v>
      </c>
      <c r="L90" s="7" t="s">
        <v>781</v>
      </c>
      <c r="M90" s="19"/>
      <c r="N90" s="19"/>
      <c r="O90" s="19"/>
      <c r="P90" s="19"/>
      <c r="Q90" s="19"/>
      <c r="R90" s="19"/>
      <c r="S90" s="19"/>
      <c r="T90" s="19"/>
      <c r="U90" s="19"/>
      <c r="V90" s="19"/>
      <c r="W90" s="19"/>
      <c r="X90" s="19"/>
    </row>
    <row r="91" spans="1:24" ht="14.25" customHeight="1" x14ac:dyDescent="0.3">
      <c r="A91" s="47">
        <v>83</v>
      </c>
      <c r="B91" s="97" t="s">
        <v>782</v>
      </c>
      <c r="C91" s="88" t="s">
        <v>772</v>
      </c>
      <c r="D91" s="87" t="s">
        <v>780</v>
      </c>
      <c r="E91" s="86" t="s">
        <v>142</v>
      </c>
      <c r="F91" s="65" t="s">
        <v>759</v>
      </c>
      <c r="G91" s="64" t="s">
        <v>606</v>
      </c>
      <c r="H91" s="64" t="s">
        <v>366</v>
      </c>
      <c r="I91" s="64"/>
      <c r="J91" s="65"/>
      <c r="K91" s="65">
        <v>2021</v>
      </c>
      <c r="L91" s="7" t="s">
        <v>783</v>
      </c>
      <c r="M91" s="19"/>
      <c r="N91" s="19"/>
      <c r="O91" s="19"/>
      <c r="P91" s="19"/>
      <c r="Q91" s="19"/>
      <c r="R91" s="19"/>
      <c r="S91" s="19"/>
      <c r="T91" s="19"/>
      <c r="U91" s="19"/>
      <c r="V91" s="19"/>
      <c r="W91" s="19"/>
      <c r="X91" s="19"/>
    </row>
    <row r="92" spans="1:24" ht="14.25" customHeight="1" x14ac:dyDescent="0.3">
      <c r="A92" s="47">
        <v>84</v>
      </c>
      <c r="B92" s="97" t="s">
        <v>784</v>
      </c>
      <c r="C92" s="88" t="s">
        <v>772</v>
      </c>
      <c r="D92" s="87" t="s">
        <v>780</v>
      </c>
      <c r="E92" s="88" t="s">
        <v>142</v>
      </c>
      <c r="F92" s="65" t="s">
        <v>759</v>
      </c>
      <c r="G92" s="64" t="s">
        <v>91</v>
      </c>
      <c r="H92" s="64"/>
      <c r="I92" s="64"/>
      <c r="J92" s="65"/>
      <c r="K92" s="65">
        <v>2021</v>
      </c>
      <c r="L92" s="7" t="s">
        <v>785</v>
      </c>
      <c r="M92" s="19"/>
      <c r="N92" s="19"/>
      <c r="O92" s="19"/>
      <c r="P92" s="19"/>
      <c r="Q92" s="19"/>
      <c r="R92" s="19"/>
      <c r="S92" s="19"/>
      <c r="T92" s="19"/>
      <c r="U92" s="19"/>
      <c r="V92" s="19"/>
      <c r="W92" s="19"/>
      <c r="X92" s="19"/>
    </row>
    <row r="93" spans="1:24" ht="14.25" customHeight="1" x14ac:dyDescent="0.3">
      <c r="A93" s="47">
        <v>85</v>
      </c>
      <c r="B93" s="97" t="s">
        <v>786</v>
      </c>
      <c r="C93" s="88" t="s">
        <v>772</v>
      </c>
      <c r="D93" s="87" t="s">
        <v>780</v>
      </c>
      <c r="E93" s="88" t="s">
        <v>142</v>
      </c>
      <c r="F93" s="65" t="s">
        <v>759</v>
      </c>
      <c r="G93" s="64" t="s">
        <v>91</v>
      </c>
      <c r="H93" s="64"/>
      <c r="I93" s="64"/>
      <c r="J93" s="65"/>
      <c r="K93" s="65">
        <v>2021</v>
      </c>
      <c r="L93" s="7" t="s">
        <v>787</v>
      </c>
      <c r="M93" s="19"/>
      <c r="N93" s="19"/>
      <c r="O93" s="19"/>
      <c r="P93" s="19"/>
      <c r="Q93" s="19"/>
      <c r="R93" s="19"/>
      <c r="S93" s="19"/>
      <c r="T93" s="19"/>
      <c r="U93" s="19"/>
      <c r="V93" s="19"/>
      <c r="W93" s="19"/>
      <c r="X93" s="19"/>
    </row>
    <row r="94" spans="1:24" ht="14.25" customHeight="1" x14ac:dyDescent="0.3">
      <c r="A94" s="47">
        <v>86</v>
      </c>
      <c r="B94" s="77" t="s">
        <v>788</v>
      </c>
      <c r="C94" s="98" t="s">
        <v>772</v>
      </c>
      <c r="D94" s="77" t="s">
        <v>789</v>
      </c>
      <c r="E94" s="88"/>
      <c r="F94" s="50" t="s">
        <v>790</v>
      </c>
      <c r="G94" s="55" t="s">
        <v>554</v>
      </c>
      <c r="H94" s="55" t="s">
        <v>539</v>
      </c>
      <c r="I94" s="55"/>
      <c r="J94" s="50" t="s">
        <v>791</v>
      </c>
      <c r="K94" s="50">
        <v>2020</v>
      </c>
      <c r="L94" s="91" t="s">
        <v>792</v>
      </c>
      <c r="M94" s="19"/>
      <c r="N94" s="19"/>
      <c r="O94" s="19"/>
      <c r="P94" s="19"/>
      <c r="Q94" s="19"/>
      <c r="R94" s="19"/>
      <c r="S94" s="19"/>
      <c r="T94" s="19"/>
      <c r="U94" s="19"/>
      <c r="V94" s="19"/>
      <c r="W94" s="19"/>
      <c r="X94" s="19"/>
    </row>
    <row r="95" spans="1:24" ht="14.25" customHeight="1" x14ac:dyDescent="0.3">
      <c r="A95" s="47">
        <v>87</v>
      </c>
      <c r="B95" s="77" t="s">
        <v>793</v>
      </c>
      <c r="C95" s="98" t="s">
        <v>772</v>
      </c>
      <c r="D95" s="82" t="s">
        <v>794</v>
      </c>
      <c r="E95" s="88" t="s">
        <v>795</v>
      </c>
      <c r="F95" s="50" t="s">
        <v>790</v>
      </c>
      <c r="G95" s="55" t="s">
        <v>543</v>
      </c>
      <c r="H95" s="55" t="s">
        <v>164</v>
      </c>
      <c r="I95" s="55" t="s">
        <v>642</v>
      </c>
      <c r="J95" s="50"/>
      <c r="K95" s="50">
        <v>2020</v>
      </c>
      <c r="L95" s="7" t="s">
        <v>796</v>
      </c>
      <c r="M95" s="19"/>
      <c r="N95" s="19"/>
      <c r="O95" s="19"/>
      <c r="P95" s="19"/>
      <c r="Q95" s="19"/>
      <c r="R95" s="19"/>
      <c r="S95" s="19"/>
      <c r="T95" s="19"/>
      <c r="U95" s="19"/>
      <c r="V95" s="19"/>
      <c r="W95" s="19"/>
      <c r="X95" s="19"/>
    </row>
    <row r="96" spans="1:24" ht="14.25" customHeight="1" x14ac:dyDescent="0.3">
      <c r="A96" s="47">
        <v>88</v>
      </c>
      <c r="B96" s="75" t="s">
        <v>797</v>
      </c>
      <c r="C96" s="98" t="s">
        <v>772</v>
      </c>
      <c r="D96" s="82" t="s">
        <v>798</v>
      </c>
      <c r="E96" s="88" t="s">
        <v>142</v>
      </c>
      <c r="F96" s="50" t="s">
        <v>790</v>
      </c>
      <c r="G96" s="55" t="s">
        <v>398</v>
      </c>
      <c r="H96" s="55" t="s">
        <v>532</v>
      </c>
      <c r="I96" s="55" t="s">
        <v>356</v>
      </c>
      <c r="J96" s="50"/>
      <c r="K96" s="50">
        <v>2020</v>
      </c>
      <c r="L96" s="7" t="s">
        <v>799</v>
      </c>
      <c r="M96" s="19"/>
      <c r="N96" s="19"/>
      <c r="O96" s="19"/>
      <c r="P96" s="19"/>
      <c r="Q96" s="19"/>
      <c r="R96" s="19"/>
      <c r="S96" s="19"/>
      <c r="T96" s="19"/>
      <c r="U96" s="19"/>
      <c r="V96" s="19"/>
      <c r="W96" s="19"/>
      <c r="X96" s="19"/>
    </row>
    <row r="97" spans="1:24" ht="14.25" customHeight="1" x14ac:dyDescent="0.3">
      <c r="A97" s="47">
        <v>89</v>
      </c>
      <c r="B97" s="77" t="s">
        <v>800</v>
      </c>
      <c r="C97" s="98" t="s">
        <v>772</v>
      </c>
      <c r="D97" s="82" t="s">
        <v>798</v>
      </c>
      <c r="E97" s="88" t="s">
        <v>142</v>
      </c>
      <c r="F97" s="50" t="s">
        <v>790</v>
      </c>
      <c r="G97" s="55" t="s">
        <v>356</v>
      </c>
      <c r="H97" s="55" t="s">
        <v>627</v>
      </c>
      <c r="I97" s="55" t="s">
        <v>533</v>
      </c>
      <c r="J97" s="50"/>
      <c r="K97" s="50">
        <v>2020</v>
      </c>
      <c r="L97" s="7" t="s">
        <v>801</v>
      </c>
      <c r="M97" s="19"/>
      <c r="N97" s="19"/>
      <c r="O97" s="19"/>
      <c r="P97" s="19"/>
      <c r="Q97" s="19"/>
      <c r="R97" s="19"/>
      <c r="S97" s="19"/>
      <c r="T97" s="19"/>
      <c r="U97" s="19"/>
      <c r="V97" s="19"/>
      <c r="W97" s="19"/>
      <c r="X97" s="19"/>
    </row>
    <row r="98" spans="1:24" ht="14.25" customHeight="1" x14ac:dyDescent="0.3">
      <c r="A98" s="47">
        <v>90</v>
      </c>
      <c r="B98" s="77" t="s">
        <v>802</v>
      </c>
      <c r="C98" s="98" t="s">
        <v>772</v>
      </c>
      <c r="D98" s="82" t="s">
        <v>794</v>
      </c>
      <c r="E98" s="88" t="s">
        <v>795</v>
      </c>
      <c r="F98" s="50" t="s">
        <v>790</v>
      </c>
      <c r="G98" s="55" t="s">
        <v>633</v>
      </c>
      <c r="H98" s="55" t="s">
        <v>356</v>
      </c>
      <c r="I98" s="55"/>
      <c r="J98" s="50" t="s">
        <v>803</v>
      </c>
      <c r="K98" s="50">
        <v>2020</v>
      </c>
      <c r="L98" s="7" t="s">
        <v>804</v>
      </c>
      <c r="M98" s="19"/>
      <c r="N98" s="19"/>
      <c r="O98" s="19"/>
      <c r="P98" s="19"/>
      <c r="Q98" s="19"/>
      <c r="R98" s="19"/>
      <c r="S98" s="19"/>
      <c r="T98" s="19"/>
      <c r="U98" s="19"/>
      <c r="V98" s="19"/>
      <c r="W98" s="19"/>
      <c r="X98" s="19"/>
    </row>
    <row r="99" spans="1:24" ht="14.25" customHeight="1" x14ac:dyDescent="0.3">
      <c r="A99" s="47">
        <v>91</v>
      </c>
      <c r="B99" s="75" t="s">
        <v>805</v>
      </c>
      <c r="C99" s="98" t="s">
        <v>772</v>
      </c>
      <c r="D99" s="82" t="s">
        <v>794</v>
      </c>
      <c r="E99" s="88" t="s">
        <v>795</v>
      </c>
      <c r="F99" s="50" t="s">
        <v>790</v>
      </c>
      <c r="G99" s="55" t="s">
        <v>356</v>
      </c>
      <c r="H99" s="55" t="s">
        <v>398</v>
      </c>
      <c r="I99" s="55"/>
      <c r="J99" s="50"/>
      <c r="K99" s="50">
        <v>2020</v>
      </c>
      <c r="L99" s="7" t="s">
        <v>806</v>
      </c>
      <c r="M99" s="19"/>
      <c r="N99" s="19"/>
      <c r="O99" s="19"/>
      <c r="P99" s="19"/>
      <c r="Q99" s="19"/>
      <c r="R99" s="19"/>
      <c r="S99" s="19"/>
      <c r="T99" s="19"/>
      <c r="U99" s="19"/>
      <c r="V99" s="19"/>
      <c r="W99" s="19"/>
      <c r="X99" s="19"/>
    </row>
    <row r="100" spans="1:24" ht="14.25" customHeight="1" x14ac:dyDescent="0.3">
      <c r="A100" s="47">
        <v>92</v>
      </c>
      <c r="B100" s="75" t="s">
        <v>807</v>
      </c>
      <c r="C100" s="98" t="s">
        <v>772</v>
      </c>
      <c r="D100" s="82" t="s">
        <v>794</v>
      </c>
      <c r="E100" s="88" t="s">
        <v>795</v>
      </c>
      <c r="F100" s="50" t="s">
        <v>790</v>
      </c>
      <c r="G100" s="55" t="s">
        <v>554</v>
      </c>
      <c r="H100" s="55" t="s">
        <v>539</v>
      </c>
      <c r="I100" s="55" t="s">
        <v>356</v>
      </c>
      <c r="J100" s="50"/>
      <c r="K100" s="50">
        <v>2020</v>
      </c>
      <c r="L100" s="7" t="s">
        <v>808</v>
      </c>
      <c r="M100" s="19"/>
      <c r="N100" s="19"/>
      <c r="O100" s="19"/>
      <c r="P100" s="19"/>
      <c r="Q100" s="19"/>
      <c r="R100" s="19"/>
      <c r="S100" s="19"/>
      <c r="T100" s="19"/>
      <c r="U100" s="19"/>
      <c r="V100" s="19"/>
      <c r="W100" s="19"/>
      <c r="X100" s="19"/>
    </row>
    <row r="101" spans="1:24" ht="14.25" customHeight="1" x14ac:dyDescent="0.3">
      <c r="A101" s="47">
        <v>93</v>
      </c>
      <c r="B101" s="75" t="s">
        <v>809</v>
      </c>
      <c r="C101" s="98" t="s">
        <v>772</v>
      </c>
      <c r="D101" s="82" t="s">
        <v>798</v>
      </c>
      <c r="E101" s="88" t="s">
        <v>142</v>
      </c>
      <c r="F101" s="50" t="s">
        <v>790</v>
      </c>
      <c r="G101" s="55" t="s">
        <v>151</v>
      </c>
      <c r="H101" s="55" t="s">
        <v>164</v>
      </c>
      <c r="I101" s="55" t="s">
        <v>366</v>
      </c>
      <c r="J101" s="50" t="s">
        <v>165</v>
      </c>
      <c r="K101" s="50">
        <v>2020</v>
      </c>
      <c r="L101" s="7" t="s">
        <v>810</v>
      </c>
      <c r="M101" s="19"/>
      <c r="N101" s="19"/>
      <c r="O101" s="19"/>
      <c r="P101" s="19"/>
      <c r="Q101" s="19"/>
      <c r="R101" s="19"/>
      <c r="S101" s="19"/>
      <c r="T101" s="19"/>
      <c r="U101" s="19"/>
      <c r="V101" s="19"/>
      <c r="W101" s="19"/>
      <c r="X101" s="19"/>
    </row>
    <row r="102" spans="1:24" ht="14.25" customHeight="1" x14ac:dyDescent="0.3">
      <c r="A102" s="47">
        <v>94</v>
      </c>
      <c r="B102" s="75" t="s">
        <v>811</v>
      </c>
      <c r="C102" s="98" t="s">
        <v>772</v>
      </c>
      <c r="D102" s="82" t="s">
        <v>794</v>
      </c>
      <c r="E102" s="88" t="s">
        <v>795</v>
      </c>
      <c r="F102" s="50" t="s">
        <v>790</v>
      </c>
      <c r="G102" s="55" t="s">
        <v>151</v>
      </c>
      <c r="H102" s="55" t="s">
        <v>525</v>
      </c>
      <c r="I102" s="55"/>
      <c r="J102" s="50" t="s">
        <v>812</v>
      </c>
      <c r="K102" s="50">
        <v>2020</v>
      </c>
      <c r="L102" s="7" t="s">
        <v>813</v>
      </c>
      <c r="M102" s="19"/>
      <c r="N102" s="19"/>
      <c r="O102" s="19"/>
      <c r="P102" s="19"/>
      <c r="Q102" s="19"/>
      <c r="R102" s="19"/>
      <c r="S102" s="19"/>
      <c r="T102" s="19"/>
      <c r="U102" s="19"/>
      <c r="V102" s="19"/>
      <c r="W102" s="19"/>
      <c r="X102" s="19"/>
    </row>
    <row r="103" spans="1:24" ht="14.25" customHeight="1" x14ac:dyDescent="0.3">
      <c r="A103" s="47">
        <v>95</v>
      </c>
      <c r="B103" s="75" t="s">
        <v>814</v>
      </c>
      <c r="C103" s="98" t="s">
        <v>772</v>
      </c>
      <c r="D103" s="82" t="s">
        <v>815</v>
      </c>
      <c r="E103" s="88" t="s">
        <v>142</v>
      </c>
      <c r="F103" s="50" t="s">
        <v>790</v>
      </c>
      <c r="G103" s="55" t="s">
        <v>525</v>
      </c>
      <c r="H103" s="55" t="s">
        <v>627</v>
      </c>
      <c r="I103" s="55" t="s">
        <v>539</v>
      </c>
      <c r="J103" s="50" t="s">
        <v>602</v>
      </c>
      <c r="K103" s="50">
        <v>2020</v>
      </c>
      <c r="L103" s="7" t="s">
        <v>816</v>
      </c>
      <c r="M103" s="19"/>
      <c r="N103" s="19"/>
      <c r="O103" s="19"/>
      <c r="P103" s="19"/>
      <c r="Q103" s="19"/>
      <c r="R103" s="19"/>
      <c r="S103" s="19"/>
      <c r="T103" s="19"/>
      <c r="U103" s="19"/>
      <c r="V103" s="19"/>
      <c r="W103" s="19"/>
      <c r="X103" s="19"/>
    </row>
    <row r="104" spans="1:24" ht="14.25" customHeight="1" x14ac:dyDescent="0.3">
      <c r="A104" s="47">
        <v>96</v>
      </c>
      <c r="B104" s="75" t="s">
        <v>817</v>
      </c>
      <c r="C104" s="98" t="s">
        <v>772</v>
      </c>
      <c r="D104" s="82" t="s">
        <v>794</v>
      </c>
      <c r="E104" s="88" t="s">
        <v>795</v>
      </c>
      <c r="F104" s="50" t="s">
        <v>790</v>
      </c>
      <c r="G104" s="55" t="s">
        <v>525</v>
      </c>
      <c r="H104" s="55"/>
      <c r="I104" s="55"/>
      <c r="J104" s="50"/>
      <c r="K104" s="50">
        <v>2020</v>
      </c>
      <c r="L104" s="7" t="s">
        <v>818</v>
      </c>
      <c r="M104" s="19"/>
      <c r="N104" s="19"/>
      <c r="O104" s="19"/>
      <c r="P104" s="19"/>
      <c r="Q104" s="19"/>
      <c r="R104" s="19"/>
      <c r="S104" s="19"/>
      <c r="T104" s="19"/>
      <c r="U104" s="19"/>
      <c r="V104" s="19"/>
      <c r="W104" s="19"/>
      <c r="X104" s="19"/>
    </row>
    <row r="105" spans="1:24" ht="14.25" customHeight="1" x14ac:dyDescent="0.3">
      <c r="A105" s="47">
        <v>97</v>
      </c>
      <c r="B105" s="75" t="s">
        <v>819</v>
      </c>
      <c r="C105" s="98" t="s">
        <v>772</v>
      </c>
      <c r="D105" s="82" t="s">
        <v>794</v>
      </c>
      <c r="E105" s="88" t="s">
        <v>795</v>
      </c>
      <c r="F105" s="50" t="s">
        <v>790</v>
      </c>
      <c r="G105" s="55" t="s">
        <v>525</v>
      </c>
      <c r="H105" s="55" t="s">
        <v>820</v>
      </c>
      <c r="I105" s="55" t="s">
        <v>821</v>
      </c>
      <c r="J105" s="50"/>
      <c r="K105" s="50">
        <v>2020</v>
      </c>
      <c r="L105" s="7" t="s">
        <v>822</v>
      </c>
      <c r="M105" s="19"/>
      <c r="N105" s="19"/>
      <c r="O105" s="19"/>
      <c r="P105" s="19"/>
      <c r="Q105" s="19"/>
      <c r="R105" s="19"/>
      <c r="S105" s="19"/>
      <c r="T105" s="19"/>
      <c r="U105" s="19"/>
      <c r="V105" s="19"/>
      <c r="W105" s="19"/>
      <c r="X105" s="19"/>
    </row>
    <row r="106" spans="1:24" ht="14.25" customHeight="1" x14ac:dyDescent="0.3">
      <c r="A106" s="47">
        <v>98</v>
      </c>
      <c r="B106" s="75" t="s">
        <v>823</v>
      </c>
      <c r="C106" s="98" t="s">
        <v>772</v>
      </c>
      <c r="D106" s="82" t="s">
        <v>794</v>
      </c>
      <c r="E106" s="88" t="s">
        <v>795</v>
      </c>
      <c r="F106" s="50" t="s">
        <v>790</v>
      </c>
      <c r="G106" s="55" t="s">
        <v>525</v>
      </c>
      <c r="H106" s="55"/>
      <c r="I106" s="55"/>
      <c r="J106" s="50"/>
      <c r="K106" s="50">
        <v>2020</v>
      </c>
      <c r="L106" s="7" t="s">
        <v>824</v>
      </c>
      <c r="M106" s="19"/>
      <c r="N106" s="19"/>
      <c r="O106" s="19"/>
      <c r="P106" s="19"/>
      <c r="Q106" s="19"/>
      <c r="R106" s="19"/>
      <c r="S106" s="19"/>
      <c r="T106" s="19"/>
      <c r="U106" s="19"/>
      <c r="V106" s="19"/>
      <c r="W106" s="19"/>
      <c r="X106" s="19"/>
    </row>
    <row r="107" spans="1:24" ht="14.25" customHeight="1" x14ac:dyDescent="0.3">
      <c r="A107" s="47">
        <v>99</v>
      </c>
      <c r="B107" s="75" t="s">
        <v>825</v>
      </c>
      <c r="C107" s="98" t="s">
        <v>772</v>
      </c>
      <c r="D107" s="82" t="s">
        <v>794</v>
      </c>
      <c r="E107" s="88" t="s">
        <v>795</v>
      </c>
      <c r="F107" s="50" t="s">
        <v>790</v>
      </c>
      <c r="G107" s="55" t="s">
        <v>525</v>
      </c>
      <c r="H107" s="55"/>
      <c r="I107" s="55"/>
      <c r="J107" s="50"/>
      <c r="K107" s="50">
        <v>2020</v>
      </c>
      <c r="L107" s="7" t="s">
        <v>826</v>
      </c>
      <c r="M107" s="19"/>
      <c r="N107" s="19"/>
      <c r="O107" s="19"/>
      <c r="P107" s="19"/>
      <c r="Q107" s="19"/>
      <c r="R107" s="19"/>
      <c r="S107" s="19"/>
      <c r="T107" s="19"/>
      <c r="U107" s="19"/>
      <c r="V107" s="19"/>
      <c r="W107" s="19"/>
      <c r="X107" s="19"/>
    </row>
    <row r="108" spans="1:24" ht="14.25" customHeight="1" x14ac:dyDescent="0.3">
      <c r="A108" s="47">
        <v>100</v>
      </c>
      <c r="B108" s="75" t="s">
        <v>827</v>
      </c>
      <c r="C108" s="98" t="s">
        <v>772</v>
      </c>
      <c r="D108" s="82" t="s">
        <v>794</v>
      </c>
      <c r="E108" s="88" t="s">
        <v>795</v>
      </c>
      <c r="F108" s="50" t="s">
        <v>790</v>
      </c>
      <c r="G108" s="55" t="s">
        <v>529</v>
      </c>
      <c r="H108" s="55"/>
      <c r="I108" s="55"/>
      <c r="J108" s="50"/>
      <c r="K108" s="50">
        <v>2020</v>
      </c>
      <c r="L108" s="7" t="s">
        <v>828</v>
      </c>
      <c r="M108" s="19"/>
      <c r="N108" s="19"/>
      <c r="O108" s="19"/>
      <c r="P108" s="19"/>
      <c r="Q108" s="19"/>
      <c r="R108" s="19"/>
      <c r="S108" s="19"/>
      <c r="T108" s="19"/>
      <c r="U108" s="19"/>
      <c r="V108" s="19"/>
      <c r="W108" s="19"/>
      <c r="X108" s="19"/>
    </row>
    <row r="109" spans="1:24" ht="14.25" customHeight="1" x14ac:dyDescent="0.3">
      <c r="A109" s="47">
        <v>101</v>
      </c>
      <c r="B109" s="75" t="s">
        <v>829</v>
      </c>
      <c r="C109" s="98" t="s">
        <v>772</v>
      </c>
      <c r="D109" s="82" t="s">
        <v>794</v>
      </c>
      <c r="E109" s="88" t="s">
        <v>795</v>
      </c>
      <c r="F109" s="50" t="s">
        <v>790</v>
      </c>
      <c r="G109" s="55" t="s">
        <v>529</v>
      </c>
      <c r="H109" s="55"/>
      <c r="I109" s="55"/>
      <c r="J109" s="50"/>
      <c r="K109" s="50">
        <v>2020</v>
      </c>
      <c r="L109" s="7" t="s">
        <v>830</v>
      </c>
      <c r="M109" s="19"/>
      <c r="N109" s="19"/>
      <c r="O109" s="19"/>
      <c r="P109" s="19"/>
      <c r="Q109" s="19"/>
      <c r="R109" s="19"/>
      <c r="S109" s="19"/>
      <c r="T109" s="19"/>
      <c r="U109" s="19"/>
      <c r="V109" s="19"/>
      <c r="W109" s="19"/>
      <c r="X109" s="19"/>
    </row>
    <row r="110" spans="1:24" ht="14.25" customHeight="1" x14ac:dyDescent="0.3">
      <c r="A110" s="47">
        <v>102</v>
      </c>
      <c r="B110" s="75" t="s">
        <v>831</v>
      </c>
      <c r="C110" s="98" t="s">
        <v>772</v>
      </c>
      <c r="D110" s="82" t="s">
        <v>794</v>
      </c>
      <c r="E110" s="88" t="s">
        <v>795</v>
      </c>
      <c r="F110" s="50" t="s">
        <v>790</v>
      </c>
      <c r="G110" s="55" t="s">
        <v>529</v>
      </c>
      <c r="H110" s="55"/>
      <c r="I110" s="55"/>
      <c r="J110" s="50"/>
      <c r="K110" s="50">
        <v>2020</v>
      </c>
      <c r="L110" s="7" t="s">
        <v>832</v>
      </c>
      <c r="M110" s="19"/>
      <c r="N110" s="19"/>
      <c r="O110" s="19"/>
      <c r="P110" s="19"/>
      <c r="Q110" s="19"/>
      <c r="R110" s="19"/>
      <c r="S110" s="19"/>
      <c r="T110" s="19"/>
      <c r="U110" s="19"/>
      <c r="V110" s="19"/>
      <c r="W110" s="19"/>
      <c r="X110" s="19"/>
    </row>
    <row r="111" spans="1:24" ht="14.25" customHeight="1" x14ac:dyDescent="0.3">
      <c r="A111" s="47">
        <v>103</v>
      </c>
      <c r="B111" s="75" t="s">
        <v>833</v>
      </c>
      <c r="C111" s="98" t="s">
        <v>772</v>
      </c>
      <c r="D111" s="82" t="s">
        <v>794</v>
      </c>
      <c r="E111" s="88" t="s">
        <v>795</v>
      </c>
      <c r="F111" s="50" t="s">
        <v>790</v>
      </c>
      <c r="G111" s="55" t="s">
        <v>606</v>
      </c>
      <c r="H111" s="55" t="s">
        <v>607</v>
      </c>
      <c r="I111" s="55" t="s">
        <v>366</v>
      </c>
      <c r="J111" s="50" t="s">
        <v>834</v>
      </c>
      <c r="K111" s="50">
        <v>2020</v>
      </c>
      <c r="L111" s="7" t="s">
        <v>835</v>
      </c>
      <c r="M111" s="19"/>
      <c r="N111" s="19"/>
      <c r="O111" s="19"/>
      <c r="P111" s="19"/>
      <c r="Q111" s="19"/>
      <c r="R111" s="19"/>
      <c r="S111" s="19"/>
      <c r="T111" s="19"/>
      <c r="U111" s="19"/>
      <c r="V111" s="19"/>
      <c r="W111" s="19"/>
      <c r="X111" s="19"/>
    </row>
    <row r="112" spans="1:24" ht="14.25" customHeight="1" x14ac:dyDescent="0.3">
      <c r="A112" s="47">
        <v>104</v>
      </c>
      <c r="B112" s="82" t="s">
        <v>836</v>
      </c>
      <c r="C112" s="98" t="s">
        <v>772</v>
      </c>
      <c r="D112" s="82" t="s">
        <v>794</v>
      </c>
      <c r="E112" s="88" t="s">
        <v>795</v>
      </c>
      <c r="F112" s="50" t="s">
        <v>790</v>
      </c>
      <c r="G112" s="55" t="s">
        <v>546</v>
      </c>
      <c r="H112" s="55" t="s">
        <v>525</v>
      </c>
      <c r="I112" s="55"/>
      <c r="J112" s="50"/>
      <c r="K112" s="50">
        <v>2020</v>
      </c>
      <c r="L112" s="7" t="s">
        <v>837</v>
      </c>
      <c r="M112" s="19"/>
      <c r="N112" s="19"/>
      <c r="O112" s="19"/>
      <c r="P112" s="19"/>
      <c r="Q112" s="19"/>
      <c r="R112" s="19"/>
      <c r="S112" s="19"/>
      <c r="T112" s="19"/>
      <c r="U112" s="19"/>
      <c r="V112" s="19"/>
      <c r="W112" s="19"/>
      <c r="X112" s="19"/>
    </row>
    <row r="113" spans="1:24" ht="14.25" customHeight="1" x14ac:dyDescent="0.3">
      <c r="A113" s="47">
        <v>105</v>
      </c>
      <c r="B113" s="77" t="s">
        <v>838</v>
      </c>
      <c r="C113" s="98" t="s">
        <v>772</v>
      </c>
      <c r="D113" s="82" t="s">
        <v>798</v>
      </c>
      <c r="E113" s="86" t="s">
        <v>142</v>
      </c>
      <c r="F113" s="50" t="s">
        <v>790</v>
      </c>
      <c r="G113" s="55" t="s">
        <v>415</v>
      </c>
      <c r="H113" s="55" t="s">
        <v>627</v>
      </c>
      <c r="I113" s="55" t="s">
        <v>366</v>
      </c>
      <c r="J113" s="50" t="s">
        <v>741</v>
      </c>
      <c r="K113" s="50">
        <v>2020</v>
      </c>
      <c r="L113" s="7" t="s">
        <v>839</v>
      </c>
      <c r="M113" s="19"/>
      <c r="N113" s="19"/>
      <c r="O113" s="19"/>
      <c r="P113" s="19"/>
      <c r="Q113" s="19"/>
      <c r="R113" s="19"/>
      <c r="S113" s="19"/>
      <c r="T113" s="19"/>
      <c r="U113" s="19"/>
      <c r="V113" s="19"/>
      <c r="W113" s="19"/>
      <c r="X113" s="19"/>
    </row>
    <row r="114" spans="1:24" ht="14.25" customHeight="1" x14ac:dyDescent="0.3">
      <c r="A114" s="47">
        <v>106</v>
      </c>
      <c r="B114" s="75" t="s">
        <v>840</v>
      </c>
      <c r="C114" s="98" t="s">
        <v>772</v>
      </c>
      <c r="D114" s="82" t="s">
        <v>794</v>
      </c>
      <c r="E114" s="88" t="s">
        <v>795</v>
      </c>
      <c r="F114" s="50" t="s">
        <v>790</v>
      </c>
      <c r="G114" s="55" t="s">
        <v>366</v>
      </c>
      <c r="H114" s="55" t="s">
        <v>398</v>
      </c>
      <c r="I114" s="55"/>
      <c r="J114" s="50"/>
      <c r="K114" s="50">
        <v>2020</v>
      </c>
      <c r="L114" s="7" t="s">
        <v>841</v>
      </c>
      <c r="M114" s="19"/>
      <c r="N114" s="19"/>
      <c r="O114" s="19"/>
      <c r="P114" s="19"/>
      <c r="Q114" s="19"/>
      <c r="R114" s="19"/>
      <c r="S114" s="19"/>
      <c r="T114" s="19"/>
      <c r="U114" s="19"/>
      <c r="V114" s="19"/>
      <c r="W114" s="19"/>
      <c r="X114" s="19"/>
    </row>
    <row r="115" spans="1:24" ht="14.25" customHeight="1" x14ac:dyDescent="0.3">
      <c r="A115" s="47">
        <v>107</v>
      </c>
      <c r="B115" s="75" t="s">
        <v>842</v>
      </c>
      <c r="C115" s="98" t="s">
        <v>772</v>
      </c>
      <c r="D115" s="82" t="s">
        <v>794</v>
      </c>
      <c r="E115" s="88" t="s">
        <v>795</v>
      </c>
      <c r="F115" s="50" t="s">
        <v>790</v>
      </c>
      <c r="G115" s="55" t="s">
        <v>366</v>
      </c>
      <c r="H115" s="55" t="s">
        <v>538</v>
      </c>
      <c r="I115" s="55"/>
      <c r="J115" s="50"/>
      <c r="K115" s="50">
        <v>2020</v>
      </c>
      <c r="L115" s="7" t="s">
        <v>843</v>
      </c>
      <c r="M115" s="19"/>
      <c r="N115" s="19"/>
      <c r="O115" s="19"/>
      <c r="P115" s="19"/>
      <c r="Q115" s="19"/>
      <c r="R115" s="19"/>
      <c r="S115" s="19"/>
      <c r="T115" s="19"/>
      <c r="U115" s="19"/>
      <c r="V115" s="19"/>
      <c r="W115" s="19"/>
      <c r="X115" s="19"/>
    </row>
    <row r="116" spans="1:24" ht="14.25" customHeight="1" x14ac:dyDescent="0.3">
      <c r="A116" s="47">
        <v>108</v>
      </c>
      <c r="B116" s="75" t="s">
        <v>844</v>
      </c>
      <c r="C116" s="98" t="s">
        <v>772</v>
      </c>
      <c r="D116" s="82" t="s">
        <v>794</v>
      </c>
      <c r="E116" s="88" t="s">
        <v>795</v>
      </c>
      <c r="F116" s="50" t="s">
        <v>790</v>
      </c>
      <c r="G116" s="55" t="s">
        <v>366</v>
      </c>
      <c r="H116" s="55"/>
      <c r="I116" s="55"/>
      <c r="J116" s="50" t="s">
        <v>845</v>
      </c>
      <c r="K116" s="50">
        <v>2020</v>
      </c>
      <c r="L116" s="7" t="s">
        <v>846</v>
      </c>
      <c r="M116" s="19"/>
      <c r="N116" s="19"/>
      <c r="O116" s="19"/>
      <c r="P116" s="19"/>
      <c r="Q116" s="19"/>
      <c r="R116" s="19"/>
      <c r="S116" s="19"/>
      <c r="T116" s="19"/>
      <c r="U116" s="19"/>
      <c r="V116" s="19"/>
      <c r="W116" s="19"/>
      <c r="X116" s="19"/>
    </row>
    <row r="117" spans="1:24" ht="14.25" customHeight="1" x14ac:dyDescent="0.3">
      <c r="A117" s="47">
        <v>109</v>
      </c>
      <c r="B117" s="77" t="s">
        <v>847</v>
      </c>
      <c r="C117" s="98" t="s">
        <v>772</v>
      </c>
      <c r="D117" s="82" t="s">
        <v>798</v>
      </c>
      <c r="E117" s="88" t="s">
        <v>142</v>
      </c>
      <c r="F117" s="50" t="s">
        <v>790</v>
      </c>
      <c r="G117" s="55" t="s">
        <v>606</v>
      </c>
      <c r="H117" s="55" t="s">
        <v>607</v>
      </c>
      <c r="I117" s="55"/>
      <c r="J117" s="50"/>
      <c r="K117" s="50">
        <v>2020</v>
      </c>
      <c r="L117" s="7" t="s">
        <v>848</v>
      </c>
      <c r="M117" s="19"/>
      <c r="N117" s="19"/>
      <c r="O117" s="19"/>
      <c r="P117" s="19"/>
      <c r="Q117" s="19"/>
      <c r="R117" s="19"/>
      <c r="S117" s="19"/>
      <c r="T117" s="19"/>
      <c r="U117" s="19"/>
      <c r="V117" s="19"/>
      <c r="W117" s="19"/>
      <c r="X117" s="19"/>
    </row>
    <row r="118" spans="1:24" ht="14.25" customHeight="1" x14ac:dyDescent="0.3">
      <c r="A118" s="47">
        <v>110</v>
      </c>
      <c r="B118" s="77" t="s">
        <v>849</v>
      </c>
      <c r="C118" s="98" t="s">
        <v>772</v>
      </c>
      <c r="D118" s="82" t="s">
        <v>798</v>
      </c>
      <c r="E118" s="88" t="s">
        <v>142</v>
      </c>
      <c r="F118" s="50" t="s">
        <v>790</v>
      </c>
      <c r="G118" s="55" t="s">
        <v>91</v>
      </c>
      <c r="H118" s="55"/>
      <c r="I118" s="55"/>
      <c r="J118" s="50"/>
      <c r="K118" s="50">
        <v>2020</v>
      </c>
      <c r="L118" s="7" t="s">
        <v>850</v>
      </c>
      <c r="M118" s="19"/>
      <c r="N118" s="19"/>
      <c r="O118" s="19"/>
      <c r="P118" s="19"/>
      <c r="Q118" s="19"/>
      <c r="R118" s="19"/>
      <c r="S118" s="19"/>
      <c r="T118" s="19"/>
      <c r="U118" s="19"/>
      <c r="V118" s="19"/>
      <c r="W118" s="19"/>
      <c r="X118" s="19"/>
    </row>
    <row r="119" spans="1:24" ht="14.25" customHeight="1" x14ac:dyDescent="0.4">
      <c r="A119" s="47">
        <v>111</v>
      </c>
      <c r="B119" s="75" t="s">
        <v>851</v>
      </c>
      <c r="C119" s="98" t="s">
        <v>772</v>
      </c>
      <c r="D119" s="82" t="s">
        <v>794</v>
      </c>
      <c r="E119" s="88" t="s">
        <v>795</v>
      </c>
      <c r="F119" s="50" t="s">
        <v>790</v>
      </c>
      <c r="G119" s="55" t="s">
        <v>852</v>
      </c>
      <c r="H119" s="55"/>
      <c r="I119" s="55"/>
      <c r="J119" s="50"/>
      <c r="K119" s="50">
        <v>2020</v>
      </c>
      <c r="L119" s="7" t="s">
        <v>853</v>
      </c>
      <c r="M119" s="19"/>
      <c r="N119" s="19"/>
      <c r="O119" s="19"/>
      <c r="P119" s="19"/>
      <c r="Q119" s="19"/>
      <c r="R119" s="19"/>
      <c r="S119" s="19"/>
      <c r="T119" s="19"/>
      <c r="U119" s="19"/>
      <c r="V119" s="19"/>
      <c r="W119" s="19"/>
      <c r="X119" s="19"/>
    </row>
    <row r="120" spans="1:24" ht="14.25" customHeight="1" x14ac:dyDescent="0.3">
      <c r="A120" s="47">
        <v>112</v>
      </c>
      <c r="B120" s="77" t="s">
        <v>854</v>
      </c>
      <c r="C120" s="98" t="s">
        <v>855</v>
      </c>
      <c r="D120" s="90" t="s">
        <v>856</v>
      </c>
      <c r="E120" s="88" t="s">
        <v>689</v>
      </c>
      <c r="F120" s="50" t="s">
        <v>790</v>
      </c>
      <c r="G120" s="55" t="s">
        <v>857</v>
      </c>
      <c r="H120" s="55"/>
      <c r="I120" s="55"/>
      <c r="J120" s="50"/>
      <c r="K120" s="50">
        <v>2020</v>
      </c>
      <c r="L120" s="7" t="s">
        <v>858</v>
      </c>
      <c r="M120" s="19"/>
      <c r="N120" s="19"/>
      <c r="O120" s="19"/>
      <c r="P120" s="19"/>
      <c r="Q120" s="19"/>
      <c r="R120" s="19"/>
      <c r="S120" s="19"/>
      <c r="T120" s="19"/>
      <c r="U120" s="19"/>
      <c r="V120" s="19"/>
      <c r="W120" s="19"/>
      <c r="X120" s="19"/>
    </row>
    <row r="121" spans="1:24" ht="14.25" customHeight="1" x14ac:dyDescent="0.3">
      <c r="A121" s="47">
        <v>113</v>
      </c>
      <c r="B121" s="77" t="s">
        <v>859</v>
      </c>
      <c r="C121" s="98" t="s">
        <v>772</v>
      </c>
      <c r="D121" s="82" t="s">
        <v>798</v>
      </c>
      <c r="E121" s="86" t="s">
        <v>142</v>
      </c>
      <c r="F121" s="50" t="s">
        <v>790</v>
      </c>
      <c r="G121" s="55" t="s">
        <v>554</v>
      </c>
      <c r="H121" s="55" t="s">
        <v>532</v>
      </c>
      <c r="I121" s="55"/>
      <c r="J121" s="50"/>
      <c r="K121" s="50">
        <v>2020</v>
      </c>
      <c r="L121" s="7" t="s">
        <v>860</v>
      </c>
      <c r="M121" s="19"/>
      <c r="N121" s="19"/>
      <c r="O121" s="19"/>
      <c r="P121" s="19"/>
      <c r="Q121" s="19"/>
      <c r="R121" s="19"/>
      <c r="S121" s="19"/>
      <c r="T121" s="19"/>
      <c r="U121" s="19"/>
      <c r="V121" s="19"/>
      <c r="W121" s="19"/>
      <c r="X121" s="19"/>
    </row>
    <row r="122" spans="1:24" ht="14.25" customHeight="1" x14ac:dyDescent="0.3">
      <c r="A122" s="47">
        <v>114</v>
      </c>
      <c r="B122" s="77" t="s">
        <v>861</v>
      </c>
      <c r="C122" s="98" t="s">
        <v>772</v>
      </c>
      <c r="D122" s="82" t="s">
        <v>798</v>
      </c>
      <c r="E122" s="86" t="s">
        <v>142</v>
      </c>
      <c r="F122" s="50" t="s">
        <v>790</v>
      </c>
      <c r="G122" s="55" t="s">
        <v>366</v>
      </c>
      <c r="H122" s="55" t="s">
        <v>532</v>
      </c>
      <c r="I122" s="55" t="s">
        <v>533</v>
      </c>
      <c r="J122" s="50" t="s">
        <v>534</v>
      </c>
      <c r="K122" s="50">
        <v>2020</v>
      </c>
      <c r="L122" s="7" t="s">
        <v>862</v>
      </c>
      <c r="M122" s="19"/>
      <c r="N122" s="19"/>
      <c r="O122" s="19"/>
      <c r="P122" s="19"/>
      <c r="Q122" s="19"/>
      <c r="R122" s="19"/>
      <c r="S122" s="19"/>
      <c r="T122" s="19"/>
      <c r="U122" s="19"/>
      <c r="V122" s="19"/>
      <c r="W122" s="19"/>
      <c r="X122" s="19"/>
    </row>
    <row r="123" spans="1:24" ht="14.25" customHeight="1" x14ac:dyDescent="0.3">
      <c r="A123" s="47">
        <v>115</v>
      </c>
      <c r="B123" s="75" t="s">
        <v>863</v>
      </c>
      <c r="C123" s="98" t="s">
        <v>772</v>
      </c>
      <c r="D123" s="82" t="s">
        <v>794</v>
      </c>
      <c r="E123" s="88" t="s">
        <v>795</v>
      </c>
      <c r="F123" s="50" t="s">
        <v>790</v>
      </c>
      <c r="G123" s="55" t="s">
        <v>581</v>
      </c>
      <c r="H123" s="55" t="s">
        <v>533</v>
      </c>
      <c r="I123" s="55"/>
      <c r="J123" s="50"/>
      <c r="K123" s="50">
        <v>2020</v>
      </c>
      <c r="L123" s="7" t="s">
        <v>864</v>
      </c>
      <c r="M123" s="19"/>
      <c r="N123" s="19"/>
      <c r="O123" s="19"/>
      <c r="P123" s="19"/>
      <c r="Q123" s="19"/>
      <c r="R123" s="19"/>
      <c r="S123" s="19"/>
      <c r="T123" s="19"/>
      <c r="U123" s="19"/>
      <c r="V123" s="19"/>
      <c r="W123" s="19"/>
      <c r="X123" s="19"/>
    </row>
    <row r="124" spans="1:24" ht="14.25" customHeight="1" x14ac:dyDescent="0.3">
      <c r="A124" s="47">
        <v>116</v>
      </c>
      <c r="B124" s="75" t="s">
        <v>865</v>
      </c>
      <c r="C124" s="98" t="s">
        <v>772</v>
      </c>
      <c r="D124" s="82" t="s">
        <v>794</v>
      </c>
      <c r="E124" s="88" t="s">
        <v>795</v>
      </c>
      <c r="F124" s="50" t="s">
        <v>790</v>
      </c>
      <c r="G124" s="55" t="s">
        <v>533</v>
      </c>
      <c r="H124" s="55" t="s">
        <v>532</v>
      </c>
      <c r="I124" s="55" t="s">
        <v>500</v>
      </c>
      <c r="J124" s="50"/>
      <c r="K124" s="50">
        <v>2020</v>
      </c>
      <c r="L124" s="7" t="s">
        <v>866</v>
      </c>
      <c r="M124" s="19"/>
      <c r="N124" s="19"/>
      <c r="O124" s="19"/>
      <c r="P124" s="19"/>
      <c r="Q124" s="19"/>
      <c r="R124" s="19"/>
      <c r="S124" s="19"/>
      <c r="T124" s="19"/>
      <c r="U124" s="19"/>
      <c r="V124" s="19"/>
      <c r="W124" s="19"/>
      <c r="X124" s="19"/>
    </row>
    <row r="125" spans="1:24" ht="14.25" customHeight="1" x14ac:dyDescent="0.3">
      <c r="A125" s="47">
        <v>117</v>
      </c>
      <c r="B125" s="77" t="s">
        <v>867</v>
      </c>
      <c r="C125" s="98" t="s">
        <v>772</v>
      </c>
      <c r="D125" s="82" t="s">
        <v>815</v>
      </c>
      <c r="E125" s="86" t="s">
        <v>142</v>
      </c>
      <c r="F125" s="50" t="s">
        <v>790</v>
      </c>
      <c r="G125" s="55" t="s">
        <v>546</v>
      </c>
      <c r="H125" s="55" t="s">
        <v>538</v>
      </c>
      <c r="I125" s="55" t="s">
        <v>539</v>
      </c>
      <c r="J125" s="50"/>
      <c r="K125" s="50">
        <v>2020</v>
      </c>
      <c r="L125" s="7" t="s">
        <v>868</v>
      </c>
      <c r="M125" s="19"/>
      <c r="N125" s="19"/>
      <c r="O125" s="19"/>
      <c r="P125" s="19"/>
      <c r="Q125" s="19"/>
      <c r="R125" s="19"/>
      <c r="S125" s="19"/>
      <c r="T125" s="19"/>
      <c r="U125" s="19"/>
      <c r="V125" s="19"/>
      <c r="W125" s="19"/>
      <c r="X125" s="19"/>
    </row>
    <row r="126" spans="1:24" ht="14.25" customHeight="1" x14ac:dyDescent="0.3">
      <c r="A126" s="47">
        <v>118</v>
      </c>
      <c r="B126" s="75" t="s">
        <v>869</v>
      </c>
      <c r="C126" s="98" t="s">
        <v>772</v>
      </c>
      <c r="D126" s="82" t="s">
        <v>798</v>
      </c>
      <c r="E126" s="86" t="s">
        <v>142</v>
      </c>
      <c r="F126" s="50" t="s">
        <v>790</v>
      </c>
      <c r="G126" s="55" t="s">
        <v>164</v>
      </c>
      <c r="H126" s="55" t="s">
        <v>538</v>
      </c>
      <c r="I126" s="55"/>
      <c r="J126" s="50"/>
      <c r="K126" s="50">
        <v>2020</v>
      </c>
      <c r="L126" s="7" t="s">
        <v>870</v>
      </c>
      <c r="M126" s="19"/>
      <c r="N126" s="19"/>
      <c r="O126" s="19"/>
      <c r="P126" s="19"/>
      <c r="Q126" s="19"/>
      <c r="R126" s="19"/>
      <c r="S126" s="19"/>
      <c r="T126" s="19"/>
      <c r="U126" s="19"/>
      <c r="V126" s="19"/>
      <c r="W126" s="19"/>
      <c r="X126" s="19"/>
    </row>
    <row r="127" spans="1:24" ht="14.25" customHeight="1" x14ac:dyDescent="0.3">
      <c r="A127" s="47">
        <v>119</v>
      </c>
      <c r="B127" s="77" t="s">
        <v>871</v>
      </c>
      <c r="C127" s="98" t="s">
        <v>772</v>
      </c>
      <c r="D127" s="77" t="s">
        <v>872</v>
      </c>
      <c r="E127" s="88" t="s">
        <v>142</v>
      </c>
      <c r="F127" s="50" t="s">
        <v>790</v>
      </c>
      <c r="G127" s="55" t="s">
        <v>164</v>
      </c>
      <c r="H127" s="55"/>
      <c r="I127" s="55"/>
      <c r="J127" s="50" t="s">
        <v>873</v>
      </c>
      <c r="K127" s="50">
        <v>2020</v>
      </c>
      <c r="L127" s="91" t="s">
        <v>874</v>
      </c>
      <c r="M127" s="19"/>
      <c r="N127" s="19"/>
      <c r="O127" s="19"/>
      <c r="P127" s="19"/>
      <c r="Q127" s="19"/>
      <c r="R127" s="19"/>
      <c r="S127" s="19"/>
      <c r="T127" s="19"/>
      <c r="U127" s="19"/>
      <c r="V127" s="19"/>
      <c r="W127" s="19"/>
      <c r="X127" s="19"/>
    </row>
    <row r="128" spans="1:24" ht="14.25" customHeight="1" x14ac:dyDescent="0.3">
      <c r="A128" s="47">
        <v>120</v>
      </c>
      <c r="B128" s="75" t="s">
        <v>875</v>
      </c>
      <c r="C128" s="78" t="s">
        <v>855</v>
      </c>
      <c r="D128" s="82" t="s">
        <v>798</v>
      </c>
      <c r="E128" s="88" t="s">
        <v>142</v>
      </c>
      <c r="F128" s="50" t="s">
        <v>790</v>
      </c>
      <c r="G128" s="55" t="s">
        <v>606</v>
      </c>
      <c r="H128" s="55" t="s">
        <v>607</v>
      </c>
      <c r="I128" s="55" t="s">
        <v>366</v>
      </c>
      <c r="J128" s="50"/>
      <c r="K128" s="50">
        <v>2021</v>
      </c>
      <c r="L128" s="7" t="s">
        <v>876</v>
      </c>
      <c r="M128" s="19"/>
      <c r="N128" s="19"/>
      <c r="O128" s="19"/>
      <c r="P128" s="19"/>
      <c r="Q128" s="19"/>
      <c r="R128" s="19"/>
      <c r="S128" s="19"/>
      <c r="T128" s="19"/>
      <c r="U128" s="19"/>
      <c r="V128" s="19"/>
      <c r="W128" s="19"/>
      <c r="X128" s="19"/>
    </row>
    <row r="129" spans="1:24" ht="14.25" customHeight="1" x14ac:dyDescent="0.3">
      <c r="A129" s="47">
        <v>121</v>
      </c>
      <c r="B129" s="74" t="s">
        <v>877</v>
      </c>
      <c r="C129" s="89" t="s">
        <v>855</v>
      </c>
      <c r="D129" s="79" t="s">
        <v>878</v>
      </c>
      <c r="E129" s="88" t="s">
        <v>689</v>
      </c>
      <c r="F129" s="65" t="s">
        <v>790</v>
      </c>
      <c r="G129" s="64" t="s">
        <v>543</v>
      </c>
      <c r="H129" s="64" t="s">
        <v>410</v>
      </c>
      <c r="I129" s="64"/>
      <c r="J129" s="65" t="s">
        <v>879</v>
      </c>
      <c r="K129" s="65">
        <v>2021</v>
      </c>
      <c r="L129" s="7" t="s">
        <v>880</v>
      </c>
      <c r="M129" s="19"/>
      <c r="N129" s="19"/>
      <c r="O129" s="19"/>
      <c r="P129" s="19"/>
      <c r="Q129" s="19"/>
      <c r="R129" s="19"/>
      <c r="S129" s="19"/>
      <c r="T129" s="19"/>
      <c r="U129" s="19"/>
      <c r="V129" s="19"/>
      <c r="W129" s="19"/>
      <c r="X129" s="19"/>
    </row>
    <row r="130" spans="1:24" ht="14.25" customHeight="1" x14ac:dyDescent="0.3">
      <c r="A130" s="47">
        <v>122</v>
      </c>
      <c r="B130" s="99" t="s">
        <v>881</v>
      </c>
      <c r="C130" s="88" t="s">
        <v>855</v>
      </c>
      <c r="D130" s="99" t="s">
        <v>882</v>
      </c>
      <c r="E130" s="88" t="s">
        <v>689</v>
      </c>
      <c r="F130" s="65" t="s">
        <v>790</v>
      </c>
      <c r="G130" s="64" t="s">
        <v>543</v>
      </c>
      <c r="H130" s="64" t="s">
        <v>554</v>
      </c>
      <c r="I130" s="64" t="s">
        <v>398</v>
      </c>
      <c r="J130" s="65"/>
      <c r="K130" s="65">
        <v>2021</v>
      </c>
      <c r="L130" s="7" t="s">
        <v>883</v>
      </c>
      <c r="M130" s="19"/>
      <c r="N130" s="19"/>
      <c r="O130" s="19"/>
      <c r="P130" s="19"/>
      <c r="Q130" s="19"/>
      <c r="R130" s="19"/>
      <c r="S130" s="19"/>
      <c r="T130" s="19"/>
      <c r="U130" s="19"/>
      <c r="V130" s="19"/>
      <c r="W130" s="19"/>
      <c r="X130" s="19"/>
    </row>
    <row r="131" spans="1:24" ht="14.25" customHeight="1" x14ac:dyDescent="0.3">
      <c r="A131" s="47">
        <v>123</v>
      </c>
      <c r="B131" s="85" t="s">
        <v>884</v>
      </c>
      <c r="C131" s="88" t="s">
        <v>855</v>
      </c>
      <c r="D131" s="87" t="s">
        <v>794</v>
      </c>
      <c r="E131" s="88" t="s">
        <v>795</v>
      </c>
      <c r="F131" s="65" t="s">
        <v>790</v>
      </c>
      <c r="G131" s="64" t="s">
        <v>356</v>
      </c>
      <c r="H131" s="64" t="s">
        <v>398</v>
      </c>
      <c r="I131" s="64"/>
      <c r="J131" s="65"/>
      <c r="K131" s="65">
        <v>2021</v>
      </c>
      <c r="L131" s="7" t="s">
        <v>885</v>
      </c>
      <c r="M131" s="19"/>
      <c r="N131" s="19"/>
      <c r="O131" s="19"/>
      <c r="P131" s="19"/>
      <c r="Q131" s="19"/>
      <c r="R131" s="19"/>
      <c r="S131" s="19"/>
      <c r="T131" s="19"/>
      <c r="U131" s="19"/>
      <c r="V131" s="19"/>
      <c r="W131" s="19"/>
      <c r="X131" s="19"/>
    </row>
    <row r="132" spans="1:24" ht="14.25" customHeight="1" x14ac:dyDescent="0.3">
      <c r="A132" s="47">
        <v>124</v>
      </c>
      <c r="B132" s="85" t="s">
        <v>886</v>
      </c>
      <c r="C132" s="86" t="s">
        <v>855</v>
      </c>
      <c r="D132" s="100" t="s">
        <v>794</v>
      </c>
      <c r="E132" s="86" t="s">
        <v>795</v>
      </c>
      <c r="F132" s="65" t="s">
        <v>790</v>
      </c>
      <c r="G132" s="64" t="s">
        <v>151</v>
      </c>
      <c r="H132" s="64"/>
      <c r="I132" s="64"/>
      <c r="J132" s="65" t="s">
        <v>198</v>
      </c>
      <c r="K132" s="65">
        <v>2021</v>
      </c>
      <c r="L132" s="7" t="s">
        <v>887</v>
      </c>
      <c r="M132" s="19"/>
      <c r="N132" s="19"/>
      <c r="O132" s="19"/>
      <c r="P132" s="19"/>
      <c r="Q132" s="19"/>
      <c r="R132" s="19"/>
      <c r="S132" s="19"/>
      <c r="T132" s="19"/>
      <c r="U132" s="19"/>
      <c r="V132" s="19"/>
      <c r="W132" s="19"/>
      <c r="X132" s="19"/>
    </row>
    <row r="133" spans="1:24" ht="14.25" customHeight="1" x14ac:dyDescent="0.3">
      <c r="A133" s="47">
        <v>125</v>
      </c>
      <c r="B133" s="87" t="s">
        <v>888</v>
      </c>
      <c r="C133" s="88" t="s">
        <v>855</v>
      </c>
      <c r="D133" s="87" t="s">
        <v>882</v>
      </c>
      <c r="E133" s="88" t="s">
        <v>689</v>
      </c>
      <c r="F133" s="65" t="s">
        <v>790</v>
      </c>
      <c r="G133" s="64" t="s">
        <v>151</v>
      </c>
      <c r="H133" s="64" t="s">
        <v>91</v>
      </c>
      <c r="I133" s="64" t="s">
        <v>366</v>
      </c>
      <c r="J133" s="65" t="s">
        <v>889</v>
      </c>
      <c r="K133" s="65">
        <v>2021</v>
      </c>
      <c r="L133" s="7" t="s">
        <v>890</v>
      </c>
      <c r="M133" s="19"/>
      <c r="N133" s="19"/>
      <c r="O133" s="19"/>
      <c r="P133" s="19"/>
      <c r="Q133" s="19"/>
      <c r="R133" s="19"/>
      <c r="S133" s="19"/>
      <c r="T133" s="19"/>
      <c r="U133" s="19"/>
      <c r="V133" s="19"/>
      <c r="W133" s="19"/>
      <c r="X133" s="19"/>
    </row>
    <row r="134" spans="1:24" ht="14.25" customHeight="1" x14ac:dyDescent="0.3">
      <c r="A134" s="47">
        <v>126</v>
      </c>
      <c r="B134" s="87" t="s">
        <v>891</v>
      </c>
      <c r="C134" s="88" t="s">
        <v>855</v>
      </c>
      <c r="D134" s="87" t="s">
        <v>882</v>
      </c>
      <c r="E134" s="88" t="s">
        <v>689</v>
      </c>
      <c r="F134" s="65" t="s">
        <v>790</v>
      </c>
      <c r="G134" s="64" t="s">
        <v>151</v>
      </c>
      <c r="H134" s="64" t="s">
        <v>655</v>
      </c>
      <c r="I134" s="64" t="s">
        <v>366</v>
      </c>
      <c r="J134" s="65" t="s">
        <v>741</v>
      </c>
      <c r="K134" s="65">
        <v>2021</v>
      </c>
      <c r="L134" s="7" t="s">
        <v>892</v>
      </c>
      <c r="M134" s="19"/>
      <c r="N134" s="19"/>
      <c r="O134" s="19"/>
      <c r="P134" s="19"/>
      <c r="Q134" s="19"/>
      <c r="R134" s="19"/>
      <c r="S134" s="19"/>
      <c r="T134" s="19"/>
      <c r="U134" s="19"/>
      <c r="V134" s="19"/>
      <c r="W134" s="19"/>
      <c r="X134" s="19"/>
    </row>
    <row r="135" spans="1:24" ht="14.25" customHeight="1" x14ac:dyDescent="0.3">
      <c r="A135" s="47">
        <v>127</v>
      </c>
      <c r="B135" s="87" t="s">
        <v>893</v>
      </c>
      <c r="C135" s="88" t="s">
        <v>772</v>
      </c>
      <c r="D135" s="87" t="s">
        <v>894</v>
      </c>
      <c r="E135" s="88"/>
      <c r="F135" s="65" t="s">
        <v>790</v>
      </c>
      <c r="G135" s="64" t="s">
        <v>568</v>
      </c>
      <c r="H135" s="64"/>
      <c r="I135" s="64"/>
      <c r="J135" s="65" t="s">
        <v>895</v>
      </c>
      <c r="K135" s="65">
        <v>2021</v>
      </c>
      <c r="L135" s="7" t="s">
        <v>896</v>
      </c>
      <c r="M135" s="19"/>
      <c r="N135" s="19"/>
      <c r="O135" s="19"/>
      <c r="P135" s="19"/>
      <c r="Q135" s="19"/>
      <c r="R135" s="19"/>
      <c r="S135" s="19"/>
      <c r="T135" s="19"/>
      <c r="U135" s="19"/>
      <c r="V135" s="19"/>
      <c r="W135" s="19"/>
      <c r="X135" s="19"/>
    </row>
    <row r="136" spans="1:24" ht="14.25" customHeight="1" x14ac:dyDescent="0.3">
      <c r="A136" s="47">
        <v>128</v>
      </c>
      <c r="B136" s="99" t="s">
        <v>897</v>
      </c>
      <c r="C136" s="88" t="s">
        <v>855</v>
      </c>
      <c r="D136" s="87" t="s">
        <v>882</v>
      </c>
      <c r="E136" s="88"/>
      <c r="F136" s="65" t="s">
        <v>790</v>
      </c>
      <c r="G136" s="64" t="s">
        <v>151</v>
      </c>
      <c r="H136" s="64" t="s">
        <v>398</v>
      </c>
      <c r="I136" s="64" t="s">
        <v>532</v>
      </c>
      <c r="J136" s="65" t="s">
        <v>898</v>
      </c>
      <c r="K136" s="65">
        <v>2021</v>
      </c>
      <c r="L136" s="7" t="s">
        <v>899</v>
      </c>
      <c r="M136" s="19"/>
      <c r="N136" s="19"/>
      <c r="O136" s="19"/>
      <c r="P136" s="19"/>
      <c r="Q136" s="19"/>
      <c r="R136" s="19"/>
      <c r="S136" s="19"/>
      <c r="T136" s="19"/>
      <c r="U136" s="19"/>
      <c r="V136" s="19"/>
      <c r="W136" s="19"/>
      <c r="X136" s="19"/>
    </row>
    <row r="137" spans="1:24" ht="14.25" customHeight="1" x14ac:dyDescent="0.3">
      <c r="A137" s="47">
        <v>129</v>
      </c>
      <c r="B137" s="99" t="s">
        <v>900</v>
      </c>
      <c r="C137" s="88" t="s">
        <v>855</v>
      </c>
      <c r="D137" s="87" t="s">
        <v>882</v>
      </c>
      <c r="E137" s="88"/>
      <c r="F137" s="65" t="s">
        <v>790</v>
      </c>
      <c r="G137" s="64" t="s">
        <v>525</v>
      </c>
      <c r="H137" s="64"/>
      <c r="I137" s="64"/>
      <c r="J137" s="65"/>
      <c r="K137" s="65">
        <v>2021</v>
      </c>
      <c r="L137" s="7" t="s">
        <v>901</v>
      </c>
      <c r="M137" s="19"/>
      <c r="N137" s="19"/>
      <c r="O137" s="19"/>
      <c r="P137" s="19"/>
      <c r="Q137" s="19"/>
      <c r="R137" s="19"/>
      <c r="S137" s="19"/>
      <c r="T137" s="19"/>
      <c r="U137" s="19"/>
      <c r="V137" s="19"/>
      <c r="W137" s="19"/>
      <c r="X137" s="19"/>
    </row>
    <row r="138" spans="1:24" ht="14.25" customHeight="1" x14ac:dyDescent="0.3">
      <c r="A138" s="47">
        <v>130</v>
      </c>
      <c r="B138" s="99" t="s">
        <v>902</v>
      </c>
      <c r="C138" s="88" t="s">
        <v>855</v>
      </c>
      <c r="D138" s="87" t="s">
        <v>882</v>
      </c>
      <c r="E138" s="88"/>
      <c r="F138" s="65" t="s">
        <v>790</v>
      </c>
      <c r="G138" s="64" t="s">
        <v>525</v>
      </c>
      <c r="H138" s="64" t="s">
        <v>164</v>
      </c>
      <c r="I138" s="64"/>
      <c r="J138" s="65"/>
      <c r="K138" s="65">
        <v>2021</v>
      </c>
      <c r="L138" s="7" t="s">
        <v>903</v>
      </c>
      <c r="M138" s="19"/>
      <c r="N138" s="19"/>
      <c r="O138" s="19"/>
      <c r="P138" s="19"/>
      <c r="Q138" s="19"/>
      <c r="R138" s="19"/>
      <c r="S138" s="19"/>
      <c r="T138" s="19"/>
      <c r="U138" s="19"/>
      <c r="V138" s="19"/>
      <c r="W138" s="19"/>
      <c r="X138" s="19"/>
    </row>
    <row r="139" spans="1:24" ht="14.25" customHeight="1" x14ac:dyDescent="0.3">
      <c r="A139" s="47">
        <v>131</v>
      </c>
      <c r="B139" s="85" t="s">
        <v>904</v>
      </c>
      <c r="C139" s="88" t="s">
        <v>855</v>
      </c>
      <c r="D139" s="87" t="s">
        <v>794</v>
      </c>
      <c r="E139" s="88"/>
      <c r="F139" s="65" t="s">
        <v>790</v>
      </c>
      <c r="G139" s="64" t="s">
        <v>415</v>
      </c>
      <c r="H139" s="64" t="s">
        <v>525</v>
      </c>
      <c r="I139" s="64"/>
      <c r="J139" s="65"/>
      <c r="K139" s="65">
        <v>2021</v>
      </c>
      <c r="L139" s="7" t="s">
        <v>905</v>
      </c>
      <c r="M139" s="19"/>
      <c r="N139" s="19"/>
      <c r="O139" s="19"/>
      <c r="P139" s="19"/>
      <c r="Q139" s="19"/>
      <c r="R139" s="19"/>
      <c r="S139" s="19"/>
      <c r="T139" s="19"/>
      <c r="U139" s="19"/>
      <c r="V139" s="19"/>
      <c r="W139" s="19"/>
      <c r="X139" s="19"/>
    </row>
    <row r="140" spans="1:24" ht="14.25" customHeight="1" x14ac:dyDescent="0.3">
      <c r="A140" s="47">
        <v>132</v>
      </c>
      <c r="B140" s="85" t="s">
        <v>906</v>
      </c>
      <c r="C140" s="88" t="s">
        <v>772</v>
      </c>
      <c r="D140" s="87" t="s">
        <v>794</v>
      </c>
      <c r="E140" s="88" t="s">
        <v>795</v>
      </c>
      <c r="F140" s="65" t="s">
        <v>790</v>
      </c>
      <c r="G140" s="64" t="s">
        <v>525</v>
      </c>
      <c r="H140" s="64"/>
      <c r="I140" s="64"/>
      <c r="J140" s="65"/>
      <c r="K140" s="65">
        <v>2021</v>
      </c>
      <c r="L140" s="7" t="s">
        <v>907</v>
      </c>
      <c r="M140" s="19"/>
      <c r="N140" s="19"/>
      <c r="O140" s="19"/>
      <c r="P140" s="19"/>
      <c r="Q140" s="19"/>
      <c r="R140" s="19"/>
      <c r="S140" s="19"/>
      <c r="T140" s="19"/>
      <c r="U140" s="19"/>
      <c r="V140" s="19"/>
      <c r="W140" s="19"/>
      <c r="X140" s="19"/>
    </row>
    <row r="141" spans="1:24" ht="14.25" customHeight="1" x14ac:dyDescent="0.3">
      <c r="A141" s="47">
        <v>133</v>
      </c>
      <c r="B141" s="85" t="s">
        <v>908</v>
      </c>
      <c r="C141" s="88" t="s">
        <v>772</v>
      </c>
      <c r="D141" s="87" t="s">
        <v>794</v>
      </c>
      <c r="E141" s="88" t="s">
        <v>795</v>
      </c>
      <c r="F141" s="65" t="s">
        <v>790</v>
      </c>
      <c r="G141" s="64" t="s">
        <v>525</v>
      </c>
      <c r="H141" s="64"/>
      <c r="I141" s="64"/>
      <c r="J141" s="65"/>
      <c r="K141" s="65">
        <v>2021</v>
      </c>
      <c r="L141" s="91" t="s">
        <v>909</v>
      </c>
      <c r="M141" s="19"/>
      <c r="N141" s="19"/>
      <c r="O141" s="19"/>
      <c r="P141" s="19"/>
      <c r="Q141" s="19"/>
      <c r="R141" s="19"/>
      <c r="S141" s="19"/>
      <c r="T141" s="19"/>
      <c r="U141" s="19"/>
      <c r="V141" s="19"/>
      <c r="W141" s="19"/>
      <c r="X141" s="19"/>
    </row>
    <row r="142" spans="1:24" ht="14.25" customHeight="1" x14ac:dyDescent="0.3">
      <c r="A142" s="47">
        <v>134</v>
      </c>
      <c r="B142" s="85" t="s">
        <v>910</v>
      </c>
      <c r="C142" s="88" t="s">
        <v>772</v>
      </c>
      <c r="D142" s="87" t="s">
        <v>794</v>
      </c>
      <c r="E142" s="88" t="s">
        <v>795</v>
      </c>
      <c r="F142" s="65" t="s">
        <v>790</v>
      </c>
      <c r="G142" s="64" t="s">
        <v>525</v>
      </c>
      <c r="H142" s="64"/>
      <c r="I142" s="64"/>
      <c r="J142" s="65"/>
      <c r="K142" s="65">
        <v>2021</v>
      </c>
      <c r="L142" s="7" t="s">
        <v>911</v>
      </c>
      <c r="M142" s="19"/>
      <c r="N142" s="19"/>
      <c r="O142" s="19"/>
      <c r="P142" s="19"/>
      <c r="Q142" s="19"/>
      <c r="R142" s="19"/>
      <c r="S142" s="19"/>
      <c r="T142" s="19"/>
      <c r="U142" s="19"/>
      <c r="V142" s="19"/>
      <c r="W142" s="19"/>
      <c r="X142" s="19"/>
    </row>
    <row r="143" spans="1:24" ht="14.25" customHeight="1" x14ac:dyDescent="0.3">
      <c r="A143" s="47">
        <v>135</v>
      </c>
      <c r="B143" s="99" t="s">
        <v>912</v>
      </c>
      <c r="C143" s="88" t="s">
        <v>855</v>
      </c>
      <c r="D143" s="87" t="s">
        <v>882</v>
      </c>
      <c r="E143" s="88"/>
      <c r="F143" s="65" t="s">
        <v>790</v>
      </c>
      <c r="G143" s="64" t="s">
        <v>606</v>
      </c>
      <c r="H143" s="64" t="s">
        <v>525</v>
      </c>
      <c r="I143" s="64" t="s">
        <v>607</v>
      </c>
      <c r="J143" s="65" t="s">
        <v>147</v>
      </c>
      <c r="K143" s="65">
        <v>2021</v>
      </c>
      <c r="L143" s="7" t="s">
        <v>913</v>
      </c>
      <c r="M143" s="19"/>
      <c r="N143" s="19"/>
      <c r="O143" s="19"/>
      <c r="P143" s="19"/>
      <c r="Q143" s="19"/>
      <c r="R143" s="19"/>
      <c r="S143" s="19"/>
      <c r="T143" s="19"/>
      <c r="U143" s="19"/>
      <c r="V143" s="19"/>
      <c r="W143" s="19"/>
      <c r="X143" s="19"/>
    </row>
    <row r="144" spans="1:24" ht="14.25" customHeight="1" x14ac:dyDescent="0.3">
      <c r="A144" s="47">
        <v>136</v>
      </c>
      <c r="B144" s="101" t="s">
        <v>914</v>
      </c>
      <c r="C144" s="88" t="s">
        <v>855</v>
      </c>
      <c r="D144" s="79" t="s">
        <v>878</v>
      </c>
      <c r="E144" s="88" t="s">
        <v>689</v>
      </c>
      <c r="F144" s="65" t="s">
        <v>790</v>
      </c>
      <c r="G144" s="64" t="s">
        <v>525</v>
      </c>
      <c r="H144" s="64"/>
      <c r="I144" s="64"/>
      <c r="J144" s="65" t="s">
        <v>915</v>
      </c>
      <c r="K144" s="65">
        <v>2021</v>
      </c>
      <c r="L144" s="7" t="s">
        <v>916</v>
      </c>
      <c r="M144" s="19"/>
      <c r="N144" s="19"/>
      <c r="O144" s="19"/>
      <c r="P144" s="19"/>
      <c r="Q144" s="19"/>
      <c r="R144" s="19"/>
      <c r="S144" s="19"/>
      <c r="T144" s="19"/>
      <c r="U144" s="19"/>
      <c r="V144" s="19"/>
      <c r="W144" s="19"/>
      <c r="X144" s="19"/>
    </row>
    <row r="145" spans="1:24" ht="14.25" customHeight="1" x14ac:dyDescent="0.3">
      <c r="A145" s="47">
        <v>137</v>
      </c>
      <c r="B145" s="85" t="s">
        <v>917</v>
      </c>
      <c r="C145" s="88" t="s">
        <v>772</v>
      </c>
      <c r="D145" s="87" t="s">
        <v>794</v>
      </c>
      <c r="E145" s="88" t="s">
        <v>795</v>
      </c>
      <c r="F145" s="65" t="s">
        <v>790</v>
      </c>
      <c r="G145" s="64" t="s">
        <v>529</v>
      </c>
      <c r="H145" s="64" t="s">
        <v>366</v>
      </c>
      <c r="I145" s="64"/>
      <c r="J145" s="65" t="s">
        <v>918</v>
      </c>
      <c r="K145" s="65">
        <v>2021</v>
      </c>
      <c r="L145" s="91" t="s">
        <v>919</v>
      </c>
      <c r="M145" s="19"/>
      <c r="N145" s="19"/>
      <c r="O145" s="19"/>
      <c r="P145" s="19"/>
      <c r="Q145" s="19"/>
      <c r="R145" s="19"/>
      <c r="S145" s="19"/>
      <c r="T145" s="19"/>
      <c r="U145" s="19"/>
      <c r="V145" s="19"/>
      <c r="W145" s="19"/>
      <c r="X145" s="19"/>
    </row>
    <row r="146" spans="1:24" ht="14.25" customHeight="1" x14ac:dyDescent="0.3">
      <c r="A146" s="47">
        <v>138</v>
      </c>
      <c r="B146" s="85" t="s">
        <v>920</v>
      </c>
      <c r="C146" s="88" t="s">
        <v>855</v>
      </c>
      <c r="D146" s="87" t="s">
        <v>794</v>
      </c>
      <c r="E146" s="88" t="s">
        <v>795</v>
      </c>
      <c r="F146" s="65" t="s">
        <v>790</v>
      </c>
      <c r="G146" s="64" t="s">
        <v>607</v>
      </c>
      <c r="H146" s="64" t="s">
        <v>606</v>
      </c>
      <c r="I146" s="64"/>
      <c r="J146" s="65" t="s">
        <v>921</v>
      </c>
      <c r="K146" s="65">
        <v>2021</v>
      </c>
      <c r="L146" s="7" t="s">
        <v>922</v>
      </c>
      <c r="M146" s="19"/>
      <c r="N146" s="19"/>
      <c r="O146" s="19"/>
      <c r="P146" s="19"/>
      <c r="Q146" s="19"/>
      <c r="R146" s="19"/>
      <c r="S146" s="19"/>
      <c r="T146" s="19"/>
      <c r="U146" s="19"/>
      <c r="V146" s="19"/>
      <c r="W146" s="19"/>
      <c r="X146" s="19"/>
    </row>
    <row r="147" spans="1:24" ht="14.25" customHeight="1" x14ac:dyDescent="0.3">
      <c r="A147" s="47">
        <v>139</v>
      </c>
      <c r="B147" s="85" t="s">
        <v>923</v>
      </c>
      <c r="C147" s="88" t="s">
        <v>855</v>
      </c>
      <c r="D147" s="87" t="s">
        <v>794</v>
      </c>
      <c r="E147" s="88" t="s">
        <v>795</v>
      </c>
      <c r="F147" s="65" t="s">
        <v>790</v>
      </c>
      <c r="G147" s="64" t="s">
        <v>546</v>
      </c>
      <c r="H147" s="64" t="s">
        <v>398</v>
      </c>
      <c r="I147" s="64"/>
      <c r="J147" s="65"/>
      <c r="K147" s="65">
        <v>2021</v>
      </c>
      <c r="L147" s="7" t="s">
        <v>924</v>
      </c>
      <c r="M147" s="19"/>
      <c r="N147" s="19"/>
      <c r="O147" s="19"/>
      <c r="P147" s="19"/>
      <c r="Q147" s="19"/>
      <c r="R147" s="19"/>
      <c r="S147" s="19"/>
      <c r="T147" s="19"/>
      <c r="U147" s="19"/>
      <c r="V147" s="19"/>
      <c r="W147" s="19"/>
      <c r="X147" s="19"/>
    </row>
    <row r="148" spans="1:24" ht="14.1" customHeight="1" x14ac:dyDescent="0.3">
      <c r="A148" s="47">
        <v>140</v>
      </c>
      <c r="B148" s="87" t="s">
        <v>925</v>
      </c>
      <c r="C148" s="86" t="s">
        <v>855</v>
      </c>
      <c r="D148" s="87" t="s">
        <v>926</v>
      </c>
      <c r="E148" s="88" t="s">
        <v>142</v>
      </c>
      <c r="F148" s="65" t="s">
        <v>790</v>
      </c>
      <c r="G148" s="64" t="s">
        <v>546</v>
      </c>
      <c r="H148" s="64" t="s">
        <v>410</v>
      </c>
      <c r="I148" s="64"/>
      <c r="J148" s="65"/>
      <c r="K148" s="65">
        <v>2021</v>
      </c>
      <c r="L148" s="7" t="s">
        <v>927</v>
      </c>
      <c r="M148" s="19"/>
      <c r="N148" s="19"/>
      <c r="O148" s="19"/>
      <c r="P148" s="19"/>
      <c r="Q148" s="19"/>
      <c r="R148" s="19"/>
      <c r="S148" s="19"/>
      <c r="T148" s="19"/>
      <c r="U148" s="19"/>
      <c r="V148" s="19"/>
      <c r="W148" s="19"/>
      <c r="X148" s="19"/>
    </row>
    <row r="149" spans="1:24" ht="14.25" customHeight="1" x14ac:dyDescent="0.3">
      <c r="A149" s="47">
        <v>141</v>
      </c>
      <c r="B149" s="99" t="s">
        <v>928</v>
      </c>
      <c r="C149" s="88" t="s">
        <v>855</v>
      </c>
      <c r="D149" s="87" t="s">
        <v>882</v>
      </c>
      <c r="E149" s="88"/>
      <c r="F149" s="65" t="s">
        <v>790</v>
      </c>
      <c r="G149" s="64" t="s">
        <v>606</v>
      </c>
      <c r="H149" s="64" t="s">
        <v>607</v>
      </c>
      <c r="I149" s="64" t="s">
        <v>366</v>
      </c>
      <c r="J149" s="65"/>
      <c r="K149" s="65">
        <v>2021</v>
      </c>
      <c r="L149" s="7" t="s">
        <v>929</v>
      </c>
      <c r="M149" s="19"/>
      <c r="N149" s="19"/>
      <c r="O149" s="19"/>
      <c r="P149" s="19"/>
      <c r="Q149" s="19"/>
      <c r="R149" s="19"/>
      <c r="S149" s="19"/>
      <c r="T149" s="19"/>
      <c r="U149" s="19"/>
      <c r="V149" s="19"/>
      <c r="W149" s="19"/>
      <c r="X149" s="19"/>
    </row>
    <row r="150" spans="1:24" ht="14.25" customHeight="1" x14ac:dyDescent="0.3">
      <c r="A150" s="47">
        <v>142</v>
      </c>
      <c r="B150" s="85" t="s">
        <v>930</v>
      </c>
      <c r="C150" s="88" t="s">
        <v>772</v>
      </c>
      <c r="D150" s="87" t="s">
        <v>794</v>
      </c>
      <c r="E150" s="88" t="s">
        <v>795</v>
      </c>
      <c r="F150" s="65" t="s">
        <v>790</v>
      </c>
      <c r="G150" s="64" t="s">
        <v>607</v>
      </c>
      <c r="H150" s="64"/>
      <c r="I150" s="64"/>
      <c r="J150" s="65" t="s">
        <v>931</v>
      </c>
      <c r="K150" s="65">
        <v>2021</v>
      </c>
      <c r="L150" s="7" t="s">
        <v>932</v>
      </c>
      <c r="M150" s="19"/>
      <c r="N150" s="19"/>
      <c r="O150" s="19"/>
      <c r="P150" s="19"/>
      <c r="Q150" s="19"/>
      <c r="R150" s="19"/>
      <c r="S150" s="19"/>
      <c r="T150" s="19"/>
      <c r="U150" s="19"/>
      <c r="V150" s="19"/>
      <c r="W150" s="19"/>
      <c r="X150" s="19"/>
    </row>
    <row r="151" spans="1:24" ht="14.25" customHeight="1" x14ac:dyDescent="0.3">
      <c r="A151" s="47">
        <v>143</v>
      </c>
      <c r="B151" s="85" t="s">
        <v>933</v>
      </c>
      <c r="C151" s="88" t="s">
        <v>855</v>
      </c>
      <c r="D151" s="87" t="s">
        <v>794</v>
      </c>
      <c r="E151" s="88" t="s">
        <v>795</v>
      </c>
      <c r="F151" s="65" t="s">
        <v>790</v>
      </c>
      <c r="G151" s="64" t="s">
        <v>607</v>
      </c>
      <c r="H151" s="64"/>
      <c r="I151" s="64"/>
      <c r="J151" s="65" t="s">
        <v>934</v>
      </c>
      <c r="K151" s="65">
        <v>2021</v>
      </c>
      <c r="L151" s="7" t="s">
        <v>935</v>
      </c>
      <c r="M151" s="19"/>
      <c r="N151" s="19"/>
      <c r="O151" s="19"/>
      <c r="P151" s="19"/>
      <c r="Q151" s="19"/>
      <c r="R151" s="19"/>
      <c r="S151" s="19"/>
      <c r="T151" s="19"/>
      <c r="U151" s="19"/>
      <c r="V151" s="19"/>
      <c r="W151" s="19"/>
      <c r="X151" s="19"/>
    </row>
    <row r="152" spans="1:24" ht="14.25" customHeight="1" x14ac:dyDescent="0.3">
      <c r="A152" s="47">
        <v>144</v>
      </c>
      <c r="B152" s="99" t="s">
        <v>936</v>
      </c>
      <c r="C152" s="88" t="s">
        <v>855</v>
      </c>
      <c r="D152" s="87" t="s">
        <v>882</v>
      </c>
      <c r="E152" s="88"/>
      <c r="F152" s="65" t="s">
        <v>790</v>
      </c>
      <c r="G152" s="64" t="s">
        <v>91</v>
      </c>
      <c r="H152" s="64"/>
      <c r="I152" s="64"/>
      <c r="J152" s="65" t="s">
        <v>618</v>
      </c>
      <c r="K152" s="65">
        <v>2021</v>
      </c>
      <c r="L152" s="7" t="s">
        <v>937</v>
      </c>
      <c r="M152" s="19"/>
      <c r="N152" s="19"/>
      <c r="O152" s="19"/>
      <c r="P152" s="19"/>
      <c r="Q152" s="19"/>
      <c r="R152" s="19"/>
      <c r="S152" s="19"/>
      <c r="T152" s="19"/>
      <c r="U152" s="19"/>
      <c r="V152" s="19"/>
      <c r="W152" s="19"/>
      <c r="X152" s="19"/>
    </row>
    <row r="153" spans="1:24" ht="14.25" customHeight="1" x14ac:dyDescent="0.3">
      <c r="A153" s="47">
        <v>145</v>
      </c>
      <c r="B153" s="101" t="s">
        <v>938</v>
      </c>
      <c r="C153" s="86" t="s">
        <v>855</v>
      </c>
      <c r="D153" s="87" t="s">
        <v>939</v>
      </c>
      <c r="E153" s="88" t="s">
        <v>689</v>
      </c>
      <c r="F153" s="65" t="s">
        <v>790</v>
      </c>
      <c r="G153" s="64" t="s">
        <v>91</v>
      </c>
      <c r="H153" s="64"/>
      <c r="I153" s="64"/>
      <c r="J153" s="65"/>
      <c r="K153" s="65">
        <v>2021</v>
      </c>
      <c r="L153" s="7" t="s">
        <v>940</v>
      </c>
      <c r="M153" s="19"/>
      <c r="N153" s="19"/>
      <c r="O153" s="19"/>
      <c r="P153" s="19"/>
      <c r="Q153" s="19"/>
      <c r="R153" s="19"/>
      <c r="S153" s="19"/>
      <c r="T153" s="19"/>
      <c r="U153" s="19"/>
      <c r="V153" s="19"/>
      <c r="W153" s="19"/>
      <c r="X153" s="19"/>
    </row>
    <row r="154" spans="1:24" ht="14.25" customHeight="1" x14ac:dyDescent="0.3">
      <c r="A154" s="47">
        <v>146</v>
      </c>
      <c r="B154" s="99" t="s">
        <v>941</v>
      </c>
      <c r="C154" s="88" t="s">
        <v>772</v>
      </c>
      <c r="D154" s="87" t="s">
        <v>794</v>
      </c>
      <c r="E154" s="86" t="s">
        <v>795</v>
      </c>
      <c r="F154" s="65" t="s">
        <v>790</v>
      </c>
      <c r="G154" s="64" t="s">
        <v>857</v>
      </c>
      <c r="H154" s="64"/>
      <c r="I154" s="64"/>
      <c r="J154" s="65" t="s">
        <v>942</v>
      </c>
      <c r="K154" s="65">
        <v>2021</v>
      </c>
      <c r="L154" s="7" t="s">
        <v>943</v>
      </c>
      <c r="M154" s="19"/>
      <c r="N154" s="19"/>
      <c r="O154" s="19"/>
      <c r="P154" s="19"/>
      <c r="Q154" s="19"/>
      <c r="R154" s="19"/>
      <c r="S154" s="19"/>
      <c r="T154" s="19"/>
      <c r="U154" s="19"/>
      <c r="V154" s="19"/>
      <c r="W154" s="19"/>
      <c r="X154" s="19"/>
    </row>
    <row r="155" spans="1:24" ht="14.25" customHeight="1" x14ac:dyDescent="0.3">
      <c r="A155" s="47">
        <v>147</v>
      </c>
      <c r="B155" s="85" t="s">
        <v>944</v>
      </c>
      <c r="C155" s="88" t="s">
        <v>772</v>
      </c>
      <c r="D155" s="87" t="s">
        <v>794</v>
      </c>
      <c r="E155" s="86" t="s">
        <v>795</v>
      </c>
      <c r="F155" s="65" t="s">
        <v>790</v>
      </c>
      <c r="G155" s="64" t="s">
        <v>546</v>
      </c>
      <c r="H155" s="64" t="s">
        <v>532</v>
      </c>
      <c r="I155" s="64"/>
      <c r="J155" s="65"/>
      <c r="K155" s="65">
        <v>2021</v>
      </c>
      <c r="L155" s="7" t="s">
        <v>945</v>
      </c>
      <c r="M155" s="19"/>
      <c r="N155" s="19"/>
      <c r="O155" s="19"/>
      <c r="P155" s="19"/>
      <c r="Q155" s="19"/>
      <c r="R155" s="19"/>
      <c r="S155" s="19"/>
      <c r="T155" s="19"/>
      <c r="U155" s="19"/>
      <c r="V155" s="19"/>
      <c r="W155" s="19"/>
      <c r="X155" s="19"/>
    </row>
    <row r="156" spans="1:24" ht="14.25" customHeight="1" x14ac:dyDescent="0.3">
      <c r="A156" s="47">
        <v>148</v>
      </c>
      <c r="B156" s="101" t="s">
        <v>946</v>
      </c>
      <c r="C156" s="88" t="s">
        <v>855</v>
      </c>
      <c r="D156" s="79" t="s">
        <v>878</v>
      </c>
      <c r="E156" s="88" t="s">
        <v>689</v>
      </c>
      <c r="F156" s="65" t="s">
        <v>790</v>
      </c>
      <c r="G156" s="64" t="s">
        <v>543</v>
      </c>
      <c r="H156" s="64" t="s">
        <v>410</v>
      </c>
      <c r="I156" s="64"/>
      <c r="J156" s="65" t="s">
        <v>947</v>
      </c>
      <c r="K156" s="65">
        <v>2021</v>
      </c>
      <c r="L156" s="7" t="s">
        <v>948</v>
      </c>
      <c r="M156" s="19"/>
      <c r="N156" s="19"/>
      <c r="O156" s="19"/>
      <c r="P156" s="19"/>
      <c r="Q156" s="19"/>
      <c r="R156" s="19"/>
      <c r="S156" s="19"/>
      <c r="T156" s="19"/>
      <c r="U156" s="19"/>
      <c r="V156" s="19"/>
      <c r="W156" s="19"/>
      <c r="X156" s="19"/>
    </row>
    <row r="157" spans="1:24" ht="14.25" customHeight="1" x14ac:dyDescent="0.3">
      <c r="A157" s="47">
        <v>149</v>
      </c>
      <c r="B157" s="99" t="s">
        <v>949</v>
      </c>
      <c r="C157" s="88" t="s">
        <v>855</v>
      </c>
      <c r="D157" s="87" t="s">
        <v>882</v>
      </c>
      <c r="E157" s="86"/>
      <c r="F157" s="65" t="s">
        <v>790</v>
      </c>
      <c r="G157" s="64" t="s">
        <v>164</v>
      </c>
      <c r="H157" s="64" t="s">
        <v>538</v>
      </c>
      <c r="I157" s="64"/>
      <c r="J157" s="65" t="s">
        <v>950</v>
      </c>
      <c r="K157" s="65">
        <v>2021</v>
      </c>
      <c r="L157" s="7" t="s">
        <v>951</v>
      </c>
      <c r="M157" s="19"/>
      <c r="N157" s="19"/>
      <c r="O157" s="19"/>
      <c r="P157" s="19"/>
      <c r="Q157" s="19"/>
      <c r="R157" s="19"/>
      <c r="S157" s="19"/>
      <c r="T157" s="19"/>
      <c r="U157" s="19"/>
      <c r="V157" s="19"/>
      <c r="W157" s="19"/>
      <c r="X157" s="19"/>
    </row>
    <row r="158" spans="1:24" ht="14.25" customHeight="1" x14ac:dyDescent="0.3">
      <c r="A158" s="47">
        <v>150</v>
      </c>
      <c r="B158" s="99" t="s">
        <v>952</v>
      </c>
      <c r="C158" s="88" t="s">
        <v>855</v>
      </c>
      <c r="D158" s="87" t="s">
        <v>953</v>
      </c>
      <c r="E158" s="86"/>
      <c r="F158" s="65" t="s">
        <v>790</v>
      </c>
      <c r="G158" s="64" t="s">
        <v>538</v>
      </c>
      <c r="H158" s="64" t="s">
        <v>539</v>
      </c>
      <c r="I158" s="64"/>
      <c r="J158" s="65" t="s">
        <v>954</v>
      </c>
      <c r="K158" s="65">
        <v>2021</v>
      </c>
      <c r="L158" s="7" t="s">
        <v>955</v>
      </c>
      <c r="M158" s="19"/>
      <c r="N158" s="19"/>
      <c r="O158" s="19"/>
      <c r="P158" s="19"/>
      <c r="Q158" s="19"/>
      <c r="R158" s="19"/>
      <c r="S158" s="19"/>
      <c r="T158" s="19"/>
      <c r="U158" s="19"/>
      <c r="V158" s="19"/>
      <c r="W158" s="19"/>
      <c r="X158" s="19"/>
    </row>
    <row r="159" spans="1:24" ht="14.25" customHeight="1" x14ac:dyDescent="0.3">
      <c r="A159" s="47">
        <v>151</v>
      </c>
      <c r="B159" s="85" t="s">
        <v>956</v>
      </c>
      <c r="C159" s="88" t="s">
        <v>772</v>
      </c>
      <c r="D159" s="87" t="s">
        <v>794</v>
      </c>
      <c r="E159" s="86" t="s">
        <v>795</v>
      </c>
      <c r="F159" s="65" t="s">
        <v>790</v>
      </c>
      <c r="G159" s="64" t="s">
        <v>164</v>
      </c>
      <c r="H159" s="64"/>
      <c r="I159" s="64"/>
      <c r="J159" s="65" t="s">
        <v>957</v>
      </c>
      <c r="K159" s="65">
        <v>2021</v>
      </c>
      <c r="L159" s="7" t="s">
        <v>958</v>
      </c>
      <c r="M159" s="19"/>
      <c r="N159" s="19"/>
      <c r="O159" s="19"/>
      <c r="P159" s="19"/>
      <c r="Q159" s="19"/>
      <c r="R159" s="19"/>
      <c r="S159" s="19"/>
      <c r="T159" s="19"/>
      <c r="U159" s="19"/>
      <c r="V159" s="19"/>
      <c r="W159" s="19"/>
      <c r="X159" s="19"/>
    </row>
    <row r="160" spans="1:24" ht="14.25" customHeight="1" x14ac:dyDescent="0.3">
      <c r="A160" s="47">
        <v>152</v>
      </c>
      <c r="B160" s="97" t="s">
        <v>959</v>
      </c>
      <c r="C160" s="88" t="s">
        <v>772</v>
      </c>
      <c r="D160" s="87" t="s">
        <v>780</v>
      </c>
      <c r="E160" s="92" t="s">
        <v>142</v>
      </c>
      <c r="F160" s="65" t="s">
        <v>759</v>
      </c>
      <c r="G160" s="64" t="s">
        <v>606</v>
      </c>
      <c r="H160" s="64" t="s">
        <v>398</v>
      </c>
      <c r="I160" s="64"/>
      <c r="J160" s="65"/>
      <c r="K160" s="65">
        <v>2022</v>
      </c>
      <c r="L160" s="7" t="s">
        <v>960</v>
      </c>
      <c r="M160" s="19"/>
      <c r="N160" s="19"/>
      <c r="O160" s="19"/>
      <c r="P160" s="19"/>
      <c r="Q160" s="19"/>
      <c r="R160" s="19"/>
      <c r="S160" s="19"/>
      <c r="T160" s="19"/>
      <c r="U160" s="19"/>
      <c r="V160" s="19"/>
      <c r="W160" s="19"/>
      <c r="X160" s="19"/>
    </row>
    <row r="161" spans="1:24" ht="14.25" customHeight="1" x14ac:dyDescent="0.3">
      <c r="A161" s="47">
        <v>153</v>
      </c>
      <c r="B161" s="97" t="s">
        <v>961</v>
      </c>
      <c r="C161" s="88" t="s">
        <v>772</v>
      </c>
      <c r="D161" s="87" t="s">
        <v>780</v>
      </c>
      <c r="E161" s="89" t="s">
        <v>142</v>
      </c>
      <c r="F161" s="65" t="s">
        <v>759</v>
      </c>
      <c r="G161" s="64" t="s">
        <v>606</v>
      </c>
      <c r="H161" s="64"/>
      <c r="I161" s="64"/>
      <c r="J161" s="65"/>
      <c r="K161" s="65">
        <v>2022</v>
      </c>
      <c r="L161" s="7" t="s">
        <v>962</v>
      </c>
      <c r="M161" s="19"/>
      <c r="N161" s="19"/>
      <c r="O161" s="19"/>
      <c r="P161" s="19"/>
      <c r="Q161" s="19"/>
      <c r="R161" s="19"/>
      <c r="S161" s="19"/>
      <c r="T161" s="19"/>
      <c r="U161" s="19"/>
      <c r="V161" s="19"/>
      <c r="W161" s="19"/>
      <c r="X161" s="19"/>
    </row>
    <row r="162" spans="1:24" ht="14.25" customHeight="1" x14ac:dyDescent="0.3">
      <c r="A162" s="47">
        <v>154</v>
      </c>
      <c r="B162" s="97" t="s">
        <v>963</v>
      </c>
      <c r="C162" s="88" t="s">
        <v>772</v>
      </c>
      <c r="D162" s="87" t="s">
        <v>780</v>
      </c>
      <c r="E162" s="89" t="s">
        <v>142</v>
      </c>
      <c r="F162" s="65" t="s">
        <v>759</v>
      </c>
      <c r="G162" s="64" t="s">
        <v>91</v>
      </c>
      <c r="H162" s="64"/>
      <c r="I162" s="64"/>
      <c r="J162" s="65"/>
      <c r="K162" s="65">
        <v>2022</v>
      </c>
      <c r="L162" s="7" t="s">
        <v>964</v>
      </c>
      <c r="M162" s="19"/>
      <c r="N162" s="19"/>
      <c r="O162" s="19"/>
      <c r="P162" s="19"/>
      <c r="Q162" s="19"/>
      <c r="R162" s="19"/>
      <c r="S162" s="19"/>
      <c r="T162" s="19"/>
      <c r="U162" s="19"/>
      <c r="V162" s="19"/>
      <c r="W162" s="19"/>
      <c r="X162" s="19"/>
    </row>
    <row r="163" spans="1:24" ht="14.25" customHeight="1" x14ac:dyDescent="0.3">
      <c r="A163" s="47">
        <v>155</v>
      </c>
      <c r="B163" s="101" t="s">
        <v>965</v>
      </c>
      <c r="C163" s="88" t="s">
        <v>855</v>
      </c>
      <c r="D163" s="79" t="s">
        <v>878</v>
      </c>
      <c r="E163" s="88" t="s">
        <v>689</v>
      </c>
      <c r="F163" s="65" t="s">
        <v>790</v>
      </c>
      <c r="G163" s="64" t="s">
        <v>91</v>
      </c>
      <c r="H163" s="64"/>
      <c r="I163" s="64"/>
      <c r="J163" s="65" t="s">
        <v>966</v>
      </c>
      <c r="K163" s="65">
        <v>2022</v>
      </c>
      <c r="L163" s="7" t="s">
        <v>967</v>
      </c>
      <c r="M163" s="19"/>
      <c r="N163" s="19"/>
      <c r="O163" s="19"/>
      <c r="P163" s="19"/>
      <c r="Q163" s="19"/>
      <c r="R163" s="19"/>
      <c r="S163" s="19"/>
      <c r="T163" s="19"/>
      <c r="U163" s="19"/>
      <c r="V163" s="19"/>
      <c r="W163" s="19"/>
      <c r="X163" s="19"/>
    </row>
    <row r="164" spans="1:24" ht="14.25" customHeight="1" x14ac:dyDescent="0.3">
      <c r="A164" s="47">
        <v>156</v>
      </c>
      <c r="B164" s="85" t="s">
        <v>968</v>
      </c>
      <c r="C164" s="88" t="s">
        <v>772</v>
      </c>
      <c r="D164" s="87" t="s">
        <v>794</v>
      </c>
      <c r="E164" s="86" t="s">
        <v>795</v>
      </c>
      <c r="F164" s="65" t="s">
        <v>790</v>
      </c>
      <c r="G164" s="64" t="s">
        <v>610</v>
      </c>
      <c r="H164" s="64" t="s">
        <v>366</v>
      </c>
      <c r="I164" s="64" t="s">
        <v>538</v>
      </c>
      <c r="J164" s="65"/>
      <c r="K164" s="65">
        <v>2022</v>
      </c>
      <c r="L164" s="7" t="s">
        <v>969</v>
      </c>
      <c r="M164" s="19"/>
      <c r="N164" s="19"/>
      <c r="O164" s="19"/>
      <c r="P164" s="19"/>
      <c r="Q164" s="19"/>
      <c r="R164" s="19"/>
      <c r="S164" s="19"/>
      <c r="T164" s="19"/>
      <c r="U164" s="19"/>
      <c r="V164" s="19"/>
      <c r="W164" s="19"/>
      <c r="X164" s="19"/>
    </row>
    <row r="165" spans="1:24" ht="14.25" customHeight="1" x14ac:dyDescent="0.3">
      <c r="A165" s="47">
        <v>157</v>
      </c>
      <c r="B165" s="64" t="s">
        <v>970</v>
      </c>
      <c r="C165" s="65" t="s">
        <v>971</v>
      </c>
      <c r="D165" s="74" t="s">
        <v>972</v>
      </c>
      <c r="E165" s="65"/>
      <c r="F165" s="65" t="s">
        <v>973</v>
      </c>
      <c r="G165" s="64" t="s">
        <v>606</v>
      </c>
      <c r="H165" s="64"/>
      <c r="I165" s="64"/>
      <c r="J165" s="65"/>
      <c r="K165" s="65">
        <v>2021</v>
      </c>
      <c r="L165" s="7" t="s">
        <v>974</v>
      </c>
      <c r="M165" s="19"/>
      <c r="N165" s="19"/>
      <c r="O165" s="19"/>
      <c r="P165" s="19"/>
      <c r="Q165" s="19"/>
      <c r="R165" s="19"/>
      <c r="S165" s="19"/>
      <c r="T165" s="19"/>
      <c r="U165" s="19"/>
      <c r="V165" s="19"/>
      <c r="W165" s="19"/>
      <c r="X165" s="19"/>
    </row>
    <row r="166" spans="1:24" ht="14.25" customHeight="1" x14ac:dyDescent="0.3">
      <c r="A166" s="47">
        <v>158</v>
      </c>
      <c r="B166" s="64" t="s">
        <v>975</v>
      </c>
      <c r="C166" s="65" t="s">
        <v>971</v>
      </c>
      <c r="D166" s="74" t="s">
        <v>972</v>
      </c>
      <c r="E166" s="65"/>
      <c r="F166" s="65" t="s">
        <v>973</v>
      </c>
      <c r="G166" s="64" t="s">
        <v>606</v>
      </c>
      <c r="H166" s="64"/>
      <c r="I166" s="64"/>
      <c r="J166" s="65"/>
      <c r="K166" s="65">
        <v>2022</v>
      </c>
      <c r="L166" s="7" t="s">
        <v>976</v>
      </c>
      <c r="M166" s="19"/>
      <c r="N166" s="19"/>
      <c r="O166" s="19"/>
      <c r="P166" s="19"/>
      <c r="Q166" s="19"/>
      <c r="R166" s="19"/>
      <c r="S166" s="19"/>
      <c r="T166" s="19"/>
      <c r="U166" s="19"/>
      <c r="V166" s="19"/>
      <c r="W166" s="19"/>
      <c r="X166" s="19"/>
    </row>
    <row r="167" spans="1:24" ht="14.25" customHeight="1" x14ac:dyDescent="0.3">
      <c r="A167" s="47">
        <v>159</v>
      </c>
      <c r="B167" s="64" t="s">
        <v>977</v>
      </c>
      <c r="C167" s="65" t="s">
        <v>971</v>
      </c>
      <c r="D167" s="74" t="s">
        <v>972</v>
      </c>
      <c r="E167" s="65"/>
      <c r="F167" s="65" t="s">
        <v>973</v>
      </c>
      <c r="G167" s="64" t="s">
        <v>366</v>
      </c>
      <c r="H167" s="64"/>
      <c r="I167" s="64"/>
      <c r="J167" s="65"/>
      <c r="K167" s="65">
        <v>2021</v>
      </c>
      <c r="L167" s="7" t="s">
        <v>978</v>
      </c>
      <c r="M167" s="19"/>
      <c r="N167" s="19"/>
      <c r="O167" s="19"/>
      <c r="P167" s="19"/>
      <c r="Q167" s="19"/>
      <c r="R167" s="19"/>
      <c r="S167" s="19"/>
      <c r="T167" s="19"/>
      <c r="U167" s="19"/>
      <c r="V167" s="19"/>
      <c r="W167" s="19"/>
      <c r="X167" s="19"/>
    </row>
    <row r="168" spans="1:24" ht="14.25" customHeight="1" x14ac:dyDescent="0.3">
      <c r="A168" s="47">
        <v>160</v>
      </c>
      <c r="B168" s="64" t="s">
        <v>979</v>
      </c>
      <c r="C168" s="65" t="s">
        <v>971</v>
      </c>
      <c r="D168" s="74" t="s">
        <v>980</v>
      </c>
      <c r="E168" s="65"/>
      <c r="F168" s="65" t="s">
        <v>973</v>
      </c>
      <c r="G168" s="64" t="s">
        <v>91</v>
      </c>
      <c r="H168" s="64"/>
      <c r="I168" s="64"/>
      <c r="J168" s="65"/>
      <c r="K168" s="65">
        <v>2021</v>
      </c>
      <c r="L168" s="7" t="s">
        <v>981</v>
      </c>
      <c r="M168" s="19"/>
      <c r="N168" s="19"/>
      <c r="O168" s="19"/>
      <c r="P168" s="19"/>
      <c r="Q168" s="19"/>
      <c r="R168" s="19"/>
      <c r="S168" s="19"/>
      <c r="T168" s="19"/>
      <c r="U168" s="19"/>
      <c r="V168" s="19"/>
      <c r="W168" s="19"/>
      <c r="X168" s="19"/>
    </row>
    <row r="169" spans="1:24" ht="14.25" customHeight="1" x14ac:dyDescent="0.3">
      <c r="A169" s="47">
        <v>161</v>
      </c>
      <c r="B169" s="64" t="s">
        <v>982</v>
      </c>
      <c r="C169" s="65" t="s">
        <v>971</v>
      </c>
      <c r="D169" s="74" t="s">
        <v>983</v>
      </c>
      <c r="E169" s="65"/>
      <c r="F169" s="65" t="s">
        <v>973</v>
      </c>
      <c r="G169" s="64" t="s">
        <v>164</v>
      </c>
      <c r="H169" s="64"/>
      <c r="I169" s="64"/>
      <c r="J169" s="65"/>
      <c r="K169" s="65">
        <v>2022</v>
      </c>
      <c r="L169" s="7" t="s">
        <v>984</v>
      </c>
      <c r="M169" s="19"/>
      <c r="N169" s="19"/>
      <c r="O169" s="19"/>
      <c r="P169" s="19"/>
      <c r="Q169" s="19"/>
      <c r="R169" s="19"/>
      <c r="S169" s="19"/>
      <c r="T169" s="19"/>
      <c r="U169" s="19"/>
      <c r="V169" s="19"/>
      <c r="W169" s="19"/>
      <c r="X169" s="19"/>
    </row>
    <row r="170" spans="1:24" ht="14.25" customHeight="1" x14ac:dyDescent="0.3">
      <c r="A170" s="47">
        <v>162</v>
      </c>
      <c r="B170" s="64" t="s">
        <v>985</v>
      </c>
      <c r="C170" s="65" t="s">
        <v>986</v>
      </c>
      <c r="D170" s="74"/>
      <c r="E170" s="65"/>
      <c r="F170" s="65" t="s">
        <v>987</v>
      </c>
      <c r="G170" s="64" t="s">
        <v>606</v>
      </c>
      <c r="H170" s="64" t="s">
        <v>607</v>
      </c>
      <c r="I170" s="64"/>
      <c r="J170" s="65"/>
      <c r="K170" s="65">
        <v>2020</v>
      </c>
      <c r="L170" s="7" t="s">
        <v>988</v>
      </c>
      <c r="M170" s="19"/>
      <c r="N170" s="19"/>
      <c r="O170" s="19"/>
      <c r="P170" s="19"/>
      <c r="Q170" s="19"/>
      <c r="R170" s="19"/>
      <c r="S170" s="19"/>
      <c r="T170" s="19"/>
      <c r="U170" s="19"/>
      <c r="V170" s="19"/>
      <c r="W170" s="19"/>
      <c r="X170" s="19"/>
    </row>
    <row r="171" spans="1:24" ht="14.25" customHeight="1" x14ac:dyDescent="0.3">
      <c r="A171" s="47">
        <v>163</v>
      </c>
      <c r="B171" s="64" t="s">
        <v>989</v>
      </c>
      <c r="C171" s="65" t="s">
        <v>986</v>
      </c>
      <c r="D171" s="74" t="s">
        <v>990</v>
      </c>
      <c r="E171" s="65"/>
      <c r="F171" s="65" t="s">
        <v>987</v>
      </c>
      <c r="G171" s="64" t="s">
        <v>91</v>
      </c>
      <c r="H171" s="64"/>
      <c r="I171" s="64"/>
      <c r="J171" s="65" t="s">
        <v>991</v>
      </c>
      <c r="K171" s="65">
        <v>2022</v>
      </c>
      <c r="L171" s="7" t="s">
        <v>992</v>
      </c>
      <c r="M171" s="19"/>
      <c r="N171" s="19"/>
      <c r="O171" s="19"/>
      <c r="P171" s="19"/>
      <c r="Q171" s="19"/>
      <c r="R171" s="19"/>
      <c r="S171" s="19"/>
      <c r="T171" s="19"/>
      <c r="U171" s="19"/>
      <c r="V171" s="19"/>
      <c r="W171" s="19"/>
      <c r="X171" s="19"/>
    </row>
    <row r="172" spans="1:24" ht="14.25" customHeight="1" x14ac:dyDescent="0.3">
      <c r="A172" s="47">
        <v>164</v>
      </c>
      <c r="B172" s="55" t="s">
        <v>993</v>
      </c>
      <c r="C172" s="50" t="s">
        <v>512</v>
      </c>
      <c r="D172" s="74" t="s">
        <v>994</v>
      </c>
      <c r="E172" s="65" t="s">
        <v>689</v>
      </c>
      <c r="F172" s="50" t="s">
        <v>666</v>
      </c>
      <c r="G172" s="55" t="s">
        <v>554</v>
      </c>
      <c r="H172" s="55" t="s">
        <v>525</v>
      </c>
      <c r="I172" s="55"/>
      <c r="J172" s="50" t="s">
        <v>995</v>
      </c>
      <c r="K172" s="50">
        <v>2020</v>
      </c>
      <c r="L172" s="7" t="s">
        <v>996</v>
      </c>
      <c r="M172" s="19"/>
      <c r="N172" s="19"/>
      <c r="O172" s="19"/>
      <c r="P172" s="19"/>
      <c r="Q172" s="19"/>
      <c r="R172" s="19"/>
      <c r="S172" s="19"/>
      <c r="T172" s="19"/>
      <c r="U172" s="19"/>
      <c r="V172" s="19"/>
      <c r="W172" s="19"/>
      <c r="X172" s="19"/>
    </row>
    <row r="173" spans="1:24" ht="14.25" customHeight="1" x14ac:dyDescent="0.3">
      <c r="A173" s="47">
        <v>165</v>
      </c>
      <c r="B173" s="55" t="s">
        <v>2351</v>
      </c>
      <c r="C173" s="50" t="s">
        <v>855</v>
      </c>
      <c r="D173" s="82" t="s">
        <v>794</v>
      </c>
      <c r="E173" s="88" t="s">
        <v>795</v>
      </c>
      <c r="F173" s="50" t="s">
        <v>790</v>
      </c>
      <c r="G173" s="23" t="s">
        <v>185</v>
      </c>
      <c r="H173" s="55" t="s">
        <v>2345</v>
      </c>
      <c r="I173" s="55" t="s">
        <v>412</v>
      </c>
      <c r="J173" s="50"/>
      <c r="K173" s="50">
        <v>2023</v>
      </c>
      <c r="L173" s="7" t="s">
        <v>4116</v>
      </c>
      <c r="M173" s="19"/>
      <c r="N173" s="19"/>
      <c r="O173" s="19"/>
      <c r="P173" s="19"/>
      <c r="Q173" s="19"/>
      <c r="R173" s="19"/>
      <c r="S173" s="19"/>
      <c r="T173" s="19"/>
      <c r="U173" s="19"/>
      <c r="V173" s="19"/>
      <c r="W173" s="19"/>
      <c r="X173" s="19"/>
    </row>
    <row r="174" spans="1:24" ht="14.25" customHeight="1" x14ac:dyDescent="0.3">
      <c r="A174" s="47">
        <v>166</v>
      </c>
      <c r="B174" s="55" t="s">
        <v>997</v>
      </c>
      <c r="C174" s="50" t="s">
        <v>512</v>
      </c>
      <c r="D174" s="74" t="s">
        <v>998</v>
      </c>
      <c r="E174" s="65" t="s">
        <v>142</v>
      </c>
      <c r="F174" s="50" t="s">
        <v>639</v>
      </c>
      <c r="G174" s="55" t="s">
        <v>554</v>
      </c>
      <c r="H174" s="55"/>
      <c r="I174" s="55"/>
      <c r="J174" s="50" t="s">
        <v>999</v>
      </c>
      <c r="K174" s="50">
        <v>2020</v>
      </c>
      <c r="L174" s="7" t="s">
        <v>1000</v>
      </c>
      <c r="M174" s="19"/>
      <c r="N174" s="19"/>
      <c r="O174" s="19"/>
      <c r="P174" s="19"/>
      <c r="Q174" s="19"/>
      <c r="R174" s="19"/>
      <c r="S174" s="19"/>
      <c r="T174" s="19"/>
      <c r="U174" s="19"/>
      <c r="V174" s="19"/>
      <c r="W174" s="19"/>
      <c r="X174" s="19"/>
    </row>
    <row r="175" spans="1:24" ht="14.25" customHeight="1" x14ac:dyDescent="0.3">
      <c r="A175" s="47">
        <v>167</v>
      </c>
      <c r="B175" s="55" t="s">
        <v>1001</v>
      </c>
      <c r="C175" s="50" t="s">
        <v>512</v>
      </c>
      <c r="D175" s="74" t="s">
        <v>659</v>
      </c>
      <c r="E175" s="65" t="s">
        <v>142</v>
      </c>
      <c r="F175" s="50" t="s">
        <v>639</v>
      </c>
      <c r="G175" s="55" t="s">
        <v>410</v>
      </c>
      <c r="H175" s="55" t="s">
        <v>543</v>
      </c>
      <c r="I175" s="55" t="s">
        <v>396</v>
      </c>
      <c r="J175" s="50" t="s">
        <v>1002</v>
      </c>
      <c r="K175" s="50">
        <v>2022</v>
      </c>
      <c r="L175" s="7" t="s">
        <v>1003</v>
      </c>
      <c r="M175" s="19"/>
      <c r="N175" s="19"/>
      <c r="O175" s="19"/>
      <c r="P175" s="19"/>
      <c r="Q175" s="19"/>
      <c r="R175" s="19"/>
      <c r="S175" s="19"/>
      <c r="T175" s="19"/>
      <c r="U175" s="19"/>
      <c r="V175" s="19"/>
      <c r="W175" s="19"/>
      <c r="X175" s="19"/>
    </row>
    <row r="176" spans="1:24" ht="14.25" customHeight="1" x14ac:dyDescent="0.3">
      <c r="A176" s="47">
        <v>168</v>
      </c>
      <c r="B176" s="55" t="s">
        <v>1004</v>
      </c>
      <c r="C176" s="50" t="s">
        <v>512</v>
      </c>
      <c r="D176" s="74" t="s">
        <v>1005</v>
      </c>
      <c r="E176" s="65"/>
      <c r="F176" s="50" t="s">
        <v>514</v>
      </c>
      <c r="G176" s="55" t="s">
        <v>554</v>
      </c>
      <c r="H176" s="55"/>
      <c r="I176" s="55"/>
      <c r="J176" s="50" t="s">
        <v>1006</v>
      </c>
      <c r="K176" s="50">
        <v>2023</v>
      </c>
      <c r="L176" s="7" t="s">
        <v>1007</v>
      </c>
      <c r="M176" s="19"/>
      <c r="N176" s="19"/>
      <c r="O176" s="19"/>
      <c r="P176" s="19"/>
      <c r="Q176" s="19"/>
      <c r="R176" s="19"/>
      <c r="S176" s="19"/>
      <c r="T176" s="19"/>
      <c r="U176" s="19"/>
      <c r="V176" s="19"/>
      <c r="W176" s="19"/>
      <c r="X176" s="19"/>
    </row>
    <row r="177" spans="1:24" ht="14.25" customHeight="1" x14ac:dyDescent="0.3">
      <c r="A177" s="47">
        <v>169</v>
      </c>
      <c r="B177" s="55" t="s">
        <v>2206</v>
      </c>
      <c r="C177" s="50" t="s">
        <v>512</v>
      </c>
      <c r="D177" s="74" t="s">
        <v>2207</v>
      </c>
      <c r="E177" s="65" t="s">
        <v>2208</v>
      </c>
      <c r="F177" s="50" t="s">
        <v>666</v>
      </c>
      <c r="G177" s="55" t="s">
        <v>546</v>
      </c>
      <c r="H177" s="55" t="s">
        <v>525</v>
      </c>
      <c r="I177" s="55"/>
      <c r="J177" s="50"/>
      <c r="K177" s="50">
        <v>2023</v>
      </c>
      <c r="L177" s="7" t="s">
        <v>2209</v>
      </c>
      <c r="M177" s="19"/>
      <c r="N177" s="19"/>
      <c r="O177" s="19"/>
      <c r="P177" s="19"/>
      <c r="Q177" s="19"/>
      <c r="R177" s="19"/>
      <c r="S177" s="19"/>
      <c r="T177" s="19"/>
      <c r="U177" s="19"/>
      <c r="V177" s="19"/>
      <c r="W177" s="19"/>
      <c r="X177" s="19"/>
    </row>
    <row r="178" spans="1:24" ht="14.25" customHeight="1" x14ac:dyDescent="0.3">
      <c r="A178" s="47">
        <v>170</v>
      </c>
      <c r="B178" s="257" t="s">
        <v>2355</v>
      </c>
      <c r="C178" s="98" t="s">
        <v>855</v>
      </c>
      <c r="D178" s="257" t="s">
        <v>2354</v>
      </c>
      <c r="E178" s="86" t="s">
        <v>795</v>
      </c>
      <c r="F178" s="65" t="s">
        <v>790</v>
      </c>
      <c r="G178" s="258" t="s">
        <v>1862</v>
      </c>
      <c r="H178" s="258" t="s">
        <v>533</v>
      </c>
      <c r="I178" s="258"/>
      <c r="J178" s="98"/>
      <c r="K178" s="98">
        <v>2023</v>
      </c>
      <c r="L178" s="250" t="s">
        <v>2356</v>
      </c>
      <c r="M178" s="19"/>
      <c r="N178" s="19"/>
      <c r="O178" s="19"/>
      <c r="P178" s="19"/>
      <c r="Q178" s="19"/>
      <c r="R178" s="19"/>
      <c r="S178" s="19"/>
      <c r="T178" s="19"/>
      <c r="U178" s="19"/>
      <c r="V178" s="19"/>
      <c r="W178" s="19"/>
      <c r="X178" s="19"/>
    </row>
    <row r="179" spans="1:24" ht="14.25" customHeight="1" x14ac:dyDescent="0.3">
      <c r="A179" s="47">
        <v>171</v>
      </c>
      <c r="B179" s="259" t="s">
        <v>2357</v>
      </c>
      <c r="C179" s="98" t="s">
        <v>512</v>
      </c>
      <c r="D179" s="82" t="s">
        <v>638</v>
      </c>
      <c r="E179" s="49" t="s">
        <v>142</v>
      </c>
      <c r="F179" s="49" t="s">
        <v>639</v>
      </c>
      <c r="G179" s="258" t="s">
        <v>543</v>
      </c>
      <c r="H179" s="258" t="s">
        <v>642</v>
      </c>
      <c r="I179" s="258" t="s">
        <v>412</v>
      </c>
      <c r="J179" s="98"/>
      <c r="K179" s="98">
        <v>2020</v>
      </c>
      <c r="L179" s="250" t="s">
        <v>2358</v>
      </c>
      <c r="M179" s="19"/>
      <c r="N179" s="19"/>
      <c r="O179" s="19"/>
      <c r="P179" s="19"/>
      <c r="Q179" s="19"/>
      <c r="R179" s="19"/>
      <c r="S179" s="19"/>
      <c r="T179" s="19"/>
      <c r="U179" s="19"/>
      <c r="V179" s="19"/>
      <c r="W179" s="19"/>
      <c r="X179" s="19"/>
    </row>
    <row r="180" spans="1:24" ht="14.25" customHeight="1" x14ac:dyDescent="0.3">
      <c r="A180" s="47">
        <v>172</v>
      </c>
      <c r="B180" s="275" t="s">
        <v>3901</v>
      </c>
      <c r="C180" s="11" t="s">
        <v>512</v>
      </c>
      <c r="D180" s="276" t="s">
        <v>696</v>
      </c>
      <c r="E180" s="277" t="s">
        <v>697</v>
      </c>
      <c r="F180" s="278" t="s">
        <v>666</v>
      </c>
      <c r="G180" s="279" t="s">
        <v>2361</v>
      </c>
      <c r="H180" s="279"/>
      <c r="I180" s="279"/>
      <c r="J180" s="11"/>
      <c r="K180" s="11">
        <v>2022</v>
      </c>
      <c r="L180" s="7" t="s">
        <v>3905</v>
      </c>
      <c r="M180" s="19"/>
      <c r="N180" s="19"/>
      <c r="O180" s="19"/>
      <c r="P180" s="19"/>
      <c r="Q180" s="19"/>
      <c r="R180" s="19"/>
      <c r="S180" s="19"/>
      <c r="T180" s="19"/>
      <c r="U180" s="19"/>
      <c r="V180" s="19"/>
      <c r="W180" s="19"/>
      <c r="X180" s="19"/>
    </row>
    <row r="181" spans="1:24" ht="14.25" customHeight="1" x14ac:dyDescent="0.3">
      <c r="A181" s="19"/>
      <c r="B181" s="19"/>
      <c r="C181" s="20"/>
      <c r="E181" s="28"/>
      <c r="F181" s="20"/>
      <c r="G181" s="19"/>
      <c r="H181" s="19"/>
      <c r="I181" s="19"/>
      <c r="J181" s="20"/>
      <c r="K181" s="20"/>
      <c r="L181" s="19"/>
      <c r="M181" s="19"/>
      <c r="N181" s="19"/>
      <c r="O181" s="19"/>
      <c r="P181" s="19"/>
      <c r="Q181" s="19"/>
      <c r="R181" s="19"/>
      <c r="S181" s="19"/>
      <c r="T181" s="19"/>
      <c r="U181" s="19"/>
      <c r="V181" s="19"/>
      <c r="W181" s="19"/>
      <c r="X181" s="19"/>
    </row>
    <row r="182" spans="1:24" ht="14.25" customHeight="1" x14ac:dyDescent="0.3">
      <c r="A182" s="19"/>
      <c r="B182" s="19"/>
      <c r="C182" s="20"/>
      <c r="E182" s="28"/>
      <c r="F182" s="20"/>
      <c r="G182" s="19"/>
      <c r="H182" s="19"/>
      <c r="I182" s="19"/>
      <c r="J182" s="20"/>
      <c r="K182" s="20"/>
      <c r="L182" s="19"/>
      <c r="M182" s="19"/>
      <c r="N182" s="19"/>
      <c r="O182" s="19"/>
      <c r="P182" s="19"/>
      <c r="Q182" s="19"/>
      <c r="R182" s="19"/>
      <c r="S182" s="19"/>
      <c r="T182" s="19"/>
      <c r="U182" s="19"/>
      <c r="V182" s="19"/>
      <c r="W182" s="19"/>
      <c r="X182" s="19"/>
    </row>
    <row r="183" spans="1:24" ht="14.25" customHeight="1" x14ac:dyDescent="0.3">
      <c r="A183" s="19"/>
      <c r="B183" s="312" t="s">
        <v>4039</v>
      </c>
      <c r="C183" s="20"/>
      <c r="E183" s="28"/>
      <c r="F183" s="20"/>
      <c r="G183" s="19"/>
      <c r="H183" s="19"/>
      <c r="I183" s="19"/>
      <c r="J183" s="20"/>
      <c r="K183" s="20"/>
      <c r="L183" s="19"/>
      <c r="M183" s="19"/>
      <c r="N183" s="19"/>
      <c r="O183" s="19"/>
      <c r="P183" s="19"/>
      <c r="Q183" s="19"/>
      <c r="R183" s="19"/>
      <c r="S183" s="19"/>
      <c r="T183" s="19"/>
      <c r="U183" s="19"/>
      <c r="V183" s="19"/>
      <c r="W183" s="19"/>
      <c r="X183" s="19"/>
    </row>
    <row r="184" spans="1:24" ht="14.25" customHeight="1" x14ac:dyDescent="0.3">
      <c r="A184" s="19"/>
      <c r="B184" s="19"/>
      <c r="C184" s="20"/>
      <c r="E184" s="28"/>
      <c r="F184" s="20"/>
      <c r="G184" s="19"/>
      <c r="H184" s="19"/>
      <c r="I184" s="19"/>
      <c r="J184" s="20"/>
      <c r="K184" s="20"/>
      <c r="L184" s="19"/>
      <c r="M184" s="19"/>
      <c r="N184" s="19"/>
      <c r="O184" s="19"/>
      <c r="P184" s="19"/>
      <c r="Q184" s="19"/>
      <c r="R184" s="19"/>
      <c r="S184" s="19"/>
      <c r="T184" s="19"/>
      <c r="U184" s="19"/>
      <c r="V184" s="19"/>
      <c r="W184" s="19"/>
      <c r="X184" s="19"/>
    </row>
    <row r="185" spans="1:24" ht="14.25" customHeight="1" x14ac:dyDescent="0.3">
      <c r="A185" s="19"/>
      <c r="B185" s="19"/>
      <c r="C185" s="20"/>
      <c r="E185" s="28"/>
      <c r="F185" s="20"/>
      <c r="G185" s="19"/>
      <c r="H185" s="19"/>
      <c r="I185" s="19"/>
      <c r="J185" s="20"/>
      <c r="K185" s="20"/>
      <c r="L185" s="19"/>
      <c r="M185" s="19"/>
      <c r="N185" s="19"/>
      <c r="O185" s="19"/>
      <c r="P185" s="19"/>
      <c r="Q185" s="19"/>
      <c r="R185" s="19"/>
      <c r="S185" s="19"/>
      <c r="T185" s="19"/>
      <c r="U185" s="19"/>
      <c r="V185" s="19"/>
      <c r="W185" s="19"/>
      <c r="X185" s="19"/>
    </row>
    <row r="186" spans="1:24" ht="14.25" customHeight="1" x14ac:dyDescent="0.3">
      <c r="A186" s="19"/>
      <c r="B186" s="19"/>
      <c r="C186" s="20"/>
      <c r="E186" s="28"/>
      <c r="F186" s="20"/>
      <c r="G186" s="19"/>
      <c r="H186" s="19"/>
      <c r="I186" s="19"/>
      <c r="J186" s="20"/>
      <c r="K186" s="20"/>
      <c r="L186" s="19"/>
      <c r="M186" s="19"/>
      <c r="N186" s="19"/>
      <c r="O186" s="19"/>
      <c r="P186" s="19"/>
      <c r="Q186" s="19"/>
      <c r="R186" s="19"/>
      <c r="S186" s="19"/>
      <c r="T186" s="19"/>
      <c r="U186" s="19"/>
      <c r="V186" s="19"/>
      <c r="W186" s="19"/>
      <c r="X186" s="19"/>
    </row>
    <row r="187" spans="1:24" ht="14.25" customHeight="1" x14ac:dyDescent="0.3">
      <c r="A187" s="19"/>
      <c r="B187" s="19"/>
      <c r="C187" s="20"/>
      <c r="E187" s="28"/>
      <c r="F187" s="20"/>
      <c r="G187" s="19"/>
      <c r="H187" s="19"/>
      <c r="I187" s="19"/>
      <c r="J187" s="20"/>
      <c r="K187" s="20"/>
      <c r="L187" s="19"/>
      <c r="M187" s="19"/>
      <c r="N187" s="19"/>
      <c r="O187" s="19"/>
      <c r="P187" s="19"/>
      <c r="Q187" s="19"/>
      <c r="R187" s="19"/>
      <c r="S187" s="19"/>
      <c r="T187" s="19"/>
      <c r="U187" s="19"/>
      <c r="V187" s="19"/>
      <c r="W187" s="19"/>
      <c r="X187" s="19"/>
    </row>
    <row r="188" spans="1:24" ht="14.25" customHeight="1" x14ac:dyDescent="0.3">
      <c r="A188" s="19"/>
      <c r="B188" s="19"/>
      <c r="C188" s="20"/>
      <c r="E188" s="28"/>
      <c r="F188" s="20"/>
      <c r="G188" s="19"/>
      <c r="H188" s="19"/>
      <c r="I188" s="19"/>
      <c r="J188" s="20"/>
      <c r="K188" s="20"/>
      <c r="L188" s="19"/>
      <c r="M188" s="19"/>
      <c r="N188" s="19"/>
      <c r="O188" s="19"/>
      <c r="P188" s="19"/>
      <c r="Q188" s="19"/>
      <c r="R188" s="19"/>
      <c r="S188" s="19"/>
      <c r="T188" s="19"/>
      <c r="U188" s="19"/>
      <c r="V188" s="19"/>
      <c r="W188" s="19"/>
      <c r="X188" s="19"/>
    </row>
    <row r="189" spans="1:24" ht="14.25" customHeight="1" x14ac:dyDescent="0.3">
      <c r="A189" s="19"/>
      <c r="B189" s="19"/>
      <c r="C189" s="20"/>
      <c r="E189" s="28"/>
      <c r="F189" s="20"/>
      <c r="G189" s="19"/>
      <c r="H189" s="19"/>
      <c r="I189" s="19"/>
      <c r="J189" s="20"/>
      <c r="K189" s="20"/>
      <c r="L189" s="19"/>
      <c r="M189" s="19"/>
      <c r="N189" s="19"/>
      <c r="O189" s="19"/>
      <c r="P189" s="19"/>
      <c r="Q189" s="19"/>
      <c r="R189" s="19"/>
      <c r="S189" s="19"/>
      <c r="T189" s="19"/>
      <c r="U189" s="19"/>
      <c r="V189" s="19"/>
      <c r="W189" s="19"/>
      <c r="X189" s="19"/>
    </row>
    <row r="190" spans="1:24" ht="14.25" customHeight="1" x14ac:dyDescent="0.3">
      <c r="A190" s="19"/>
      <c r="B190" s="19"/>
      <c r="C190" s="20"/>
      <c r="E190" s="28"/>
      <c r="F190" s="20"/>
      <c r="G190" s="19"/>
      <c r="H190" s="19"/>
      <c r="I190" s="19"/>
      <c r="J190" s="20"/>
      <c r="K190" s="20"/>
      <c r="L190" s="19"/>
      <c r="M190" s="19"/>
      <c r="N190" s="19"/>
      <c r="O190" s="19"/>
      <c r="P190" s="19"/>
      <c r="Q190" s="19"/>
      <c r="R190" s="19"/>
      <c r="S190" s="19"/>
      <c r="T190" s="19"/>
      <c r="U190" s="19"/>
      <c r="V190" s="19"/>
      <c r="W190" s="19"/>
      <c r="X190" s="19"/>
    </row>
    <row r="191" spans="1:24" ht="14.25" customHeight="1" x14ac:dyDescent="0.3">
      <c r="A191" s="19"/>
      <c r="B191" s="19"/>
      <c r="C191" s="20"/>
      <c r="E191" s="28"/>
      <c r="F191" s="20"/>
      <c r="G191" s="19"/>
      <c r="H191" s="19"/>
      <c r="I191" s="19"/>
      <c r="J191" s="20"/>
      <c r="K191" s="20"/>
      <c r="L191" s="19"/>
      <c r="M191" s="19"/>
      <c r="N191" s="19"/>
      <c r="O191" s="19"/>
      <c r="P191" s="19"/>
      <c r="Q191" s="19"/>
      <c r="R191" s="19"/>
      <c r="S191" s="19"/>
      <c r="T191" s="19"/>
      <c r="U191" s="19"/>
      <c r="V191" s="19"/>
      <c r="W191" s="19"/>
      <c r="X191" s="19"/>
    </row>
    <row r="192" spans="1:24" ht="14.25" customHeight="1" x14ac:dyDescent="0.3">
      <c r="A192" s="19"/>
      <c r="B192" s="19"/>
      <c r="C192" s="20"/>
      <c r="E192" s="28"/>
      <c r="F192" s="20"/>
      <c r="G192" s="19"/>
      <c r="H192" s="19"/>
      <c r="I192" s="19"/>
      <c r="J192" s="20"/>
      <c r="K192" s="20"/>
      <c r="L192" s="19"/>
      <c r="M192" s="19"/>
      <c r="N192" s="19"/>
      <c r="O192" s="19"/>
      <c r="P192" s="19"/>
      <c r="Q192" s="19"/>
      <c r="R192" s="19"/>
      <c r="S192" s="19"/>
      <c r="T192" s="19"/>
      <c r="U192" s="19"/>
      <c r="V192" s="19"/>
      <c r="W192" s="19"/>
      <c r="X192" s="19"/>
    </row>
    <row r="193" spans="1:24" ht="14.25" customHeight="1" x14ac:dyDescent="0.3">
      <c r="A193" s="19"/>
      <c r="B193" s="19"/>
      <c r="C193" s="20"/>
      <c r="E193" s="28"/>
      <c r="F193" s="20"/>
      <c r="G193" s="19"/>
      <c r="H193" s="19"/>
      <c r="I193" s="19"/>
      <c r="J193" s="20"/>
      <c r="K193" s="20"/>
      <c r="L193" s="19"/>
      <c r="M193" s="19"/>
      <c r="N193" s="19"/>
      <c r="O193" s="19"/>
      <c r="P193" s="19"/>
      <c r="Q193" s="19"/>
      <c r="R193" s="19"/>
      <c r="S193" s="19"/>
      <c r="T193" s="19"/>
      <c r="U193" s="19"/>
      <c r="V193" s="19"/>
      <c r="W193" s="19"/>
      <c r="X193" s="19"/>
    </row>
    <row r="194" spans="1:24" ht="14.25" customHeight="1" x14ac:dyDescent="0.3">
      <c r="A194" s="19"/>
      <c r="B194" s="19"/>
      <c r="C194" s="20"/>
      <c r="E194" s="28"/>
      <c r="F194" s="20"/>
      <c r="G194" s="19"/>
      <c r="H194" s="19"/>
      <c r="I194" s="19"/>
      <c r="J194" s="20"/>
      <c r="K194" s="20"/>
      <c r="L194" s="19"/>
      <c r="M194" s="19"/>
      <c r="N194" s="19"/>
      <c r="O194" s="19"/>
      <c r="P194" s="19"/>
      <c r="Q194" s="19"/>
      <c r="R194" s="19"/>
      <c r="S194" s="19"/>
      <c r="T194" s="19"/>
      <c r="U194" s="19"/>
      <c r="V194" s="19"/>
      <c r="W194" s="19"/>
      <c r="X194" s="19"/>
    </row>
    <row r="195" spans="1:24" ht="14.25" customHeight="1" x14ac:dyDescent="0.3">
      <c r="A195" s="19"/>
      <c r="B195" s="19"/>
      <c r="C195" s="20"/>
      <c r="E195" s="28"/>
      <c r="F195" s="20"/>
      <c r="G195" s="19"/>
      <c r="H195" s="19"/>
      <c r="I195" s="19"/>
      <c r="J195" s="20"/>
      <c r="K195" s="20"/>
      <c r="L195" s="19"/>
      <c r="M195" s="19"/>
      <c r="N195" s="19"/>
      <c r="O195" s="19"/>
      <c r="P195" s="19"/>
      <c r="Q195" s="19"/>
      <c r="R195" s="19"/>
      <c r="S195" s="19"/>
      <c r="T195" s="19"/>
      <c r="U195" s="19"/>
      <c r="V195" s="19"/>
      <c r="W195" s="19"/>
      <c r="X195" s="19"/>
    </row>
    <row r="196" spans="1:24" ht="14.25" customHeight="1" x14ac:dyDescent="0.3">
      <c r="A196" s="19"/>
      <c r="B196" s="19"/>
      <c r="C196" s="20"/>
      <c r="E196" s="28"/>
      <c r="F196" s="20"/>
      <c r="G196" s="19"/>
      <c r="H196" s="19"/>
      <c r="I196" s="19"/>
      <c r="J196" s="20"/>
      <c r="K196" s="20"/>
      <c r="L196" s="19"/>
      <c r="M196" s="19"/>
      <c r="N196" s="19"/>
      <c r="O196" s="19"/>
      <c r="P196" s="19"/>
      <c r="Q196" s="19"/>
      <c r="R196" s="19"/>
      <c r="S196" s="19"/>
      <c r="T196" s="19"/>
      <c r="U196" s="19"/>
      <c r="V196" s="19"/>
      <c r="W196" s="19"/>
      <c r="X196" s="19"/>
    </row>
    <row r="197" spans="1:24" ht="14.25" customHeight="1" x14ac:dyDescent="0.3">
      <c r="A197" s="19"/>
      <c r="B197" s="19"/>
      <c r="C197" s="20"/>
      <c r="E197" s="28"/>
      <c r="F197" s="20"/>
      <c r="G197" s="19"/>
      <c r="H197" s="19"/>
      <c r="I197" s="19"/>
      <c r="J197" s="20"/>
      <c r="K197" s="20"/>
      <c r="L197" s="19"/>
      <c r="M197" s="19"/>
      <c r="N197" s="19"/>
      <c r="O197" s="19"/>
      <c r="P197" s="19"/>
      <c r="Q197" s="19"/>
      <c r="R197" s="19"/>
      <c r="S197" s="19"/>
      <c r="T197" s="19"/>
      <c r="U197" s="19"/>
      <c r="V197" s="19"/>
      <c r="W197" s="19"/>
      <c r="X197" s="19"/>
    </row>
    <row r="198" spans="1:24" ht="14.25" customHeight="1" x14ac:dyDescent="0.3">
      <c r="A198" s="19"/>
      <c r="B198" s="19"/>
      <c r="C198" s="20"/>
      <c r="E198" s="28"/>
      <c r="F198" s="20"/>
      <c r="G198" s="19"/>
      <c r="H198" s="19"/>
      <c r="I198" s="19"/>
      <c r="J198" s="20"/>
      <c r="K198" s="20"/>
      <c r="L198" s="19"/>
      <c r="M198" s="19"/>
      <c r="N198" s="19"/>
      <c r="O198" s="19"/>
      <c r="P198" s="19"/>
      <c r="Q198" s="19"/>
      <c r="R198" s="19"/>
      <c r="S198" s="19"/>
      <c r="T198" s="19"/>
      <c r="U198" s="19"/>
      <c r="V198" s="19"/>
      <c r="W198" s="19"/>
      <c r="X198" s="19"/>
    </row>
    <row r="199" spans="1:24" ht="14.25" customHeight="1" x14ac:dyDescent="0.3">
      <c r="A199" s="19"/>
      <c r="B199" s="19"/>
      <c r="C199" s="20"/>
      <c r="E199" s="28"/>
      <c r="F199" s="20"/>
      <c r="G199" s="19"/>
      <c r="H199" s="19"/>
      <c r="I199" s="19"/>
      <c r="J199" s="20"/>
      <c r="K199" s="20"/>
      <c r="L199" s="19"/>
      <c r="M199" s="19"/>
      <c r="N199" s="19"/>
      <c r="O199" s="19"/>
      <c r="P199" s="19"/>
      <c r="Q199" s="19"/>
      <c r="R199" s="19"/>
      <c r="S199" s="19"/>
      <c r="T199" s="19"/>
      <c r="U199" s="19"/>
      <c r="V199" s="19"/>
      <c r="W199" s="19"/>
      <c r="X199" s="19"/>
    </row>
    <row r="200" spans="1:24" ht="14.25" customHeight="1" x14ac:dyDescent="0.3">
      <c r="A200" s="19"/>
      <c r="B200" s="19"/>
      <c r="C200" s="20"/>
      <c r="E200" s="28"/>
      <c r="F200" s="20"/>
      <c r="G200" s="19"/>
      <c r="H200" s="19"/>
      <c r="I200" s="19"/>
      <c r="J200" s="20"/>
      <c r="K200" s="20"/>
      <c r="L200" s="19"/>
      <c r="M200" s="19"/>
      <c r="N200" s="19"/>
      <c r="O200" s="19"/>
      <c r="P200" s="19"/>
      <c r="Q200" s="19"/>
      <c r="R200" s="19"/>
      <c r="S200" s="19"/>
      <c r="T200" s="19"/>
      <c r="U200" s="19"/>
      <c r="V200" s="19"/>
      <c r="W200" s="19"/>
      <c r="X200" s="19"/>
    </row>
    <row r="201" spans="1:24" ht="14.25" customHeight="1" x14ac:dyDescent="0.3">
      <c r="A201" s="19"/>
      <c r="B201" s="19"/>
      <c r="C201" s="20"/>
      <c r="E201" s="28"/>
      <c r="F201" s="20"/>
      <c r="G201" s="19"/>
      <c r="H201" s="19"/>
      <c r="I201" s="19"/>
      <c r="J201" s="20"/>
      <c r="K201" s="20"/>
      <c r="L201" s="19"/>
      <c r="M201" s="19"/>
      <c r="N201" s="19"/>
      <c r="O201" s="19"/>
      <c r="P201" s="19"/>
      <c r="Q201" s="19"/>
      <c r="R201" s="19"/>
      <c r="S201" s="19"/>
      <c r="T201" s="19"/>
      <c r="U201" s="19"/>
      <c r="V201" s="19"/>
      <c r="W201" s="19"/>
      <c r="X201" s="19"/>
    </row>
    <row r="202" spans="1:24" ht="14.25" customHeight="1" x14ac:dyDescent="0.3">
      <c r="A202" s="19"/>
      <c r="B202" s="19"/>
      <c r="C202" s="20"/>
      <c r="E202" s="28"/>
      <c r="F202" s="20"/>
      <c r="G202" s="19"/>
      <c r="H202" s="19"/>
      <c r="I202" s="19"/>
      <c r="J202" s="20"/>
      <c r="K202" s="20"/>
      <c r="L202" s="19"/>
      <c r="M202" s="19"/>
      <c r="N202" s="19"/>
      <c r="O202" s="19"/>
      <c r="P202" s="19"/>
      <c r="Q202" s="19"/>
      <c r="R202" s="19"/>
      <c r="S202" s="19"/>
      <c r="T202" s="19"/>
      <c r="U202" s="19"/>
      <c r="V202" s="19"/>
      <c r="W202" s="19"/>
      <c r="X202" s="19"/>
    </row>
    <row r="203" spans="1:24" ht="14.25" customHeight="1" x14ac:dyDescent="0.3">
      <c r="A203" s="19"/>
      <c r="B203" s="19"/>
      <c r="C203" s="20"/>
      <c r="E203" s="28"/>
      <c r="F203" s="20"/>
      <c r="G203" s="19"/>
      <c r="H203" s="19"/>
      <c r="I203" s="19"/>
      <c r="J203" s="20"/>
      <c r="K203" s="20"/>
      <c r="L203" s="19"/>
      <c r="M203" s="19"/>
      <c r="N203" s="19"/>
      <c r="O203" s="19"/>
      <c r="P203" s="19"/>
      <c r="Q203" s="19"/>
      <c r="R203" s="19"/>
      <c r="S203" s="19"/>
      <c r="T203" s="19"/>
      <c r="U203" s="19"/>
      <c r="V203" s="19"/>
      <c r="W203" s="19"/>
      <c r="X203" s="19"/>
    </row>
    <row r="204" spans="1:24" ht="14.25" customHeight="1" x14ac:dyDescent="0.3">
      <c r="A204" s="19"/>
      <c r="B204" s="19"/>
      <c r="C204" s="20"/>
      <c r="E204" s="28"/>
      <c r="F204" s="20"/>
      <c r="G204" s="19"/>
      <c r="H204" s="19"/>
      <c r="I204" s="19"/>
      <c r="J204" s="20"/>
      <c r="K204" s="20"/>
      <c r="L204" s="19"/>
      <c r="M204" s="19"/>
      <c r="N204" s="19"/>
      <c r="O204" s="19"/>
      <c r="P204" s="19"/>
      <c r="Q204" s="19"/>
      <c r="R204" s="19"/>
      <c r="S204" s="19"/>
      <c r="T204" s="19"/>
      <c r="U204" s="19"/>
      <c r="V204" s="19"/>
      <c r="W204" s="19"/>
      <c r="X204" s="19"/>
    </row>
    <row r="205" spans="1:24" ht="14.25" customHeight="1" x14ac:dyDescent="0.3">
      <c r="A205" s="19"/>
      <c r="B205" s="19"/>
      <c r="C205" s="20"/>
      <c r="E205" s="28"/>
      <c r="F205" s="20"/>
      <c r="G205" s="19"/>
      <c r="H205" s="19"/>
      <c r="I205" s="19"/>
      <c r="J205" s="20"/>
      <c r="K205" s="20"/>
      <c r="L205" s="19"/>
      <c r="M205" s="19"/>
      <c r="N205" s="19"/>
      <c r="O205" s="19"/>
      <c r="P205" s="19"/>
      <c r="Q205" s="19"/>
      <c r="R205" s="19"/>
      <c r="S205" s="19"/>
      <c r="T205" s="19"/>
      <c r="U205" s="19"/>
      <c r="V205" s="19"/>
      <c r="W205" s="19"/>
      <c r="X205" s="19"/>
    </row>
    <row r="206" spans="1:24" ht="14.25" customHeight="1" x14ac:dyDescent="0.3">
      <c r="A206" s="19"/>
      <c r="B206" s="19"/>
      <c r="C206" s="20"/>
      <c r="E206" s="28"/>
      <c r="F206" s="20"/>
      <c r="G206" s="19"/>
      <c r="H206" s="19"/>
      <c r="I206" s="19"/>
      <c r="J206" s="20"/>
      <c r="K206" s="20"/>
      <c r="L206" s="19"/>
      <c r="M206" s="19"/>
      <c r="N206" s="19"/>
      <c r="O206" s="19"/>
      <c r="P206" s="19"/>
      <c r="Q206" s="19"/>
      <c r="R206" s="19"/>
      <c r="S206" s="19"/>
      <c r="T206" s="19"/>
      <c r="U206" s="19"/>
      <c r="V206" s="19"/>
      <c r="W206" s="19"/>
      <c r="X206" s="19"/>
    </row>
    <row r="207" spans="1:24" ht="14.25" customHeight="1" x14ac:dyDescent="0.3">
      <c r="A207" s="19"/>
      <c r="B207" s="19"/>
      <c r="C207" s="20"/>
      <c r="E207" s="28"/>
      <c r="F207" s="20"/>
      <c r="G207" s="19"/>
      <c r="H207" s="19"/>
      <c r="I207" s="19"/>
      <c r="J207" s="20"/>
      <c r="K207" s="20"/>
      <c r="L207" s="19"/>
      <c r="M207" s="19"/>
      <c r="N207" s="19"/>
      <c r="O207" s="19"/>
      <c r="P207" s="19"/>
      <c r="Q207" s="19"/>
      <c r="R207" s="19"/>
      <c r="S207" s="19"/>
      <c r="T207" s="19"/>
      <c r="U207" s="19"/>
      <c r="V207" s="19"/>
      <c r="W207" s="19"/>
      <c r="X207" s="19"/>
    </row>
    <row r="208" spans="1:24" ht="14.25" customHeight="1" x14ac:dyDescent="0.3">
      <c r="A208" s="19"/>
      <c r="B208" s="19"/>
      <c r="C208" s="20"/>
      <c r="E208" s="28"/>
      <c r="F208" s="20"/>
      <c r="G208" s="19"/>
      <c r="H208" s="19"/>
      <c r="I208" s="19"/>
      <c r="J208" s="20"/>
      <c r="K208" s="20"/>
      <c r="L208" s="19"/>
      <c r="M208" s="19"/>
      <c r="N208" s="19"/>
      <c r="O208" s="19"/>
      <c r="P208" s="19"/>
      <c r="Q208" s="19"/>
      <c r="R208" s="19"/>
      <c r="S208" s="19"/>
      <c r="T208" s="19"/>
      <c r="U208" s="19"/>
      <c r="V208" s="19"/>
      <c r="W208" s="19"/>
      <c r="X208" s="19"/>
    </row>
    <row r="209" spans="1:24" ht="14.25" customHeight="1" x14ac:dyDescent="0.3">
      <c r="A209" s="19"/>
      <c r="B209" s="19"/>
      <c r="C209" s="20"/>
      <c r="E209" s="28"/>
      <c r="F209" s="20"/>
      <c r="G209" s="19"/>
      <c r="H209" s="19"/>
      <c r="I209" s="19"/>
      <c r="J209" s="20"/>
      <c r="K209" s="20"/>
      <c r="L209" s="19"/>
      <c r="M209" s="19"/>
      <c r="N209" s="19"/>
      <c r="O209" s="19"/>
      <c r="P209" s="19"/>
      <c r="Q209" s="19"/>
      <c r="R209" s="19"/>
      <c r="S209" s="19"/>
      <c r="T209" s="19"/>
      <c r="U209" s="19"/>
      <c r="V209" s="19"/>
      <c r="W209" s="19"/>
      <c r="X209" s="19"/>
    </row>
    <row r="210" spans="1:24" ht="14.25" customHeight="1" x14ac:dyDescent="0.3">
      <c r="A210" s="19"/>
      <c r="B210" s="19"/>
      <c r="C210" s="20"/>
      <c r="E210" s="28"/>
      <c r="F210" s="20"/>
      <c r="G210" s="19"/>
      <c r="H210" s="19"/>
      <c r="I210" s="19"/>
      <c r="J210" s="20"/>
      <c r="K210" s="20"/>
      <c r="L210" s="19"/>
      <c r="M210" s="19"/>
      <c r="N210" s="19"/>
      <c r="O210" s="19"/>
      <c r="P210" s="19"/>
      <c r="Q210" s="19"/>
      <c r="R210" s="19"/>
      <c r="S210" s="19"/>
      <c r="T210" s="19"/>
      <c r="U210" s="19"/>
      <c r="V210" s="19"/>
      <c r="W210" s="19"/>
      <c r="X210" s="19"/>
    </row>
    <row r="211" spans="1:24" ht="14.25" customHeight="1" x14ac:dyDescent="0.3">
      <c r="A211" s="19"/>
      <c r="B211" s="19"/>
      <c r="C211" s="20"/>
      <c r="E211" s="28"/>
      <c r="F211" s="20"/>
      <c r="G211" s="19"/>
      <c r="H211" s="19"/>
      <c r="I211" s="19"/>
      <c r="J211" s="20"/>
      <c r="K211" s="20"/>
      <c r="L211" s="19"/>
      <c r="M211" s="19"/>
      <c r="N211" s="19"/>
      <c r="O211" s="19"/>
      <c r="P211" s="19"/>
      <c r="Q211" s="19"/>
      <c r="R211" s="19"/>
      <c r="S211" s="19"/>
      <c r="T211" s="19"/>
      <c r="U211" s="19"/>
      <c r="V211" s="19"/>
      <c r="W211" s="19"/>
      <c r="X211" s="19"/>
    </row>
    <row r="212" spans="1:24" ht="14.25" customHeight="1" x14ac:dyDescent="0.3">
      <c r="A212" s="19"/>
      <c r="B212" s="19"/>
      <c r="C212" s="20"/>
      <c r="E212" s="28"/>
      <c r="F212" s="20"/>
      <c r="G212" s="19"/>
      <c r="H212" s="19"/>
      <c r="I212" s="19"/>
      <c r="J212" s="20"/>
      <c r="K212" s="20"/>
      <c r="L212" s="19"/>
      <c r="M212" s="19"/>
      <c r="N212" s="19"/>
      <c r="O212" s="19"/>
      <c r="P212" s="19"/>
      <c r="Q212" s="19"/>
      <c r="R212" s="19"/>
      <c r="S212" s="19"/>
      <c r="T212" s="19"/>
      <c r="U212" s="19"/>
      <c r="V212" s="19"/>
      <c r="W212" s="19"/>
      <c r="X212" s="19"/>
    </row>
    <row r="213" spans="1:24" ht="14.25" customHeight="1" x14ac:dyDescent="0.3">
      <c r="A213" s="19"/>
      <c r="B213" s="19"/>
      <c r="C213" s="20"/>
      <c r="E213" s="28"/>
      <c r="F213" s="20"/>
      <c r="G213" s="19"/>
      <c r="H213" s="19"/>
      <c r="I213" s="19"/>
      <c r="J213" s="20"/>
      <c r="K213" s="20"/>
      <c r="L213" s="19"/>
      <c r="M213" s="19"/>
      <c r="N213" s="19"/>
      <c r="O213" s="19"/>
      <c r="P213" s="19"/>
      <c r="Q213" s="19"/>
      <c r="R213" s="19"/>
      <c r="S213" s="19"/>
      <c r="T213" s="19"/>
      <c r="U213" s="19"/>
      <c r="V213" s="19"/>
      <c r="W213" s="19"/>
      <c r="X213" s="19"/>
    </row>
    <row r="214" spans="1:24" ht="14.25" customHeight="1" x14ac:dyDescent="0.3">
      <c r="A214" s="19"/>
      <c r="B214" s="19"/>
      <c r="C214" s="20"/>
      <c r="E214" s="28"/>
      <c r="F214" s="20"/>
      <c r="G214" s="19"/>
      <c r="H214" s="19"/>
      <c r="I214" s="19"/>
      <c r="J214" s="20"/>
      <c r="K214" s="20"/>
      <c r="L214" s="19"/>
      <c r="M214" s="19"/>
      <c r="N214" s="19"/>
      <c r="O214" s="19"/>
      <c r="P214" s="19"/>
      <c r="Q214" s="19"/>
      <c r="R214" s="19"/>
      <c r="S214" s="19"/>
      <c r="T214" s="19"/>
      <c r="U214" s="19"/>
      <c r="V214" s="19"/>
      <c r="W214" s="19"/>
      <c r="X214" s="19"/>
    </row>
    <row r="215" spans="1:24" ht="14.25" customHeight="1" x14ac:dyDescent="0.3">
      <c r="A215" s="19"/>
      <c r="B215" s="19"/>
      <c r="C215" s="20"/>
      <c r="E215" s="28"/>
      <c r="F215" s="20"/>
      <c r="G215" s="19"/>
      <c r="H215" s="19"/>
      <c r="I215" s="19"/>
      <c r="J215" s="20"/>
      <c r="K215" s="20"/>
      <c r="L215" s="19"/>
      <c r="M215" s="19"/>
      <c r="N215" s="19"/>
      <c r="O215" s="19"/>
      <c r="P215" s="19"/>
      <c r="Q215" s="19"/>
      <c r="R215" s="19"/>
      <c r="S215" s="19"/>
      <c r="T215" s="19"/>
      <c r="U215" s="19"/>
      <c r="V215" s="19"/>
      <c r="W215" s="19"/>
      <c r="X215" s="19"/>
    </row>
    <row r="216" spans="1:24" ht="14.25" customHeight="1" x14ac:dyDescent="0.3">
      <c r="A216" s="19"/>
      <c r="B216" s="19"/>
      <c r="C216" s="20"/>
      <c r="E216" s="28"/>
      <c r="F216" s="20"/>
      <c r="G216" s="19"/>
      <c r="H216" s="19"/>
      <c r="I216" s="19"/>
      <c r="J216" s="20"/>
      <c r="K216" s="20"/>
      <c r="L216" s="19"/>
      <c r="M216" s="19"/>
      <c r="N216" s="19"/>
      <c r="O216" s="19"/>
      <c r="P216" s="19"/>
      <c r="Q216" s="19"/>
      <c r="R216" s="19"/>
      <c r="S216" s="19"/>
      <c r="T216" s="19"/>
      <c r="U216" s="19"/>
      <c r="V216" s="19"/>
      <c r="W216" s="19"/>
      <c r="X216" s="19"/>
    </row>
    <row r="217" spans="1:24" ht="14.25" customHeight="1" x14ac:dyDescent="0.3">
      <c r="A217" s="19"/>
      <c r="B217" s="19"/>
      <c r="C217" s="20"/>
      <c r="E217" s="28"/>
      <c r="F217" s="20"/>
      <c r="G217" s="19"/>
      <c r="H217" s="19"/>
      <c r="I217" s="19"/>
      <c r="J217" s="20"/>
      <c r="K217" s="20"/>
      <c r="L217" s="19"/>
      <c r="M217" s="19"/>
      <c r="N217" s="19"/>
      <c r="O217" s="19"/>
      <c r="P217" s="19"/>
      <c r="Q217" s="19"/>
      <c r="R217" s="19"/>
      <c r="S217" s="19"/>
      <c r="T217" s="19"/>
      <c r="U217" s="19"/>
      <c r="V217" s="19"/>
      <c r="W217" s="19"/>
      <c r="X217" s="19"/>
    </row>
    <row r="218" spans="1:24" ht="14.25" customHeight="1" x14ac:dyDescent="0.3">
      <c r="A218" s="19"/>
      <c r="B218" s="19"/>
      <c r="C218" s="20"/>
      <c r="E218" s="28"/>
      <c r="F218" s="20"/>
      <c r="G218" s="19"/>
      <c r="H218" s="19"/>
      <c r="I218" s="19"/>
      <c r="J218" s="20"/>
      <c r="K218" s="20"/>
      <c r="L218" s="19"/>
      <c r="M218" s="19"/>
      <c r="N218" s="19"/>
      <c r="O218" s="19"/>
      <c r="P218" s="19"/>
      <c r="Q218" s="19"/>
      <c r="R218" s="19"/>
      <c r="S218" s="19"/>
      <c r="T218" s="19"/>
      <c r="U218" s="19"/>
      <c r="V218" s="19"/>
      <c r="W218" s="19"/>
      <c r="X218" s="19"/>
    </row>
    <row r="219" spans="1:24" ht="14.25" customHeight="1" x14ac:dyDescent="0.3">
      <c r="A219" s="19"/>
      <c r="B219" s="19"/>
      <c r="C219" s="20"/>
      <c r="E219" s="28"/>
      <c r="F219" s="20"/>
      <c r="G219" s="19"/>
      <c r="H219" s="19"/>
      <c r="I219" s="19"/>
      <c r="J219" s="20"/>
      <c r="K219" s="20"/>
      <c r="L219" s="19"/>
      <c r="M219" s="19"/>
      <c r="N219" s="19"/>
      <c r="O219" s="19"/>
      <c r="P219" s="19"/>
      <c r="Q219" s="19"/>
      <c r="R219" s="19"/>
      <c r="S219" s="19"/>
      <c r="T219" s="19"/>
      <c r="U219" s="19"/>
      <c r="V219" s="19"/>
      <c r="W219" s="19"/>
      <c r="X219" s="19"/>
    </row>
    <row r="220" spans="1:24" ht="14.25" customHeight="1" x14ac:dyDescent="0.3">
      <c r="A220" s="19"/>
      <c r="B220" s="19"/>
      <c r="C220" s="20"/>
      <c r="E220" s="28"/>
      <c r="F220" s="20"/>
      <c r="G220" s="19"/>
      <c r="H220" s="19"/>
      <c r="I220" s="19"/>
      <c r="J220" s="20"/>
      <c r="K220" s="20"/>
      <c r="L220" s="19"/>
      <c r="M220" s="19"/>
      <c r="N220" s="19"/>
      <c r="O220" s="19"/>
      <c r="P220" s="19"/>
      <c r="Q220" s="19"/>
      <c r="R220" s="19"/>
      <c r="S220" s="19"/>
      <c r="T220" s="19"/>
      <c r="U220" s="19"/>
      <c r="V220" s="19"/>
      <c r="W220" s="19"/>
      <c r="X220" s="19"/>
    </row>
    <row r="221" spans="1:24" ht="14.25" customHeight="1" x14ac:dyDescent="0.3">
      <c r="A221" s="19"/>
      <c r="B221" s="19"/>
      <c r="C221" s="20"/>
      <c r="E221" s="28"/>
      <c r="F221" s="20"/>
      <c r="G221" s="19"/>
      <c r="H221" s="19"/>
      <c r="I221" s="19"/>
      <c r="J221" s="20"/>
      <c r="K221" s="20"/>
      <c r="L221" s="19"/>
      <c r="M221" s="19"/>
      <c r="N221" s="19"/>
      <c r="O221" s="19"/>
      <c r="P221" s="19"/>
      <c r="Q221" s="19"/>
      <c r="R221" s="19"/>
      <c r="S221" s="19"/>
      <c r="T221" s="19"/>
      <c r="U221" s="19"/>
      <c r="V221" s="19"/>
      <c r="W221" s="19"/>
      <c r="X221" s="19"/>
    </row>
    <row r="222" spans="1:24" ht="14.25" customHeight="1" x14ac:dyDescent="0.3">
      <c r="A222" s="19"/>
      <c r="B222" s="19"/>
      <c r="C222" s="20"/>
      <c r="E222" s="28"/>
      <c r="F222" s="20"/>
      <c r="G222" s="19"/>
      <c r="H222" s="19"/>
      <c r="I222" s="19"/>
      <c r="J222" s="20"/>
      <c r="K222" s="20"/>
      <c r="L222" s="19"/>
      <c r="M222" s="19"/>
      <c r="N222" s="19"/>
      <c r="O222" s="19"/>
      <c r="P222" s="19"/>
      <c r="Q222" s="19"/>
      <c r="R222" s="19"/>
      <c r="S222" s="19"/>
      <c r="T222" s="19"/>
      <c r="U222" s="19"/>
      <c r="V222" s="19"/>
      <c r="W222" s="19"/>
      <c r="X222" s="19"/>
    </row>
    <row r="223" spans="1:24" ht="14.25" customHeight="1" x14ac:dyDescent="0.3">
      <c r="A223" s="19"/>
      <c r="B223" s="19"/>
      <c r="C223" s="20"/>
      <c r="E223" s="28"/>
      <c r="F223" s="20"/>
      <c r="G223" s="19"/>
      <c r="H223" s="19"/>
      <c r="I223" s="19"/>
      <c r="J223" s="20"/>
      <c r="K223" s="20"/>
      <c r="L223" s="19"/>
      <c r="M223" s="19"/>
      <c r="N223" s="19"/>
      <c r="O223" s="19"/>
      <c r="P223" s="19"/>
      <c r="Q223" s="19"/>
      <c r="R223" s="19"/>
      <c r="S223" s="19"/>
      <c r="T223" s="19"/>
      <c r="U223" s="19"/>
      <c r="V223" s="19"/>
      <c r="W223" s="19"/>
      <c r="X223" s="19"/>
    </row>
    <row r="224" spans="1:24" ht="14.25" customHeight="1" x14ac:dyDescent="0.3">
      <c r="A224" s="19"/>
      <c r="B224" s="19"/>
      <c r="C224" s="20"/>
      <c r="E224" s="28"/>
      <c r="F224" s="20"/>
      <c r="G224" s="19"/>
      <c r="H224" s="19"/>
      <c r="I224" s="19"/>
      <c r="J224" s="20"/>
      <c r="K224" s="20"/>
      <c r="L224" s="19"/>
      <c r="M224" s="19"/>
      <c r="N224" s="19"/>
      <c r="O224" s="19"/>
      <c r="P224" s="19"/>
      <c r="Q224" s="19"/>
      <c r="R224" s="19"/>
      <c r="S224" s="19"/>
      <c r="T224" s="19"/>
      <c r="U224" s="19"/>
      <c r="V224" s="19"/>
      <c r="W224" s="19"/>
      <c r="X224" s="19"/>
    </row>
    <row r="225" spans="1:24" ht="14.25" customHeight="1" x14ac:dyDescent="0.3">
      <c r="A225" s="19"/>
      <c r="B225" s="19"/>
      <c r="C225" s="20"/>
      <c r="E225" s="28"/>
      <c r="F225" s="20"/>
      <c r="G225" s="19"/>
      <c r="H225" s="19"/>
      <c r="I225" s="19"/>
      <c r="J225" s="20"/>
      <c r="K225" s="20"/>
      <c r="L225" s="19"/>
      <c r="M225" s="19"/>
      <c r="N225" s="19"/>
      <c r="O225" s="19"/>
      <c r="P225" s="19"/>
      <c r="Q225" s="19"/>
      <c r="R225" s="19"/>
      <c r="S225" s="19"/>
      <c r="T225" s="19"/>
      <c r="U225" s="19"/>
      <c r="V225" s="19"/>
      <c r="W225" s="19"/>
      <c r="X225" s="19"/>
    </row>
    <row r="226" spans="1:24" ht="14.25" customHeight="1" x14ac:dyDescent="0.3">
      <c r="A226" s="19"/>
      <c r="B226" s="19"/>
      <c r="C226" s="20"/>
      <c r="E226" s="28"/>
      <c r="F226" s="20"/>
      <c r="G226" s="19"/>
      <c r="H226" s="19"/>
      <c r="I226" s="19"/>
      <c r="J226" s="20"/>
      <c r="K226" s="20"/>
      <c r="L226" s="19"/>
      <c r="M226" s="19"/>
      <c r="N226" s="19"/>
      <c r="O226" s="19"/>
      <c r="P226" s="19"/>
      <c r="Q226" s="19"/>
      <c r="R226" s="19"/>
      <c r="S226" s="19"/>
      <c r="T226" s="19"/>
      <c r="U226" s="19"/>
      <c r="V226" s="19"/>
      <c r="W226" s="19"/>
      <c r="X226" s="19"/>
    </row>
    <row r="227" spans="1:24" ht="14.25" customHeight="1" x14ac:dyDescent="0.3">
      <c r="A227" s="19"/>
      <c r="B227" s="19"/>
      <c r="C227" s="20"/>
      <c r="E227" s="28"/>
      <c r="F227" s="20"/>
      <c r="G227" s="19"/>
      <c r="H227" s="19"/>
      <c r="I227" s="19"/>
      <c r="J227" s="20"/>
      <c r="K227" s="20"/>
      <c r="L227" s="19"/>
      <c r="M227" s="19"/>
      <c r="N227" s="19"/>
      <c r="O227" s="19"/>
      <c r="P227" s="19"/>
      <c r="Q227" s="19"/>
      <c r="R227" s="19"/>
      <c r="S227" s="19"/>
      <c r="T227" s="19"/>
      <c r="U227" s="19"/>
      <c r="V227" s="19"/>
      <c r="W227" s="19"/>
      <c r="X227" s="19"/>
    </row>
    <row r="228" spans="1:24" ht="14.25" customHeight="1" x14ac:dyDescent="0.3">
      <c r="A228" s="19"/>
      <c r="B228" s="19"/>
      <c r="C228" s="20"/>
      <c r="E228" s="28"/>
      <c r="F228" s="20"/>
      <c r="G228" s="19"/>
      <c r="H228" s="19"/>
      <c r="I228" s="19"/>
      <c r="J228" s="20"/>
      <c r="K228" s="20"/>
      <c r="L228" s="19"/>
      <c r="M228" s="19"/>
      <c r="N228" s="19"/>
      <c r="O228" s="19"/>
      <c r="P228" s="19"/>
      <c r="Q228" s="19"/>
      <c r="R228" s="19"/>
      <c r="S228" s="19"/>
      <c r="T228" s="19"/>
      <c r="U228" s="19"/>
      <c r="V228" s="19"/>
      <c r="W228" s="19"/>
      <c r="X228" s="19"/>
    </row>
    <row r="229" spans="1:24" ht="14.25" customHeight="1" x14ac:dyDescent="0.3">
      <c r="A229" s="19"/>
      <c r="B229" s="19"/>
      <c r="C229" s="20"/>
      <c r="E229" s="28"/>
      <c r="F229" s="20"/>
      <c r="G229" s="19"/>
      <c r="H229" s="19"/>
      <c r="I229" s="19"/>
      <c r="J229" s="20"/>
      <c r="K229" s="20"/>
      <c r="L229" s="19"/>
      <c r="M229" s="19"/>
      <c r="N229" s="19"/>
      <c r="O229" s="19"/>
      <c r="P229" s="19"/>
      <c r="Q229" s="19"/>
      <c r="R229" s="19"/>
      <c r="S229" s="19"/>
      <c r="T229" s="19"/>
      <c r="U229" s="19"/>
      <c r="V229" s="19"/>
      <c r="W229" s="19"/>
      <c r="X229" s="19"/>
    </row>
    <row r="230" spans="1:24" ht="14.25" customHeight="1" x14ac:dyDescent="0.3">
      <c r="A230" s="19"/>
      <c r="B230" s="19"/>
      <c r="C230" s="20"/>
      <c r="E230" s="28"/>
      <c r="F230" s="20"/>
      <c r="G230" s="19"/>
      <c r="H230" s="19"/>
      <c r="I230" s="19"/>
      <c r="J230" s="20"/>
      <c r="K230" s="20"/>
      <c r="L230" s="19"/>
      <c r="M230" s="19"/>
      <c r="N230" s="19"/>
      <c r="O230" s="19"/>
      <c r="P230" s="19"/>
      <c r="Q230" s="19"/>
      <c r="R230" s="19"/>
      <c r="S230" s="19"/>
      <c r="T230" s="19"/>
      <c r="U230" s="19"/>
      <c r="V230" s="19"/>
      <c r="W230" s="19"/>
      <c r="X230" s="19"/>
    </row>
    <row r="231" spans="1:24" ht="14.25" customHeight="1" x14ac:dyDescent="0.3">
      <c r="A231" s="19"/>
      <c r="B231" s="19"/>
      <c r="C231" s="20"/>
      <c r="E231" s="28"/>
      <c r="F231" s="20"/>
      <c r="G231" s="19"/>
      <c r="H231" s="19"/>
      <c r="I231" s="19"/>
      <c r="J231" s="20"/>
      <c r="K231" s="20"/>
      <c r="L231" s="19"/>
      <c r="M231" s="19"/>
      <c r="N231" s="19"/>
      <c r="O231" s="19"/>
      <c r="P231" s="19"/>
      <c r="Q231" s="19"/>
      <c r="R231" s="19"/>
      <c r="S231" s="19"/>
      <c r="T231" s="19"/>
      <c r="U231" s="19"/>
      <c r="V231" s="19"/>
      <c r="W231" s="19"/>
      <c r="X231" s="19"/>
    </row>
    <row r="232" spans="1:24" ht="14.25" customHeight="1" x14ac:dyDescent="0.3">
      <c r="A232" s="19"/>
      <c r="B232" s="19"/>
      <c r="C232" s="20"/>
      <c r="E232" s="28"/>
      <c r="F232" s="20"/>
      <c r="G232" s="19"/>
      <c r="H232" s="19"/>
      <c r="I232" s="19"/>
      <c r="J232" s="20"/>
      <c r="K232" s="20"/>
      <c r="L232" s="19"/>
      <c r="M232" s="19"/>
      <c r="N232" s="19"/>
      <c r="O232" s="19"/>
      <c r="P232" s="19"/>
      <c r="Q232" s="19"/>
      <c r="R232" s="19"/>
      <c r="S232" s="19"/>
      <c r="T232" s="19"/>
      <c r="U232" s="19"/>
      <c r="V232" s="19"/>
      <c r="W232" s="19"/>
      <c r="X232" s="19"/>
    </row>
    <row r="233" spans="1:24" ht="14.25" customHeight="1" x14ac:dyDescent="0.3">
      <c r="A233" s="19"/>
      <c r="B233" s="19"/>
      <c r="C233" s="20"/>
      <c r="E233" s="28"/>
      <c r="F233" s="20"/>
      <c r="G233" s="19"/>
      <c r="H233" s="19"/>
      <c r="I233" s="19"/>
      <c r="J233" s="20"/>
      <c r="K233" s="20"/>
      <c r="L233" s="19"/>
      <c r="M233" s="19"/>
      <c r="N233" s="19"/>
      <c r="O233" s="19"/>
      <c r="P233" s="19"/>
      <c r="Q233" s="19"/>
      <c r="R233" s="19"/>
      <c r="S233" s="19"/>
      <c r="T233" s="19"/>
      <c r="U233" s="19"/>
      <c r="V233" s="19"/>
      <c r="W233" s="19"/>
      <c r="X233" s="19"/>
    </row>
    <row r="234" spans="1:24" ht="14.25" customHeight="1" x14ac:dyDescent="0.3">
      <c r="A234" s="19"/>
      <c r="B234" s="19"/>
      <c r="C234" s="20"/>
      <c r="E234" s="28"/>
      <c r="F234" s="20"/>
      <c r="G234" s="19"/>
      <c r="H234" s="19"/>
      <c r="I234" s="19"/>
      <c r="J234" s="20"/>
      <c r="K234" s="20"/>
      <c r="L234" s="19"/>
      <c r="M234" s="19"/>
      <c r="N234" s="19"/>
      <c r="O234" s="19"/>
      <c r="P234" s="19"/>
      <c r="Q234" s="19"/>
      <c r="R234" s="19"/>
      <c r="S234" s="19"/>
      <c r="T234" s="19"/>
      <c r="U234" s="19"/>
      <c r="V234" s="19"/>
      <c r="W234" s="19"/>
      <c r="X234" s="19"/>
    </row>
    <row r="235" spans="1:24" ht="14.25" customHeight="1" x14ac:dyDescent="0.3">
      <c r="A235" s="19"/>
      <c r="B235" s="19"/>
      <c r="C235" s="20"/>
      <c r="E235" s="28"/>
      <c r="F235" s="20"/>
      <c r="G235" s="19"/>
      <c r="H235" s="19"/>
      <c r="I235" s="19"/>
      <c r="J235" s="20"/>
      <c r="K235" s="20"/>
      <c r="L235" s="19"/>
      <c r="M235" s="19"/>
      <c r="N235" s="19"/>
      <c r="O235" s="19"/>
      <c r="P235" s="19"/>
      <c r="Q235" s="19"/>
      <c r="R235" s="19"/>
      <c r="S235" s="19"/>
      <c r="T235" s="19"/>
      <c r="U235" s="19"/>
      <c r="V235" s="19"/>
      <c r="W235" s="19"/>
      <c r="X235" s="19"/>
    </row>
    <row r="236" spans="1:24" ht="14.25" customHeight="1" x14ac:dyDescent="0.3">
      <c r="A236" s="19"/>
      <c r="B236" s="19"/>
      <c r="C236" s="20"/>
      <c r="E236" s="28"/>
      <c r="F236" s="20"/>
      <c r="G236" s="19"/>
      <c r="H236" s="19"/>
      <c r="I236" s="19"/>
      <c r="J236" s="20"/>
      <c r="K236" s="20"/>
      <c r="L236" s="19"/>
      <c r="M236" s="19"/>
      <c r="N236" s="19"/>
      <c r="O236" s="19"/>
      <c r="P236" s="19"/>
      <c r="Q236" s="19"/>
      <c r="R236" s="19"/>
      <c r="S236" s="19"/>
      <c r="T236" s="19"/>
      <c r="U236" s="19"/>
      <c r="V236" s="19"/>
      <c r="W236" s="19"/>
      <c r="X236" s="19"/>
    </row>
    <row r="237" spans="1:24" ht="14.25" customHeight="1" x14ac:dyDescent="0.3">
      <c r="A237" s="19"/>
      <c r="B237" s="19"/>
      <c r="C237" s="20"/>
      <c r="E237" s="28"/>
      <c r="F237" s="20"/>
      <c r="G237" s="19"/>
      <c r="H237" s="19"/>
      <c r="I237" s="19"/>
      <c r="J237" s="20"/>
      <c r="K237" s="20"/>
      <c r="L237" s="19"/>
      <c r="M237" s="19"/>
      <c r="N237" s="19"/>
      <c r="O237" s="19"/>
      <c r="P237" s="19"/>
      <c r="Q237" s="19"/>
      <c r="R237" s="19"/>
      <c r="S237" s="19"/>
      <c r="T237" s="19"/>
      <c r="U237" s="19"/>
      <c r="V237" s="19"/>
      <c r="W237" s="19"/>
      <c r="X237" s="19"/>
    </row>
    <row r="238" spans="1:24" ht="14.25" customHeight="1" x14ac:dyDescent="0.3">
      <c r="A238" s="19"/>
      <c r="B238" s="19"/>
      <c r="C238" s="20"/>
      <c r="E238" s="28"/>
      <c r="F238" s="20"/>
      <c r="G238" s="19"/>
      <c r="H238" s="19"/>
      <c r="I238" s="19"/>
      <c r="J238" s="20"/>
      <c r="K238" s="20"/>
      <c r="L238" s="19"/>
      <c r="M238" s="19"/>
      <c r="N238" s="19"/>
      <c r="O238" s="19"/>
      <c r="P238" s="19"/>
      <c r="Q238" s="19"/>
      <c r="R238" s="19"/>
      <c r="S238" s="19"/>
      <c r="T238" s="19"/>
      <c r="U238" s="19"/>
      <c r="V238" s="19"/>
      <c r="W238" s="19"/>
      <c r="X238" s="19"/>
    </row>
    <row r="239" spans="1:24" ht="14.25" customHeight="1" x14ac:dyDescent="0.3">
      <c r="A239" s="19"/>
      <c r="B239" s="19"/>
      <c r="C239" s="20"/>
      <c r="E239" s="28"/>
      <c r="F239" s="20"/>
      <c r="G239" s="19"/>
      <c r="H239" s="19"/>
      <c r="I239" s="19"/>
      <c r="J239" s="20"/>
      <c r="K239" s="20"/>
      <c r="L239" s="19"/>
      <c r="M239" s="19"/>
      <c r="N239" s="19"/>
      <c r="O239" s="19"/>
      <c r="P239" s="19"/>
      <c r="Q239" s="19"/>
      <c r="R239" s="19"/>
      <c r="S239" s="19"/>
      <c r="T239" s="19"/>
      <c r="U239" s="19"/>
      <c r="V239" s="19"/>
      <c r="W239" s="19"/>
      <c r="X239" s="19"/>
    </row>
    <row r="240" spans="1:24" ht="14.25" customHeight="1" x14ac:dyDescent="0.3">
      <c r="A240" s="19"/>
      <c r="B240" s="19"/>
      <c r="C240" s="20"/>
      <c r="E240" s="28"/>
      <c r="F240" s="20"/>
      <c r="G240" s="19"/>
      <c r="H240" s="19"/>
      <c r="I240" s="19"/>
      <c r="J240" s="20"/>
      <c r="K240" s="20"/>
      <c r="L240" s="19"/>
      <c r="M240" s="19"/>
      <c r="N240" s="19"/>
      <c r="O240" s="19"/>
      <c r="P240" s="19"/>
      <c r="Q240" s="19"/>
      <c r="R240" s="19"/>
      <c r="S240" s="19"/>
      <c r="T240" s="19"/>
      <c r="U240" s="19"/>
      <c r="V240" s="19"/>
      <c r="W240" s="19"/>
      <c r="X240" s="19"/>
    </row>
    <row r="241" spans="1:24" ht="14.25" customHeight="1" x14ac:dyDescent="0.3">
      <c r="A241" s="19"/>
      <c r="B241" s="19"/>
      <c r="C241" s="20"/>
      <c r="E241" s="28"/>
      <c r="F241" s="20"/>
      <c r="G241" s="19"/>
      <c r="H241" s="19"/>
      <c r="I241" s="19"/>
      <c r="J241" s="20"/>
      <c r="K241" s="20"/>
      <c r="L241" s="19"/>
      <c r="M241" s="19"/>
      <c r="N241" s="19"/>
      <c r="O241" s="19"/>
      <c r="P241" s="19"/>
      <c r="Q241" s="19"/>
      <c r="R241" s="19"/>
      <c r="S241" s="19"/>
      <c r="T241" s="19"/>
      <c r="U241" s="19"/>
      <c r="V241" s="19"/>
      <c r="W241" s="19"/>
      <c r="X241" s="19"/>
    </row>
    <row r="242" spans="1:24" ht="14.25" customHeight="1" x14ac:dyDescent="0.3">
      <c r="A242" s="19"/>
      <c r="B242" s="19"/>
      <c r="C242" s="20"/>
      <c r="E242" s="28"/>
      <c r="F242" s="20"/>
      <c r="G242" s="19"/>
      <c r="H242" s="19"/>
      <c r="I242" s="19"/>
      <c r="J242" s="20"/>
      <c r="K242" s="20"/>
      <c r="L242" s="19"/>
      <c r="M242" s="19"/>
      <c r="N242" s="19"/>
      <c r="O242" s="19"/>
      <c r="P242" s="19"/>
      <c r="Q242" s="19"/>
      <c r="R242" s="19"/>
      <c r="S242" s="19"/>
      <c r="T242" s="19"/>
      <c r="U242" s="19"/>
      <c r="V242" s="19"/>
      <c r="W242" s="19"/>
      <c r="X242" s="19"/>
    </row>
    <row r="243" spans="1:24" ht="14.25" customHeight="1" x14ac:dyDescent="0.3">
      <c r="A243" s="19"/>
      <c r="B243" s="19"/>
      <c r="C243" s="20"/>
      <c r="E243" s="28"/>
      <c r="F243" s="20"/>
      <c r="G243" s="19"/>
      <c r="H243" s="19"/>
      <c r="I243" s="19"/>
      <c r="J243" s="20"/>
      <c r="K243" s="20"/>
      <c r="L243" s="19"/>
      <c r="M243" s="19"/>
      <c r="N243" s="19"/>
      <c r="O243" s="19"/>
      <c r="P243" s="19"/>
      <c r="Q243" s="19"/>
      <c r="R243" s="19"/>
      <c r="S243" s="19"/>
      <c r="T243" s="19"/>
      <c r="U243" s="19"/>
      <c r="V243" s="19"/>
      <c r="W243" s="19"/>
      <c r="X243" s="19"/>
    </row>
    <row r="244" spans="1:24" ht="14.25" customHeight="1" x14ac:dyDescent="0.3">
      <c r="A244" s="19"/>
      <c r="B244" s="19"/>
      <c r="C244" s="20"/>
      <c r="E244" s="28"/>
      <c r="F244" s="20"/>
      <c r="G244" s="19"/>
      <c r="H244" s="19"/>
      <c r="I244" s="19"/>
      <c r="J244" s="20"/>
      <c r="K244" s="20"/>
      <c r="L244" s="19"/>
      <c r="M244" s="19"/>
      <c r="N244" s="19"/>
      <c r="O244" s="19"/>
      <c r="P244" s="19"/>
      <c r="Q244" s="19"/>
      <c r="R244" s="19"/>
      <c r="S244" s="19"/>
      <c r="T244" s="19"/>
      <c r="U244" s="19"/>
      <c r="V244" s="19"/>
      <c r="W244" s="19"/>
      <c r="X244" s="19"/>
    </row>
    <row r="245" spans="1:24" ht="14.25" customHeight="1" x14ac:dyDescent="0.3">
      <c r="A245" s="19"/>
      <c r="B245" s="19"/>
      <c r="C245" s="20"/>
      <c r="E245" s="28"/>
      <c r="F245" s="20"/>
      <c r="G245" s="19"/>
      <c r="H245" s="19"/>
      <c r="I245" s="19"/>
      <c r="J245" s="20"/>
      <c r="K245" s="20"/>
      <c r="L245" s="19"/>
      <c r="M245" s="19"/>
      <c r="N245" s="19"/>
      <c r="O245" s="19"/>
      <c r="P245" s="19"/>
      <c r="Q245" s="19"/>
      <c r="R245" s="19"/>
      <c r="S245" s="19"/>
      <c r="T245" s="19"/>
      <c r="U245" s="19"/>
      <c r="V245" s="19"/>
      <c r="W245" s="19"/>
      <c r="X245" s="19"/>
    </row>
    <row r="246" spans="1:24" ht="14.25" customHeight="1" x14ac:dyDescent="0.3">
      <c r="A246" s="19"/>
      <c r="B246" s="19"/>
      <c r="C246" s="20"/>
      <c r="E246" s="28"/>
      <c r="F246" s="20"/>
      <c r="G246" s="19"/>
      <c r="H246" s="19"/>
      <c r="I246" s="19"/>
      <c r="J246" s="20"/>
      <c r="K246" s="20"/>
      <c r="L246" s="19"/>
      <c r="M246" s="19"/>
      <c r="N246" s="19"/>
      <c r="O246" s="19"/>
      <c r="P246" s="19"/>
      <c r="Q246" s="19"/>
      <c r="R246" s="19"/>
      <c r="S246" s="19"/>
      <c r="T246" s="19"/>
      <c r="U246" s="19"/>
      <c r="V246" s="19"/>
      <c r="W246" s="19"/>
      <c r="X246" s="19"/>
    </row>
    <row r="247" spans="1:24" ht="14.25" customHeight="1" x14ac:dyDescent="0.3">
      <c r="A247" s="19"/>
      <c r="B247" s="19"/>
      <c r="C247" s="20"/>
      <c r="E247" s="28"/>
      <c r="F247" s="20"/>
      <c r="G247" s="19"/>
      <c r="H247" s="19"/>
      <c r="I247" s="19"/>
      <c r="J247" s="20"/>
      <c r="K247" s="20"/>
      <c r="L247" s="19"/>
      <c r="M247" s="19"/>
      <c r="N247" s="19"/>
      <c r="O247" s="19"/>
      <c r="P247" s="19"/>
      <c r="Q247" s="19"/>
      <c r="R247" s="19"/>
      <c r="S247" s="19"/>
      <c r="T247" s="19"/>
      <c r="U247" s="19"/>
      <c r="V247" s="19"/>
      <c r="W247" s="19"/>
      <c r="X247" s="19"/>
    </row>
    <row r="248" spans="1:24" ht="14.25" customHeight="1" x14ac:dyDescent="0.3">
      <c r="A248" s="19"/>
      <c r="B248" s="19"/>
      <c r="C248" s="20"/>
      <c r="E248" s="28"/>
      <c r="F248" s="20"/>
      <c r="G248" s="19"/>
      <c r="H248" s="19"/>
      <c r="I248" s="19"/>
      <c r="J248" s="20"/>
      <c r="K248" s="20"/>
      <c r="L248" s="19"/>
      <c r="M248" s="19"/>
      <c r="N248" s="19"/>
      <c r="O248" s="19"/>
      <c r="P248" s="19"/>
      <c r="Q248" s="19"/>
      <c r="R248" s="19"/>
      <c r="S248" s="19"/>
      <c r="T248" s="19"/>
      <c r="U248" s="19"/>
      <c r="V248" s="19"/>
      <c r="W248" s="19"/>
      <c r="X248" s="19"/>
    </row>
    <row r="249" spans="1:24" ht="14.25" customHeight="1" x14ac:dyDescent="0.3">
      <c r="A249" s="19"/>
      <c r="B249" s="19"/>
      <c r="C249" s="20"/>
      <c r="E249" s="28"/>
      <c r="F249" s="20"/>
      <c r="G249" s="19"/>
      <c r="H249" s="19"/>
      <c r="I249" s="19"/>
      <c r="J249" s="20"/>
      <c r="K249" s="20"/>
      <c r="L249" s="19"/>
      <c r="M249" s="19"/>
      <c r="N249" s="19"/>
      <c r="O249" s="19"/>
      <c r="P249" s="19"/>
      <c r="Q249" s="19"/>
      <c r="R249" s="19"/>
      <c r="S249" s="19"/>
      <c r="T249" s="19"/>
      <c r="U249" s="19"/>
      <c r="V249" s="19"/>
      <c r="W249" s="19"/>
      <c r="X249" s="19"/>
    </row>
    <row r="250" spans="1:24" ht="14.25" customHeight="1" x14ac:dyDescent="0.3">
      <c r="A250" s="19"/>
      <c r="B250" s="19"/>
      <c r="C250" s="20"/>
      <c r="E250" s="28"/>
      <c r="F250" s="20"/>
      <c r="G250" s="19"/>
      <c r="H250" s="19"/>
      <c r="I250" s="19"/>
      <c r="J250" s="20"/>
      <c r="K250" s="20"/>
      <c r="L250" s="19"/>
      <c r="M250" s="19"/>
      <c r="N250" s="19"/>
      <c r="O250" s="19"/>
      <c r="P250" s="19"/>
      <c r="Q250" s="19"/>
      <c r="R250" s="19"/>
      <c r="S250" s="19"/>
      <c r="T250" s="19"/>
      <c r="U250" s="19"/>
      <c r="V250" s="19"/>
      <c r="W250" s="19"/>
      <c r="X250" s="19"/>
    </row>
    <row r="251" spans="1:24" ht="14.25" customHeight="1" x14ac:dyDescent="0.3">
      <c r="A251" s="19"/>
      <c r="B251" s="19"/>
      <c r="C251" s="20"/>
      <c r="E251" s="28"/>
      <c r="F251" s="20"/>
      <c r="G251" s="19"/>
      <c r="H251" s="19"/>
      <c r="I251" s="19"/>
      <c r="J251" s="20"/>
      <c r="K251" s="20"/>
      <c r="L251" s="19"/>
      <c r="M251" s="19"/>
      <c r="N251" s="19"/>
      <c r="O251" s="19"/>
      <c r="P251" s="19"/>
      <c r="Q251" s="19"/>
      <c r="R251" s="19"/>
      <c r="S251" s="19"/>
      <c r="T251" s="19"/>
      <c r="U251" s="19"/>
      <c r="V251" s="19"/>
      <c r="W251" s="19"/>
      <c r="X251" s="19"/>
    </row>
    <row r="252" spans="1:24" ht="14.25" customHeight="1" x14ac:dyDescent="0.3">
      <c r="A252" s="19"/>
      <c r="B252" s="19"/>
      <c r="C252" s="20"/>
      <c r="E252" s="28"/>
      <c r="F252" s="20"/>
      <c r="G252" s="19"/>
      <c r="H252" s="19"/>
      <c r="I252" s="19"/>
      <c r="J252" s="20"/>
      <c r="K252" s="20"/>
      <c r="L252" s="19"/>
      <c r="M252" s="19"/>
      <c r="N252" s="19"/>
      <c r="O252" s="19"/>
      <c r="P252" s="19"/>
      <c r="Q252" s="19"/>
      <c r="R252" s="19"/>
      <c r="S252" s="19"/>
      <c r="T252" s="19"/>
      <c r="U252" s="19"/>
      <c r="V252" s="19"/>
      <c r="W252" s="19"/>
      <c r="X252" s="19"/>
    </row>
    <row r="253" spans="1:24" ht="14.25" customHeight="1" x14ac:dyDescent="0.3">
      <c r="A253" s="19"/>
      <c r="B253" s="19"/>
      <c r="C253" s="20"/>
      <c r="E253" s="28"/>
      <c r="F253" s="20"/>
      <c r="G253" s="19"/>
      <c r="H253" s="19"/>
      <c r="I253" s="19"/>
      <c r="J253" s="20"/>
      <c r="K253" s="20"/>
      <c r="L253" s="19"/>
      <c r="M253" s="19"/>
      <c r="N253" s="19"/>
      <c r="O253" s="19"/>
      <c r="P253" s="19"/>
      <c r="Q253" s="19"/>
      <c r="R253" s="19"/>
      <c r="S253" s="19"/>
      <c r="T253" s="19"/>
      <c r="U253" s="19"/>
      <c r="V253" s="19"/>
      <c r="W253" s="19"/>
      <c r="X253" s="19"/>
    </row>
    <row r="254" spans="1:24" ht="14.25" customHeight="1" x14ac:dyDescent="0.3">
      <c r="A254" s="19"/>
      <c r="B254" s="19"/>
      <c r="C254" s="20"/>
      <c r="E254" s="28"/>
      <c r="F254" s="20"/>
      <c r="G254" s="19"/>
      <c r="H254" s="19"/>
      <c r="I254" s="19"/>
      <c r="J254" s="20"/>
      <c r="K254" s="20"/>
      <c r="L254" s="19"/>
      <c r="M254" s="19"/>
      <c r="N254" s="19"/>
      <c r="O254" s="19"/>
      <c r="P254" s="19"/>
      <c r="Q254" s="19"/>
      <c r="R254" s="19"/>
      <c r="S254" s="19"/>
      <c r="T254" s="19"/>
      <c r="U254" s="19"/>
      <c r="V254" s="19"/>
      <c r="W254" s="19"/>
      <c r="X254" s="19"/>
    </row>
    <row r="255" spans="1:24" ht="14.25" customHeight="1" x14ac:dyDescent="0.3">
      <c r="A255" s="19"/>
      <c r="B255" s="19"/>
      <c r="C255" s="20"/>
      <c r="E255" s="28"/>
      <c r="F255" s="20"/>
      <c r="G255" s="19"/>
      <c r="H255" s="19"/>
      <c r="I255" s="19"/>
      <c r="J255" s="20"/>
      <c r="K255" s="20"/>
      <c r="L255" s="19"/>
      <c r="M255" s="19"/>
      <c r="N255" s="19"/>
      <c r="O255" s="19"/>
      <c r="P255" s="19"/>
      <c r="Q255" s="19"/>
      <c r="R255" s="19"/>
      <c r="S255" s="19"/>
      <c r="T255" s="19"/>
      <c r="U255" s="19"/>
      <c r="V255" s="19"/>
      <c r="W255" s="19"/>
      <c r="X255" s="19"/>
    </row>
    <row r="256" spans="1:24" ht="14.25" customHeight="1" x14ac:dyDescent="0.3">
      <c r="A256" s="19"/>
      <c r="B256" s="19"/>
      <c r="C256" s="20"/>
      <c r="E256" s="28"/>
      <c r="F256" s="20"/>
      <c r="G256" s="19"/>
      <c r="H256" s="19"/>
      <c r="I256" s="19"/>
      <c r="J256" s="20"/>
      <c r="K256" s="20"/>
      <c r="L256" s="19"/>
      <c r="M256" s="19"/>
      <c r="N256" s="19"/>
      <c r="O256" s="19"/>
      <c r="P256" s="19"/>
      <c r="Q256" s="19"/>
      <c r="R256" s="19"/>
      <c r="S256" s="19"/>
      <c r="T256" s="19"/>
      <c r="U256" s="19"/>
      <c r="V256" s="19"/>
      <c r="W256" s="19"/>
      <c r="X256" s="19"/>
    </row>
    <row r="257" spans="1:24" ht="14.25" customHeight="1" x14ac:dyDescent="0.3">
      <c r="A257" s="19"/>
      <c r="B257" s="19"/>
      <c r="C257" s="20"/>
      <c r="E257" s="28"/>
      <c r="F257" s="20"/>
      <c r="G257" s="19"/>
      <c r="H257" s="19"/>
      <c r="I257" s="19"/>
      <c r="J257" s="20"/>
      <c r="K257" s="20"/>
      <c r="L257" s="19"/>
      <c r="M257" s="19"/>
      <c r="N257" s="19"/>
      <c r="O257" s="19"/>
      <c r="P257" s="19"/>
      <c r="Q257" s="19"/>
      <c r="R257" s="19"/>
      <c r="S257" s="19"/>
      <c r="T257" s="19"/>
      <c r="U257" s="19"/>
      <c r="V257" s="19"/>
      <c r="W257" s="19"/>
      <c r="X257" s="19"/>
    </row>
    <row r="258" spans="1:24" ht="14.25" customHeight="1" x14ac:dyDescent="0.3">
      <c r="A258" s="19"/>
      <c r="B258" s="19"/>
      <c r="C258" s="20"/>
      <c r="E258" s="28"/>
      <c r="F258" s="20"/>
      <c r="G258" s="19"/>
      <c r="H258" s="19"/>
      <c r="I258" s="19"/>
      <c r="J258" s="20"/>
      <c r="K258" s="20"/>
      <c r="L258" s="19"/>
      <c r="M258" s="19"/>
      <c r="N258" s="19"/>
      <c r="O258" s="19"/>
      <c r="P258" s="19"/>
      <c r="Q258" s="19"/>
      <c r="R258" s="19"/>
      <c r="S258" s="19"/>
      <c r="T258" s="19"/>
      <c r="U258" s="19"/>
      <c r="V258" s="19"/>
      <c r="W258" s="19"/>
      <c r="X258" s="19"/>
    </row>
    <row r="259" spans="1:24" ht="14.25" customHeight="1" x14ac:dyDescent="0.3">
      <c r="A259" s="19"/>
      <c r="B259" s="19"/>
      <c r="C259" s="20"/>
      <c r="E259" s="28"/>
      <c r="F259" s="20"/>
      <c r="G259" s="19"/>
      <c r="H259" s="19"/>
      <c r="I259" s="19"/>
      <c r="J259" s="20"/>
      <c r="K259" s="20"/>
      <c r="L259" s="19"/>
      <c r="M259" s="19"/>
      <c r="N259" s="19"/>
      <c r="O259" s="19"/>
      <c r="P259" s="19"/>
      <c r="Q259" s="19"/>
      <c r="R259" s="19"/>
      <c r="S259" s="19"/>
      <c r="T259" s="19"/>
      <c r="U259" s="19"/>
      <c r="V259" s="19"/>
      <c r="W259" s="19"/>
      <c r="X259" s="19"/>
    </row>
    <row r="260" spans="1:24" ht="14.25" customHeight="1" x14ac:dyDescent="0.3">
      <c r="A260" s="19"/>
      <c r="B260" s="19"/>
      <c r="C260" s="20"/>
      <c r="E260" s="28"/>
      <c r="F260" s="20"/>
      <c r="G260" s="19"/>
      <c r="H260" s="19"/>
      <c r="I260" s="19"/>
      <c r="J260" s="20"/>
      <c r="K260" s="20"/>
      <c r="L260" s="19"/>
      <c r="M260" s="19"/>
      <c r="N260" s="19"/>
      <c r="O260" s="19"/>
      <c r="P260" s="19"/>
      <c r="Q260" s="19"/>
      <c r="R260" s="19"/>
      <c r="S260" s="19"/>
      <c r="T260" s="19"/>
      <c r="U260" s="19"/>
      <c r="V260" s="19"/>
      <c r="W260" s="19"/>
      <c r="X260" s="19"/>
    </row>
    <row r="261" spans="1:24" ht="14.25" customHeight="1" x14ac:dyDescent="0.3">
      <c r="A261" s="19"/>
      <c r="B261" s="19"/>
      <c r="C261" s="20"/>
      <c r="E261" s="28"/>
      <c r="F261" s="20"/>
      <c r="G261" s="19"/>
      <c r="H261" s="19"/>
      <c r="I261" s="19"/>
      <c r="J261" s="20"/>
      <c r="K261" s="20"/>
      <c r="L261" s="19"/>
      <c r="M261" s="19"/>
      <c r="N261" s="19"/>
      <c r="O261" s="19"/>
      <c r="P261" s="19"/>
      <c r="Q261" s="19"/>
      <c r="R261" s="19"/>
      <c r="S261" s="19"/>
      <c r="T261" s="19"/>
      <c r="U261" s="19"/>
      <c r="V261" s="19"/>
      <c r="W261" s="19"/>
      <c r="X261" s="19"/>
    </row>
    <row r="262" spans="1:24" ht="14.25" customHeight="1" x14ac:dyDescent="0.3">
      <c r="A262" s="19"/>
      <c r="B262" s="19"/>
      <c r="C262" s="20"/>
      <c r="E262" s="28"/>
      <c r="F262" s="20"/>
      <c r="G262" s="19"/>
      <c r="H262" s="19"/>
      <c r="I262" s="19"/>
      <c r="J262" s="20"/>
      <c r="K262" s="20"/>
      <c r="L262" s="19"/>
      <c r="M262" s="19"/>
      <c r="N262" s="19"/>
      <c r="O262" s="19"/>
      <c r="P262" s="19"/>
      <c r="Q262" s="19"/>
      <c r="R262" s="19"/>
      <c r="S262" s="19"/>
      <c r="T262" s="19"/>
      <c r="U262" s="19"/>
      <c r="V262" s="19"/>
      <c r="W262" s="19"/>
      <c r="X262" s="19"/>
    </row>
    <row r="263" spans="1:24" ht="14.25" customHeight="1" x14ac:dyDescent="0.3">
      <c r="A263" s="19"/>
      <c r="B263" s="19"/>
      <c r="C263" s="20"/>
      <c r="E263" s="28"/>
      <c r="F263" s="20"/>
      <c r="G263" s="19"/>
      <c r="H263" s="19"/>
      <c r="I263" s="19"/>
      <c r="J263" s="20"/>
      <c r="K263" s="20"/>
      <c r="L263" s="19"/>
      <c r="M263" s="19"/>
      <c r="N263" s="19"/>
      <c r="O263" s="19"/>
      <c r="P263" s="19"/>
      <c r="Q263" s="19"/>
      <c r="R263" s="19"/>
      <c r="S263" s="19"/>
      <c r="T263" s="19"/>
      <c r="U263" s="19"/>
      <c r="V263" s="19"/>
      <c r="W263" s="19"/>
      <c r="X263" s="19"/>
    </row>
    <row r="264" spans="1:24" ht="14.25" customHeight="1" x14ac:dyDescent="0.3">
      <c r="A264" s="19"/>
      <c r="B264" s="19"/>
      <c r="C264" s="20"/>
      <c r="E264" s="28"/>
      <c r="F264" s="20"/>
      <c r="G264" s="19"/>
      <c r="H264" s="19"/>
      <c r="I264" s="19"/>
      <c r="J264" s="20"/>
      <c r="K264" s="20"/>
      <c r="L264" s="19"/>
      <c r="M264" s="19"/>
      <c r="N264" s="19"/>
      <c r="O264" s="19"/>
      <c r="P264" s="19"/>
      <c r="Q264" s="19"/>
      <c r="R264" s="19"/>
      <c r="S264" s="19"/>
      <c r="T264" s="19"/>
      <c r="U264" s="19"/>
      <c r="V264" s="19"/>
      <c r="W264" s="19"/>
      <c r="X264" s="19"/>
    </row>
    <row r="265" spans="1:24" ht="14.25" customHeight="1" x14ac:dyDescent="0.3">
      <c r="A265" s="19"/>
      <c r="B265" s="19"/>
      <c r="C265" s="20"/>
      <c r="E265" s="28"/>
      <c r="F265" s="20"/>
      <c r="G265" s="19"/>
      <c r="H265" s="19"/>
      <c r="I265" s="19"/>
      <c r="J265" s="20"/>
      <c r="K265" s="20"/>
      <c r="L265" s="19"/>
      <c r="M265" s="19"/>
      <c r="N265" s="19"/>
      <c r="O265" s="19"/>
      <c r="P265" s="19"/>
      <c r="Q265" s="19"/>
      <c r="R265" s="19"/>
      <c r="S265" s="19"/>
      <c r="T265" s="19"/>
      <c r="U265" s="19"/>
      <c r="V265" s="19"/>
      <c r="W265" s="19"/>
      <c r="X265" s="19"/>
    </row>
    <row r="266" spans="1:24" ht="14.25" customHeight="1" x14ac:dyDescent="0.3">
      <c r="A266" s="19"/>
      <c r="B266" s="19"/>
      <c r="C266" s="20"/>
      <c r="E266" s="28"/>
      <c r="F266" s="20"/>
      <c r="G266" s="19"/>
      <c r="H266" s="19"/>
      <c r="I266" s="19"/>
      <c r="J266" s="20"/>
      <c r="K266" s="20"/>
      <c r="L266" s="19"/>
      <c r="M266" s="19"/>
      <c r="N266" s="19"/>
      <c r="O266" s="19"/>
      <c r="P266" s="19"/>
      <c r="Q266" s="19"/>
      <c r="R266" s="19"/>
      <c r="S266" s="19"/>
      <c r="T266" s="19"/>
      <c r="U266" s="19"/>
      <c r="V266" s="19"/>
      <c r="W266" s="19"/>
      <c r="X266" s="19"/>
    </row>
    <row r="267" spans="1:24" ht="14.25" customHeight="1" x14ac:dyDescent="0.3">
      <c r="A267" s="19"/>
      <c r="B267" s="19"/>
      <c r="C267" s="20"/>
      <c r="E267" s="28"/>
      <c r="F267" s="20"/>
      <c r="G267" s="19"/>
      <c r="H267" s="19"/>
      <c r="I267" s="19"/>
      <c r="J267" s="20"/>
      <c r="K267" s="20"/>
      <c r="L267" s="19"/>
      <c r="M267" s="19"/>
      <c r="N267" s="19"/>
      <c r="O267" s="19"/>
      <c r="P267" s="19"/>
      <c r="Q267" s="19"/>
      <c r="R267" s="19"/>
      <c r="S267" s="19"/>
      <c r="T267" s="19"/>
      <c r="U267" s="19"/>
      <c r="V267" s="19"/>
      <c r="W267" s="19"/>
      <c r="X267" s="19"/>
    </row>
    <row r="268" spans="1:24" ht="14.25" customHeight="1" x14ac:dyDescent="0.3">
      <c r="A268" s="19"/>
      <c r="B268" s="19"/>
      <c r="C268" s="20"/>
      <c r="E268" s="28"/>
      <c r="F268" s="20"/>
      <c r="G268" s="19"/>
      <c r="H268" s="19"/>
      <c r="I268" s="19"/>
      <c r="J268" s="20"/>
      <c r="K268" s="20"/>
      <c r="L268" s="19"/>
      <c r="M268" s="19"/>
      <c r="N268" s="19"/>
      <c r="O268" s="19"/>
      <c r="P268" s="19"/>
      <c r="Q268" s="19"/>
      <c r="R268" s="19"/>
      <c r="S268" s="19"/>
      <c r="T268" s="19"/>
      <c r="U268" s="19"/>
      <c r="V268" s="19"/>
      <c r="W268" s="19"/>
      <c r="X268" s="19"/>
    </row>
    <row r="269" spans="1:24" ht="14.25" customHeight="1" x14ac:dyDescent="0.3">
      <c r="A269" s="19"/>
      <c r="B269" s="19"/>
      <c r="C269" s="20"/>
      <c r="E269" s="28"/>
      <c r="F269" s="20"/>
      <c r="G269" s="19"/>
      <c r="H269" s="19"/>
      <c r="I269" s="19"/>
      <c r="J269" s="20"/>
      <c r="K269" s="20"/>
      <c r="L269" s="19"/>
      <c r="M269" s="19"/>
      <c r="N269" s="19"/>
      <c r="O269" s="19"/>
      <c r="P269" s="19"/>
      <c r="Q269" s="19"/>
      <c r="R269" s="19"/>
      <c r="S269" s="19"/>
      <c r="T269" s="19"/>
      <c r="U269" s="19"/>
      <c r="V269" s="19"/>
      <c r="W269" s="19"/>
      <c r="X269" s="19"/>
    </row>
    <row r="270" spans="1:24" ht="14.25" customHeight="1" x14ac:dyDescent="0.3">
      <c r="A270" s="19"/>
      <c r="B270" s="19"/>
      <c r="C270" s="20"/>
      <c r="E270" s="28"/>
      <c r="F270" s="20"/>
      <c r="G270" s="19"/>
      <c r="H270" s="19"/>
      <c r="I270" s="19"/>
      <c r="J270" s="20"/>
      <c r="K270" s="20"/>
      <c r="L270" s="19"/>
      <c r="M270" s="19"/>
      <c r="N270" s="19"/>
      <c r="O270" s="19"/>
      <c r="P270" s="19"/>
      <c r="Q270" s="19"/>
      <c r="R270" s="19"/>
      <c r="S270" s="19"/>
      <c r="T270" s="19"/>
      <c r="U270" s="19"/>
      <c r="V270" s="19"/>
      <c r="W270" s="19"/>
      <c r="X270" s="19"/>
    </row>
    <row r="271" spans="1:24" ht="14.25" customHeight="1" x14ac:dyDescent="0.3">
      <c r="A271" s="19"/>
      <c r="B271" s="19"/>
      <c r="C271" s="20"/>
      <c r="E271" s="28"/>
      <c r="F271" s="20"/>
      <c r="G271" s="19"/>
      <c r="H271" s="19"/>
      <c r="I271" s="19"/>
      <c r="J271" s="20"/>
      <c r="K271" s="20"/>
      <c r="L271" s="19"/>
      <c r="M271" s="19"/>
      <c r="N271" s="19"/>
      <c r="O271" s="19"/>
      <c r="P271" s="19"/>
      <c r="Q271" s="19"/>
      <c r="R271" s="19"/>
      <c r="S271" s="19"/>
      <c r="T271" s="19"/>
      <c r="U271" s="19"/>
      <c r="V271" s="19"/>
      <c r="W271" s="19"/>
      <c r="X271" s="19"/>
    </row>
    <row r="272" spans="1:24" ht="14.25" customHeight="1" x14ac:dyDescent="0.3">
      <c r="A272" s="19"/>
      <c r="B272" s="19"/>
      <c r="C272" s="20"/>
      <c r="E272" s="28"/>
      <c r="F272" s="20"/>
      <c r="G272" s="19"/>
      <c r="H272" s="19"/>
      <c r="I272" s="19"/>
      <c r="J272" s="20"/>
      <c r="K272" s="20"/>
      <c r="L272" s="19"/>
      <c r="M272" s="19"/>
      <c r="N272" s="19"/>
      <c r="O272" s="19"/>
      <c r="P272" s="19"/>
      <c r="Q272" s="19"/>
      <c r="R272" s="19"/>
      <c r="S272" s="19"/>
      <c r="T272" s="19"/>
      <c r="U272" s="19"/>
      <c r="V272" s="19"/>
      <c r="W272" s="19"/>
      <c r="X272" s="19"/>
    </row>
    <row r="273" spans="1:24" ht="14.25" customHeight="1" x14ac:dyDescent="0.3">
      <c r="A273" s="19"/>
      <c r="B273" s="19"/>
      <c r="C273" s="20"/>
      <c r="E273" s="28"/>
      <c r="F273" s="20"/>
      <c r="G273" s="19"/>
      <c r="H273" s="19"/>
      <c r="I273" s="19"/>
      <c r="J273" s="20"/>
      <c r="K273" s="20"/>
      <c r="L273" s="19"/>
      <c r="M273" s="19"/>
      <c r="N273" s="19"/>
      <c r="O273" s="19"/>
      <c r="P273" s="19"/>
      <c r="Q273" s="19"/>
      <c r="R273" s="19"/>
      <c r="S273" s="19"/>
      <c r="T273" s="19"/>
      <c r="U273" s="19"/>
      <c r="V273" s="19"/>
      <c r="W273" s="19"/>
      <c r="X273" s="19"/>
    </row>
    <row r="274" spans="1:24" ht="14.25" customHeight="1" x14ac:dyDescent="0.3">
      <c r="A274" s="19"/>
      <c r="B274" s="19"/>
      <c r="C274" s="20"/>
      <c r="E274" s="28"/>
      <c r="F274" s="20"/>
      <c r="G274" s="19"/>
      <c r="H274" s="19"/>
      <c r="I274" s="19"/>
      <c r="J274" s="20"/>
      <c r="K274" s="20"/>
      <c r="L274" s="19"/>
      <c r="M274" s="19"/>
      <c r="N274" s="19"/>
      <c r="O274" s="19"/>
      <c r="P274" s="19"/>
      <c r="Q274" s="19"/>
      <c r="R274" s="19"/>
      <c r="S274" s="19"/>
      <c r="T274" s="19"/>
      <c r="U274" s="19"/>
      <c r="V274" s="19"/>
      <c r="W274" s="19"/>
      <c r="X274" s="19"/>
    </row>
    <row r="275" spans="1:24" ht="14.25" customHeight="1" x14ac:dyDescent="0.3">
      <c r="A275" s="19"/>
      <c r="B275" s="19"/>
      <c r="C275" s="20"/>
      <c r="E275" s="28"/>
      <c r="F275" s="20"/>
      <c r="G275" s="19"/>
      <c r="H275" s="19"/>
      <c r="I275" s="19"/>
      <c r="J275" s="20"/>
      <c r="K275" s="20"/>
      <c r="L275" s="19"/>
      <c r="M275" s="19"/>
      <c r="N275" s="19"/>
      <c r="O275" s="19"/>
      <c r="P275" s="19"/>
      <c r="Q275" s="19"/>
      <c r="R275" s="19"/>
      <c r="S275" s="19"/>
      <c r="T275" s="19"/>
      <c r="U275" s="19"/>
      <c r="V275" s="19"/>
      <c r="W275" s="19"/>
      <c r="X275" s="19"/>
    </row>
    <row r="276" spans="1:24" ht="14.25" customHeight="1" x14ac:dyDescent="0.3">
      <c r="A276" s="19"/>
      <c r="B276" s="19"/>
      <c r="C276" s="20"/>
      <c r="E276" s="28"/>
      <c r="F276" s="20"/>
      <c r="G276" s="19"/>
      <c r="H276" s="19"/>
      <c r="I276" s="19"/>
      <c r="J276" s="20"/>
      <c r="K276" s="20"/>
      <c r="L276" s="19"/>
      <c r="M276" s="19"/>
      <c r="N276" s="19"/>
      <c r="O276" s="19"/>
      <c r="P276" s="19"/>
      <c r="Q276" s="19"/>
      <c r="R276" s="19"/>
      <c r="S276" s="19"/>
      <c r="T276" s="19"/>
      <c r="U276" s="19"/>
      <c r="V276" s="19"/>
      <c r="W276" s="19"/>
      <c r="X276" s="19"/>
    </row>
    <row r="277" spans="1:24" ht="14.25" customHeight="1" x14ac:dyDescent="0.3">
      <c r="A277" s="19"/>
      <c r="B277" s="19"/>
      <c r="C277" s="20"/>
      <c r="E277" s="28"/>
      <c r="F277" s="20"/>
      <c r="G277" s="19"/>
      <c r="H277" s="19"/>
      <c r="I277" s="19"/>
      <c r="J277" s="20"/>
      <c r="K277" s="20"/>
      <c r="L277" s="19"/>
      <c r="M277" s="19"/>
      <c r="N277" s="19"/>
      <c r="O277" s="19"/>
      <c r="P277" s="19"/>
      <c r="Q277" s="19"/>
      <c r="R277" s="19"/>
      <c r="S277" s="19"/>
      <c r="T277" s="19"/>
      <c r="U277" s="19"/>
      <c r="V277" s="19"/>
      <c r="W277" s="19"/>
      <c r="X277" s="19"/>
    </row>
    <row r="278" spans="1:24" ht="14.25" customHeight="1" x14ac:dyDescent="0.3">
      <c r="A278" s="19"/>
      <c r="B278" s="19"/>
      <c r="C278" s="20"/>
      <c r="E278" s="28"/>
      <c r="F278" s="20"/>
      <c r="G278" s="19"/>
      <c r="H278" s="19"/>
      <c r="I278" s="19"/>
      <c r="J278" s="20"/>
      <c r="K278" s="20"/>
      <c r="L278" s="19"/>
      <c r="M278" s="19"/>
      <c r="N278" s="19"/>
      <c r="O278" s="19"/>
      <c r="P278" s="19"/>
      <c r="Q278" s="19"/>
      <c r="R278" s="19"/>
      <c r="S278" s="19"/>
      <c r="T278" s="19"/>
      <c r="U278" s="19"/>
      <c r="V278" s="19"/>
      <c r="W278" s="19"/>
      <c r="X278" s="19"/>
    </row>
    <row r="279" spans="1:24" ht="14.25" customHeight="1" x14ac:dyDescent="0.3">
      <c r="A279" s="19"/>
      <c r="B279" s="19"/>
      <c r="C279" s="20"/>
      <c r="E279" s="28"/>
      <c r="F279" s="20"/>
      <c r="G279" s="19"/>
      <c r="H279" s="19"/>
      <c r="I279" s="19"/>
      <c r="J279" s="20"/>
      <c r="K279" s="20"/>
      <c r="L279" s="19"/>
      <c r="M279" s="19"/>
      <c r="N279" s="19"/>
      <c r="O279" s="19"/>
      <c r="P279" s="19"/>
      <c r="Q279" s="19"/>
      <c r="R279" s="19"/>
      <c r="S279" s="19"/>
      <c r="T279" s="19"/>
      <c r="U279" s="19"/>
      <c r="V279" s="19"/>
      <c r="W279" s="19"/>
      <c r="X279" s="19"/>
    </row>
    <row r="280" spans="1:24" ht="14.25" customHeight="1" x14ac:dyDescent="0.3">
      <c r="A280" s="19"/>
      <c r="B280" s="19"/>
      <c r="C280" s="20"/>
      <c r="E280" s="28"/>
      <c r="F280" s="20"/>
      <c r="G280" s="19"/>
      <c r="H280" s="19"/>
      <c r="I280" s="19"/>
      <c r="J280" s="20"/>
      <c r="K280" s="20"/>
      <c r="L280" s="19"/>
      <c r="M280" s="19"/>
      <c r="N280" s="19"/>
      <c r="O280" s="19"/>
      <c r="P280" s="19"/>
      <c r="Q280" s="19"/>
      <c r="R280" s="19"/>
      <c r="S280" s="19"/>
      <c r="T280" s="19"/>
      <c r="U280" s="19"/>
      <c r="V280" s="19"/>
      <c r="W280" s="19"/>
      <c r="X280" s="19"/>
    </row>
    <row r="281" spans="1:24" ht="14.25" customHeight="1" x14ac:dyDescent="0.3">
      <c r="A281" s="19"/>
      <c r="B281" s="19"/>
      <c r="C281" s="20"/>
      <c r="E281" s="28"/>
      <c r="F281" s="20"/>
      <c r="G281" s="19"/>
      <c r="H281" s="19"/>
      <c r="I281" s="19"/>
      <c r="J281" s="20"/>
      <c r="K281" s="20"/>
      <c r="L281" s="19"/>
      <c r="M281" s="19"/>
      <c r="N281" s="19"/>
      <c r="O281" s="19"/>
      <c r="P281" s="19"/>
      <c r="Q281" s="19"/>
      <c r="R281" s="19"/>
      <c r="S281" s="19"/>
      <c r="T281" s="19"/>
      <c r="U281" s="19"/>
      <c r="V281" s="19"/>
      <c r="W281" s="19"/>
      <c r="X281" s="19"/>
    </row>
    <row r="282" spans="1:24" ht="14.25" customHeight="1" x14ac:dyDescent="0.3">
      <c r="A282" s="19"/>
      <c r="B282" s="19"/>
      <c r="C282" s="20"/>
      <c r="E282" s="28"/>
      <c r="F282" s="20"/>
      <c r="G282" s="19"/>
      <c r="H282" s="19"/>
      <c r="I282" s="19"/>
      <c r="J282" s="20"/>
      <c r="K282" s="20"/>
      <c r="L282" s="19"/>
      <c r="M282" s="19"/>
      <c r="N282" s="19"/>
      <c r="O282" s="19"/>
      <c r="P282" s="19"/>
      <c r="Q282" s="19"/>
      <c r="R282" s="19"/>
      <c r="S282" s="19"/>
      <c r="T282" s="19"/>
      <c r="U282" s="19"/>
      <c r="V282" s="19"/>
      <c r="W282" s="19"/>
      <c r="X282" s="19"/>
    </row>
    <row r="283" spans="1:24" ht="14.25" customHeight="1" x14ac:dyDescent="0.3">
      <c r="A283" s="19"/>
      <c r="B283" s="19"/>
      <c r="C283" s="20"/>
      <c r="E283" s="28"/>
      <c r="F283" s="20"/>
      <c r="G283" s="19"/>
      <c r="H283" s="19"/>
      <c r="I283" s="19"/>
      <c r="J283" s="20"/>
      <c r="K283" s="20"/>
      <c r="L283" s="19"/>
      <c r="M283" s="19"/>
      <c r="N283" s="19"/>
      <c r="O283" s="19"/>
      <c r="P283" s="19"/>
      <c r="Q283" s="19"/>
      <c r="R283" s="19"/>
      <c r="S283" s="19"/>
      <c r="T283" s="19"/>
      <c r="U283" s="19"/>
      <c r="V283" s="19"/>
      <c r="W283" s="19"/>
      <c r="X283" s="19"/>
    </row>
    <row r="284" spans="1:24" ht="14.25" customHeight="1" x14ac:dyDescent="0.3">
      <c r="A284" s="19"/>
      <c r="B284" s="19"/>
      <c r="C284" s="20"/>
      <c r="E284" s="28"/>
      <c r="F284" s="20"/>
      <c r="G284" s="19"/>
      <c r="H284" s="19"/>
      <c r="I284" s="19"/>
      <c r="J284" s="20"/>
      <c r="K284" s="20"/>
      <c r="L284" s="19"/>
      <c r="M284" s="19"/>
      <c r="N284" s="19"/>
      <c r="O284" s="19"/>
      <c r="P284" s="19"/>
      <c r="Q284" s="19"/>
      <c r="R284" s="19"/>
      <c r="S284" s="19"/>
      <c r="T284" s="19"/>
      <c r="U284" s="19"/>
      <c r="V284" s="19"/>
      <c r="W284" s="19"/>
      <c r="X284" s="19"/>
    </row>
    <row r="285" spans="1:24" ht="14.25" customHeight="1" x14ac:dyDescent="0.3">
      <c r="A285" s="19"/>
      <c r="B285" s="19"/>
      <c r="C285" s="20"/>
      <c r="E285" s="28"/>
      <c r="F285" s="20"/>
      <c r="G285" s="19"/>
      <c r="H285" s="19"/>
      <c r="I285" s="19"/>
      <c r="J285" s="20"/>
      <c r="K285" s="20"/>
      <c r="L285" s="19"/>
      <c r="M285" s="19"/>
      <c r="N285" s="19"/>
      <c r="O285" s="19"/>
      <c r="P285" s="19"/>
      <c r="Q285" s="19"/>
      <c r="R285" s="19"/>
      <c r="S285" s="19"/>
      <c r="T285" s="19"/>
      <c r="U285" s="19"/>
      <c r="V285" s="19"/>
      <c r="W285" s="19"/>
      <c r="X285" s="19"/>
    </row>
    <row r="286" spans="1:24" ht="14.25" customHeight="1" x14ac:dyDescent="0.3">
      <c r="A286" s="19"/>
      <c r="B286" s="19"/>
      <c r="C286" s="20"/>
      <c r="E286" s="28"/>
      <c r="F286" s="20"/>
      <c r="G286" s="19"/>
      <c r="H286" s="19"/>
      <c r="I286" s="19"/>
      <c r="J286" s="20"/>
      <c r="K286" s="20"/>
      <c r="L286" s="19"/>
      <c r="M286" s="19"/>
      <c r="N286" s="19"/>
      <c r="O286" s="19"/>
      <c r="P286" s="19"/>
      <c r="Q286" s="19"/>
      <c r="R286" s="19"/>
      <c r="S286" s="19"/>
      <c r="T286" s="19"/>
      <c r="U286" s="19"/>
      <c r="V286" s="19"/>
      <c r="W286" s="19"/>
      <c r="X286" s="19"/>
    </row>
    <row r="287" spans="1:24" ht="14.25" customHeight="1" x14ac:dyDescent="0.3">
      <c r="A287" s="19"/>
      <c r="B287" s="19"/>
      <c r="C287" s="20"/>
      <c r="E287" s="28"/>
      <c r="F287" s="20"/>
      <c r="G287" s="19"/>
      <c r="H287" s="19"/>
      <c r="I287" s="19"/>
      <c r="J287" s="20"/>
      <c r="K287" s="20"/>
      <c r="L287" s="19"/>
      <c r="M287" s="19"/>
      <c r="N287" s="19"/>
      <c r="O287" s="19"/>
      <c r="P287" s="19"/>
      <c r="Q287" s="19"/>
      <c r="R287" s="19"/>
      <c r="S287" s="19"/>
      <c r="T287" s="19"/>
      <c r="U287" s="19"/>
      <c r="V287" s="19"/>
      <c r="W287" s="19"/>
      <c r="X287" s="19"/>
    </row>
    <row r="288" spans="1:24" ht="14.25" customHeight="1" x14ac:dyDescent="0.3">
      <c r="A288" s="19"/>
      <c r="B288" s="19"/>
      <c r="C288" s="20"/>
      <c r="E288" s="28"/>
      <c r="F288" s="20"/>
      <c r="G288" s="19"/>
      <c r="H288" s="19"/>
      <c r="I288" s="19"/>
      <c r="J288" s="20"/>
      <c r="K288" s="20"/>
      <c r="L288" s="19"/>
      <c r="M288" s="19"/>
      <c r="N288" s="19"/>
      <c r="O288" s="19"/>
      <c r="P288" s="19"/>
      <c r="Q288" s="19"/>
      <c r="R288" s="19"/>
      <c r="S288" s="19"/>
      <c r="T288" s="19"/>
      <c r="U288" s="19"/>
      <c r="V288" s="19"/>
      <c r="W288" s="19"/>
      <c r="X288" s="19"/>
    </row>
    <row r="289" spans="1:24" ht="14.25" customHeight="1" x14ac:dyDescent="0.3">
      <c r="A289" s="19"/>
      <c r="B289" s="19"/>
      <c r="C289" s="20"/>
      <c r="E289" s="28"/>
      <c r="F289" s="20"/>
      <c r="G289" s="19"/>
      <c r="H289" s="19"/>
      <c r="I289" s="19"/>
      <c r="J289" s="20"/>
      <c r="K289" s="20"/>
      <c r="L289" s="19"/>
      <c r="M289" s="19"/>
      <c r="N289" s="19"/>
      <c r="O289" s="19"/>
      <c r="P289" s="19"/>
      <c r="Q289" s="19"/>
      <c r="R289" s="19"/>
      <c r="S289" s="19"/>
      <c r="T289" s="19"/>
      <c r="U289" s="19"/>
      <c r="V289" s="19"/>
      <c r="W289" s="19"/>
      <c r="X289" s="19"/>
    </row>
    <row r="290" spans="1:24" ht="14.25" customHeight="1" x14ac:dyDescent="0.3">
      <c r="A290" s="19"/>
      <c r="B290" s="19"/>
      <c r="C290" s="20"/>
      <c r="E290" s="28"/>
      <c r="F290" s="20"/>
      <c r="G290" s="19"/>
      <c r="H290" s="19"/>
      <c r="I290" s="19"/>
      <c r="J290" s="20"/>
      <c r="K290" s="20"/>
      <c r="L290" s="19"/>
      <c r="M290" s="19"/>
      <c r="N290" s="19"/>
      <c r="O290" s="19"/>
      <c r="P290" s="19"/>
      <c r="Q290" s="19"/>
      <c r="R290" s="19"/>
      <c r="S290" s="19"/>
      <c r="T290" s="19"/>
      <c r="U290" s="19"/>
      <c r="V290" s="19"/>
      <c r="W290" s="19"/>
      <c r="X290" s="19"/>
    </row>
    <row r="291" spans="1:24" ht="14.25" customHeight="1" x14ac:dyDescent="0.3">
      <c r="A291" s="19"/>
      <c r="B291" s="19"/>
      <c r="C291" s="20"/>
      <c r="E291" s="28"/>
      <c r="F291" s="20"/>
      <c r="G291" s="19"/>
      <c r="H291" s="19"/>
      <c r="I291" s="19"/>
      <c r="J291" s="20"/>
      <c r="K291" s="20"/>
      <c r="L291" s="19"/>
      <c r="M291" s="19"/>
      <c r="N291" s="19"/>
      <c r="O291" s="19"/>
      <c r="P291" s="19"/>
      <c r="Q291" s="19"/>
      <c r="R291" s="19"/>
      <c r="S291" s="19"/>
      <c r="T291" s="19"/>
      <c r="U291" s="19"/>
      <c r="V291" s="19"/>
      <c r="W291" s="19"/>
      <c r="X291" s="19"/>
    </row>
    <row r="292" spans="1:24" ht="14.25" customHeight="1" x14ac:dyDescent="0.3">
      <c r="A292" s="19"/>
      <c r="B292" s="19"/>
      <c r="C292" s="20"/>
      <c r="E292" s="28"/>
      <c r="F292" s="20"/>
      <c r="G292" s="19"/>
      <c r="H292" s="19"/>
      <c r="I292" s="19"/>
      <c r="J292" s="20"/>
      <c r="K292" s="20"/>
      <c r="L292" s="19"/>
      <c r="M292" s="19"/>
      <c r="N292" s="19"/>
      <c r="O292" s="19"/>
      <c r="P292" s="19"/>
      <c r="Q292" s="19"/>
      <c r="R292" s="19"/>
      <c r="S292" s="19"/>
      <c r="T292" s="19"/>
      <c r="U292" s="19"/>
      <c r="V292" s="19"/>
      <c r="W292" s="19"/>
      <c r="X292" s="19"/>
    </row>
    <row r="293" spans="1:24" ht="14.25" customHeight="1" x14ac:dyDescent="0.3">
      <c r="A293" s="19"/>
      <c r="B293" s="19"/>
      <c r="C293" s="20"/>
      <c r="E293" s="28"/>
      <c r="F293" s="20"/>
      <c r="G293" s="19"/>
      <c r="H293" s="19"/>
      <c r="I293" s="19"/>
      <c r="J293" s="20"/>
      <c r="K293" s="20"/>
      <c r="L293" s="19"/>
      <c r="M293" s="19"/>
      <c r="N293" s="19"/>
      <c r="O293" s="19"/>
      <c r="P293" s="19"/>
      <c r="Q293" s="19"/>
      <c r="R293" s="19"/>
      <c r="S293" s="19"/>
      <c r="T293" s="19"/>
      <c r="U293" s="19"/>
      <c r="V293" s="19"/>
      <c r="W293" s="19"/>
      <c r="X293" s="19"/>
    </row>
    <row r="294" spans="1:24" ht="14.25" customHeight="1" x14ac:dyDescent="0.3">
      <c r="A294" s="19"/>
      <c r="B294" s="19"/>
      <c r="C294" s="20"/>
      <c r="E294" s="28"/>
      <c r="F294" s="20"/>
      <c r="G294" s="19"/>
      <c r="H294" s="19"/>
      <c r="I294" s="19"/>
      <c r="J294" s="20"/>
      <c r="K294" s="20"/>
      <c r="L294" s="19"/>
      <c r="M294" s="19"/>
      <c r="N294" s="19"/>
      <c r="O294" s="19"/>
      <c r="P294" s="19"/>
      <c r="Q294" s="19"/>
      <c r="R294" s="19"/>
      <c r="S294" s="19"/>
      <c r="T294" s="19"/>
      <c r="U294" s="19"/>
      <c r="V294" s="19"/>
      <c r="W294" s="19"/>
      <c r="X294" s="19"/>
    </row>
    <row r="295" spans="1:24" ht="14.25" customHeight="1" x14ac:dyDescent="0.3">
      <c r="A295" s="19"/>
      <c r="B295" s="19"/>
      <c r="C295" s="20"/>
      <c r="E295" s="28"/>
      <c r="F295" s="20"/>
      <c r="G295" s="19"/>
      <c r="H295" s="19"/>
      <c r="I295" s="19"/>
      <c r="J295" s="20"/>
      <c r="K295" s="20"/>
      <c r="L295" s="19"/>
      <c r="M295" s="19"/>
      <c r="N295" s="19"/>
      <c r="O295" s="19"/>
      <c r="P295" s="19"/>
      <c r="Q295" s="19"/>
      <c r="R295" s="19"/>
      <c r="S295" s="19"/>
      <c r="T295" s="19"/>
      <c r="U295" s="19"/>
      <c r="V295" s="19"/>
      <c r="W295" s="19"/>
      <c r="X295" s="19"/>
    </row>
    <row r="296" spans="1:24" ht="14.25" customHeight="1" x14ac:dyDescent="0.3">
      <c r="A296" s="19"/>
      <c r="B296" s="19"/>
      <c r="C296" s="20"/>
      <c r="E296" s="28"/>
      <c r="F296" s="20"/>
      <c r="G296" s="19"/>
      <c r="H296" s="19"/>
      <c r="I296" s="19"/>
      <c r="J296" s="20"/>
      <c r="K296" s="20"/>
      <c r="L296" s="19"/>
      <c r="M296" s="19"/>
      <c r="N296" s="19"/>
      <c r="O296" s="19"/>
      <c r="P296" s="19"/>
      <c r="Q296" s="19"/>
      <c r="R296" s="19"/>
      <c r="S296" s="19"/>
      <c r="T296" s="19"/>
      <c r="U296" s="19"/>
      <c r="V296" s="19"/>
      <c r="W296" s="19"/>
      <c r="X296" s="19"/>
    </row>
    <row r="297" spans="1:24" ht="14.25" customHeight="1" x14ac:dyDescent="0.3">
      <c r="A297" s="19"/>
      <c r="B297" s="19"/>
      <c r="C297" s="20"/>
      <c r="E297" s="28"/>
      <c r="F297" s="20"/>
      <c r="G297" s="19"/>
      <c r="H297" s="19"/>
      <c r="I297" s="19"/>
      <c r="J297" s="20"/>
      <c r="K297" s="20"/>
      <c r="L297" s="19"/>
      <c r="M297" s="19"/>
      <c r="N297" s="19"/>
      <c r="O297" s="19"/>
      <c r="P297" s="19"/>
      <c r="Q297" s="19"/>
      <c r="R297" s="19"/>
      <c r="S297" s="19"/>
      <c r="T297" s="19"/>
      <c r="U297" s="19"/>
      <c r="V297" s="19"/>
      <c r="W297" s="19"/>
      <c r="X297" s="19"/>
    </row>
    <row r="298" spans="1:24" ht="14.25" customHeight="1" x14ac:dyDescent="0.3">
      <c r="A298" s="19"/>
      <c r="B298" s="19"/>
      <c r="C298" s="20"/>
      <c r="E298" s="28"/>
      <c r="F298" s="20"/>
      <c r="G298" s="19"/>
      <c r="H298" s="19"/>
      <c r="I298" s="19"/>
      <c r="J298" s="20"/>
      <c r="K298" s="20"/>
      <c r="L298" s="19"/>
      <c r="M298" s="19"/>
      <c r="N298" s="19"/>
      <c r="O298" s="19"/>
      <c r="P298" s="19"/>
      <c r="Q298" s="19"/>
      <c r="R298" s="19"/>
      <c r="S298" s="19"/>
      <c r="T298" s="19"/>
      <c r="U298" s="19"/>
      <c r="V298" s="19"/>
      <c r="W298" s="19"/>
      <c r="X298" s="19"/>
    </row>
    <row r="299" spans="1:24" ht="14.25" customHeight="1" x14ac:dyDescent="0.3">
      <c r="A299" s="19"/>
      <c r="B299" s="19"/>
      <c r="C299" s="20"/>
      <c r="E299" s="28"/>
      <c r="F299" s="20"/>
      <c r="G299" s="19"/>
      <c r="H299" s="19"/>
      <c r="I299" s="19"/>
      <c r="J299" s="20"/>
      <c r="K299" s="20"/>
      <c r="L299" s="19"/>
      <c r="M299" s="19"/>
      <c r="N299" s="19"/>
      <c r="O299" s="19"/>
      <c r="P299" s="19"/>
      <c r="Q299" s="19"/>
      <c r="R299" s="19"/>
      <c r="S299" s="19"/>
      <c r="T299" s="19"/>
      <c r="U299" s="19"/>
      <c r="V299" s="19"/>
      <c r="W299" s="19"/>
      <c r="X299" s="19"/>
    </row>
    <row r="300" spans="1:24" ht="14.25" customHeight="1" x14ac:dyDescent="0.3">
      <c r="A300" s="19"/>
      <c r="B300" s="19"/>
      <c r="C300" s="20"/>
      <c r="E300" s="28"/>
      <c r="F300" s="20"/>
      <c r="G300" s="19"/>
      <c r="H300" s="19"/>
      <c r="I300" s="19"/>
      <c r="J300" s="20"/>
      <c r="K300" s="20"/>
      <c r="L300" s="19"/>
      <c r="M300" s="19"/>
      <c r="N300" s="19"/>
      <c r="O300" s="19"/>
      <c r="P300" s="19"/>
      <c r="Q300" s="19"/>
      <c r="R300" s="19"/>
      <c r="S300" s="19"/>
      <c r="T300" s="19"/>
      <c r="U300" s="19"/>
      <c r="V300" s="19"/>
      <c r="W300" s="19"/>
      <c r="X300" s="19"/>
    </row>
    <row r="301" spans="1:24" ht="14.25" customHeight="1" x14ac:dyDescent="0.3">
      <c r="A301" s="19"/>
      <c r="B301" s="19"/>
      <c r="C301" s="20"/>
      <c r="E301" s="28"/>
      <c r="F301" s="20"/>
      <c r="G301" s="19"/>
      <c r="H301" s="19"/>
      <c r="I301" s="19"/>
      <c r="J301" s="20"/>
      <c r="K301" s="20"/>
      <c r="L301" s="19"/>
      <c r="M301" s="19"/>
      <c r="N301" s="19"/>
      <c r="O301" s="19"/>
      <c r="P301" s="19"/>
      <c r="Q301" s="19"/>
      <c r="R301" s="19"/>
      <c r="S301" s="19"/>
      <c r="T301" s="19"/>
      <c r="U301" s="19"/>
      <c r="V301" s="19"/>
      <c r="W301" s="19"/>
      <c r="X301" s="19"/>
    </row>
    <row r="302" spans="1:24" ht="14.25" customHeight="1" x14ac:dyDescent="0.3">
      <c r="A302" s="19"/>
      <c r="B302" s="19"/>
      <c r="C302" s="20"/>
      <c r="E302" s="28"/>
      <c r="F302" s="20"/>
      <c r="G302" s="19"/>
      <c r="H302" s="19"/>
      <c r="I302" s="19"/>
      <c r="J302" s="20"/>
      <c r="K302" s="20"/>
      <c r="L302" s="19"/>
      <c r="M302" s="19"/>
      <c r="N302" s="19"/>
      <c r="O302" s="19"/>
      <c r="P302" s="19"/>
      <c r="Q302" s="19"/>
      <c r="R302" s="19"/>
      <c r="S302" s="19"/>
      <c r="T302" s="19"/>
      <c r="U302" s="19"/>
      <c r="V302" s="19"/>
      <c r="W302" s="19"/>
      <c r="X302" s="19"/>
    </row>
    <row r="303" spans="1:24" ht="14.25" customHeight="1" x14ac:dyDescent="0.3">
      <c r="A303" s="19"/>
      <c r="B303" s="19"/>
      <c r="C303" s="20"/>
      <c r="E303" s="28"/>
      <c r="F303" s="20"/>
      <c r="G303" s="19"/>
      <c r="H303" s="19"/>
      <c r="I303" s="19"/>
      <c r="J303" s="20"/>
      <c r="K303" s="20"/>
      <c r="L303" s="19"/>
      <c r="M303" s="19"/>
      <c r="N303" s="19"/>
      <c r="O303" s="19"/>
      <c r="P303" s="19"/>
      <c r="Q303" s="19"/>
      <c r="R303" s="19"/>
      <c r="S303" s="19"/>
      <c r="T303" s="19"/>
      <c r="U303" s="19"/>
      <c r="V303" s="19"/>
      <c r="W303" s="19"/>
      <c r="X303" s="19"/>
    </row>
    <row r="304" spans="1:24" ht="14.25" customHeight="1" x14ac:dyDescent="0.3">
      <c r="A304" s="19"/>
      <c r="B304" s="19"/>
      <c r="C304" s="20"/>
      <c r="E304" s="28"/>
      <c r="F304" s="20"/>
      <c r="G304" s="19"/>
      <c r="H304" s="19"/>
      <c r="I304" s="19"/>
      <c r="J304" s="20"/>
      <c r="K304" s="20"/>
      <c r="L304" s="19"/>
      <c r="M304" s="19"/>
      <c r="N304" s="19"/>
      <c r="O304" s="19"/>
      <c r="P304" s="19"/>
      <c r="Q304" s="19"/>
      <c r="R304" s="19"/>
      <c r="S304" s="19"/>
      <c r="T304" s="19"/>
      <c r="U304" s="19"/>
      <c r="V304" s="19"/>
      <c r="W304" s="19"/>
      <c r="X304" s="19"/>
    </row>
    <row r="305" spans="1:24" ht="14.25" customHeight="1" x14ac:dyDescent="0.3">
      <c r="A305" s="19"/>
      <c r="B305" s="19"/>
      <c r="C305" s="20"/>
      <c r="E305" s="28"/>
      <c r="F305" s="20"/>
      <c r="G305" s="19"/>
      <c r="H305" s="19"/>
      <c r="I305" s="19"/>
      <c r="J305" s="20"/>
      <c r="K305" s="20"/>
      <c r="L305" s="19"/>
      <c r="M305" s="19"/>
      <c r="N305" s="19"/>
      <c r="O305" s="19"/>
      <c r="P305" s="19"/>
      <c r="Q305" s="19"/>
      <c r="R305" s="19"/>
      <c r="S305" s="19"/>
      <c r="T305" s="19"/>
      <c r="U305" s="19"/>
      <c r="V305" s="19"/>
      <c r="W305" s="19"/>
      <c r="X305" s="19"/>
    </row>
    <row r="306" spans="1:24" ht="14.25" customHeight="1" x14ac:dyDescent="0.3">
      <c r="A306" s="19"/>
      <c r="B306" s="19"/>
      <c r="C306" s="20"/>
      <c r="E306" s="28"/>
      <c r="F306" s="20"/>
      <c r="G306" s="19"/>
      <c r="H306" s="19"/>
      <c r="I306" s="19"/>
      <c r="J306" s="20"/>
      <c r="K306" s="20"/>
      <c r="L306" s="19"/>
      <c r="M306" s="19"/>
      <c r="N306" s="19"/>
      <c r="O306" s="19"/>
      <c r="P306" s="19"/>
      <c r="Q306" s="19"/>
      <c r="R306" s="19"/>
      <c r="S306" s="19"/>
      <c r="T306" s="19"/>
      <c r="U306" s="19"/>
      <c r="V306" s="19"/>
      <c r="W306" s="19"/>
      <c r="X306" s="19"/>
    </row>
    <row r="307" spans="1:24" ht="14.25" customHeight="1" x14ac:dyDescent="0.3">
      <c r="A307" s="19"/>
      <c r="B307" s="19"/>
      <c r="C307" s="20"/>
      <c r="E307" s="28"/>
      <c r="F307" s="20"/>
      <c r="G307" s="19"/>
      <c r="H307" s="19"/>
      <c r="I307" s="19"/>
      <c r="J307" s="20"/>
      <c r="K307" s="20"/>
      <c r="L307" s="19"/>
      <c r="M307" s="19"/>
      <c r="N307" s="19"/>
      <c r="O307" s="19"/>
      <c r="P307" s="19"/>
      <c r="Q307" s="19"/>
      <c r="R307" s="19"/>
      <c r="S307" s="19"/>
      <c r="T307" s="19"/>
      <c r="U307" s="19"/>
      <c r="V307" s="19"/>
      <c r="W307" s="19"/>
      <c r="X307" s="19"/>
    </row>
    <row r="308" spans="1:24" ht="14.25" customHeight="1" x14ac:dyDescent="0.3">
      <c r="A308" s="19"/>
      <c r="B308" s="19"/>
      <c r="C308" s="20"/>
      <c r="E308" s="28"/>
      <c r="F308" s="20"/>
      <c r="G308" s="19"/>
      <c r="H308" s="19"/>
      <c r="I308" s="19"/>
      <c r="J308" s="20"/>
      <c r="K308" s="20"/>
      <c r="L308" s="19"/>
      <c r="M308" s="19"/>
      <c r="N308" s="19"/>
      <c r="O308" s="19"/>
      <c r="P308" s="19"/>
      <c r="Q308" s="19"/>
      <c r="R308" s="19"/>
      <c r="S308" s="19"/>
      <c r="T308" s="19"/>
      <c r="U308" s="19"/>
      <c r="V308" s="19"/>
      <c r="W308" s="19"/>
      <c r="X308" s="19"/>
    </row>
    <row r="309" spans="1:24" ht="14.25" customHeight="1" x14ac:dyDescent="0.3">
      <c r="A309" s="19"/>
      <c r="B309" s="19"/>
      <c r="C309" s="20"/>
      <c r="E309" s="28"/>
      <c r="F309" s="20"/>
      <c r="G309" s="19"/>
      <c r="H309" s="19"/>
      <c r="I309" s="19"/>
      <c r="J309" s="20"/>
      <c r="K309" s="20"/>
      <c r="L309" s="19"/>
      <c r="M309" s="19"/>
      <c r="N309" s="19"/>
      <c r="O309" s="19"/>
      <c r="P309" s="19"/>
      <c r="Q309" s="19"/>
      <c r="R309" s="19"/>
      <c r="S309" s="19"/>
      <c r="T309" s="19"/>
      <c r="U309" s="19"/>
      <c r="V309" s="19"/>
      <c r="W309" s="19"/>
      <c r="X309" s="19"/>
    </row>
    <row r="310" spans="1:24" ht="14.25" customHeight="1" x14ac:dyDescent="0.3">
      <c r="A310" s="19"/>
      <c r="B310" s="19"/>
      <c r="C310" s="20"/>
      <c r="E310" s="28"/>
      <c r="F310" s="20"/>
      <c r="G310" s="19"/>
      <c r="H310" s="19"/>
      <c r="I310" s="19"/>
      <c r="J310" s="20"/>
      <c r="K310" s="20"/>
      <c r="L310" s="19"/>
      <c r="M310" s="19"/>
      <c r="N310" s="19"/>
      <c r="O310" s="19"/>
      <c r="P310" s="19"/>
      <c r="Q310" s="19"/>
      <c r="R310" s="19"/>
      <c r="S310" s="19"/>
      <c r="T310" s="19"/>
      <c r="U310" s="19"/>
      <c r="V310" s="19"/>
      <c r="W310" s="19"/>
      <c r="X310" s="19"/>
    </row>
    <row r="311" spans="1:24" ht="14.25" customHeight="1" x14ac:dyDescent="0.3">
      <c r="A311" s="19"/>
      <c r="B311" s="19"/>
      <c r="C311" s="20"/>
      <c r="E311" s="28"/>
      <c r="F311" s="20"/>
      <c r="G311" s="19"/>
      <c r="H311" s="19"/>
      <c r="I311" s="19"/>
      <c r="J311" s="20"/>
      <c r="K311" s="20"/>
      <c r="L311" s="19"/>
      <c r="M311" s="19"/>
      <c r="N311" s="19"/>
      <c r="O311" s="19"/>
      <c r="P311" s="19"/>
      <c r="Q311" s="19"/>
      <c r="R311" s="19"/>
      <c r="S311" s="19"/>
      <c r="T311" s="19"/>
      <c r="U311" s="19"/>
      <c r="V311" s="19"/>
      <c r="W311" s="19"/>
      <c r="X311" s="19"/>
    </row>
    <row r="312" spans="1:24" ht="14.25" customHeight="1" x14ac:dyDescent="0.3">
      <c r="A312" s="19"/>
      <c r="B312" s="19"/>
      <c r="C312" s="20"/>
      <c r="E312" s="28"/>
      <c r="F312" s="20"/>
      <c r="G312" s="19"/>
      <c r="H312" s="19"/>
      <c r="I312" s="19"/>
      <c r="J312" s="20"/>
      <c r="K312" s="20"/>
      <c r="L312" s="19"/>
      <c r="M312" s="19"/>
      <c r="N312" s="19"/>
      <c r="O312" s="19"/>
      <c r="P312" s="19"/>
      <c r="Q312" s="19"/>
      <c r="R312" s="19"/>
      <c r="S312" s="19"/>
      <c r="T312" s="19"/>
      <c r="U312" s="19"/>
      <c r="V312" s="19"/>
      <c r="W312" s="19"/>
      <c r="X312" s="19"/>
    </row>
    <row r="313" spans="1:24" ht="14.25" customHeight="1" x14ac:dyDescent="0.3">
      <c r="A313" s="19"/>
      <c r="B313" s="19"/>
      <c r="C313" s="20"/>
      <c r="E313" s="28"/>
      <c r="F313" s="20"/>
      <c r="G313" s="19"/>
      <c r="H313" s="19"/>
      <c r="I313" s="19"/>
      <c r="J313" s="20"/>
      <c r="K313" s="20"/>
      <c r="L313" s="19"/>
      <c r="M313" s="19"/>
      <c r="N313" s="19"/>
      <c r="O313" s="19"/>
      <c r="P313" s="19"/>
      <c r="Q313" s="19"/>
      <c r="R313" s="19"/>
      <c r="S313" s="19"/>
      <c r="T313" s="19"/>
      <c r="U313" s="19"/>
      <c r="V313" s="19"/>
      <c r="W313" s="19"/>
      <c r="X313" s="19"/>
    </row>
    <row r="314" spans="1:24" ht="14.25" customHeight="1" x14ac:dyDescent="0.3">
      <c r="A314" s="19"/>
      <c r="B314" s="19"/>
      <c r="C314" s="20"/>
      <c r="E314" s="28"/>
      <c r="F314" s="20"/>
      <c r="G314" s="19"/>
      <c r="H314" s="19"/>
      <c r="I314" s="19"/>
      <c r="J314" s="20"/>
      <c r="K314" s="20"/>
      <c r="L314" s="19"/>
      <c r="M314" s="19"/>
      <c r="N314" s="19"/>
      <c r="O314" s="19"/>
      <c r="P314" s="19"/>
      <c r="Q314" s="19"/>
      <c r="R314" s="19"/>
      <c r="S314" s="19"/>
      <c r="T314" s="19"/>
      <c r="U314" s="19"/>
      <c r="V314" s="19"/>
      <c r="W314" s="19"/>
      <c r="X314" s="19"/>
    </row>
    <row r="315" spans="1:24" ht="14.25" customHeight="1" x14ac:dyDescent="0.3">
      <c r="A315" s="19"/>
      <c r="B315" s="19"/>
      <c r="C315" s="20"/>
      <c r="E315" s="28"/>
      <c r="F315" s="20"/>
      <c r="G315" s="19"/>
      <c r="H315" s="19"/>
      <c r="I315" s="19"/>
      <c r="J315" s="20"/>
      <c r="K315" s="20"/>
      <c r="L315" s="19"/>
      <c r="M315" s="19"/>
      <c r="N315" s="19"/>
      <c r="O315" s="19"/>
      <c r="P315" s="19"/>
      <c r="Q315" s="19"/>
      <c r="R315" s="19"/>
      <c r="S315" s="19"/>
      <c r="T315" s="19"/>
      <c r="U315" s="19"/>
      <c r="V315" s="19"/>
      <c r="W315" s="19"/>
      <c r="X315" s="19"/>
    </row>
    <row r="316" spans="1:24" ht="14.25" customHeight="1" x14ac:dyDescent="0.3">
      <c r="A316" s="19"/>
      <c r="B316" s="19"/>
      <c r="C316" s="20"/>
      <c r="E316" s="28"/>
      <c r="F316" s="20"/>
      <c r="G316" s="19"/>
      <c r="H316" s="19"/>
      <c r="I316" s="19"/>
      <c r="J316" s="20"/>
      <c r="K316" s="20"/>
      <c r="L316" s="19"/>
      <c r="M316" s="19"/>
      <c r="N316" s="19"/>
      <c r="O316" s="19"/>
      <c r="P316" s="19"/>
      <c r="Q316" s="19"/>
      <c r="R316" s="19"/>
      <c r="S316" s="19"/>
      <c r="T316" s="19"/>
      <c r="U316" s="19"/>
      <c r="V316" s="19"/>
      <c r="W316" s="19"/>
      <c r="X316" s="19"/>
    </row>
    <row r="317" spans="1:24" ht="14.25" customHeight="1" x14ac:dyDescent="0.3">
      <c r="A317" s="19"/>
      <c r="B317" s="19"/>
      <c r="C317" s="20"/>
      <c r="E317" s="28"/>
      <c r="F317" s="20"/>
      <c r="G317" s="19"/>
      <c r="H317" s="19"/>
      <c r="I317" s="19"/>
      <c r="J317" s="20"/>
      <c r="K317" s="20"/>
      <c r="L317" s="19"/>
      <c r="M317" s="19"/>
      <c r="N317" s="19"/>
      <c r="O317" s="19"/>
      <c r="P317" s="19"/>
      <c r="Q317" s="19"/>
      <c r="R317" s="19"/>
      <c r="S317" s="19"/>
      <c r="T317" s="19"/>
      <c r="U317" s="19"/>
      <c r="V317" s="19"/>
      <c r="W317" s="19"/>
      <c r="X317" s="19"/>
    </row>
    <row r="318" spans="1:24" ht="14.25" customHeight="1" x14ac:dyDescent="0.3">
      <c r="A318" s="19"/>
      <c r="B318" s="19"/>
      <c r="C318" s="20"/>
      <c r="E318" s="28"/>
      <c r="F318" s="20"/>
      <c r="G318" s="19"/>
      <c r="H318" s="19"/>
      <c r="I318" s="19"/>
      <c r="J318" s="20"/>
      <c r="K318" s="20"/>
      <c r="L318" s="19"/>
      <c r="M318" s="19"/>
      <c r="N318" s="19"/>
      <c r="O318" s="19"/>
      <c r="P318" s="19"/>
      <c r="Q318" s="19"/>
      <c r="R318" s="19"/>
      <c r="S318" s="19"/>
      <c r="T318" s="19"/>
      <c r="U318" s="19"/>
      <c r="V318" s="19"/>
      <c r="W318" s="19"/>
      <c r="X318" s="19"/>
    </row>
    <row r="319" spans="1:24" ht="14.25" customHeight="1" x14ac:dyDescent="0.3">
      <c r="A319" s="19"/>
      <c r="B319" s="19"/>
      <c r="C319" s="20"/>
      <c r="E319" s="28"/>
      <c r="F319" s="20"/>
      <c r="G319" s="19"/>
      <c r="H319" s="19"/>
      <c r="I319" s="19"/>
      <c r="J319" s="20"/>
      <c r="K319" s="20"/>
      <c r="L319" s="19"/>
      <c r="M319" s="19"/>
      <c r="N319" s="19"/>
      <c r="O319" s="19"/>
      <c r="P319" s="19"/>
      <c r="Q319" s="19"/>
      <c r="R319" s="19"/>
      <c r="S319" s="19"/>
      <c r="T319" s="19"/>
      <c r="U319" s="19"/>
      <c r="V319" s="19"/>
      <c r="W319" s="19"/>
      <c r="X319" s="19"/>
    </row>
    <row r="320" spans="1:24" ht="14.25" customHeight="1" x14ac:dyDescent="0.3">
      <c r="A320" s="19"/>
      <c r="B320" s="19"/>
      <c r="C320" s="20"/>
      <c r="E320" s="28"/>
      <c r="F320" s="20"/>
      <c r="G320" s="19"/>
      <c r="H320" s="19"/>
      <c r="I320" s="19"/>
      <c r="J320" s="20"/>
      <c r="K320" s="20"/>
      <c r="L320" s="19"/>
      <c r="M320" s="19"/>
      <c r="N320" s="19"/>
      <c r="O320" s="19"/>
      <c r="P320" s="19"/>
      <c r="Q320" s="19"/>
      <c r="R320" s="19"/>
      <c r="S320" s="19"/>
      <c r="T320" s="19"/>
      <c r="U320" s="19"/>
      <c r="V320" s="19"/>
      <c r="W320" s="19"/>
      <c r="X320" s="19"/>
    </row>
    <row r="321" spans="1:24" ht="14.25" customHeight="1" x14ac:dyDescent="0.3">
      <c r="A321" s="19"/>
      <c r="B321" s="19"/>
      <c r="C321" s="20"/>
      <c r="E321" s="28"/>
      <c r="F321" s="20"/>
      <c r="G321" s="19"/>
      <c r="H321" s="19"/>
      <c r="I321" s="19"/>
      <c r="J321" s="20"/>
      <c r="K321" s="20"/>
      <c r="L321" s="19"/>
      <c r="M321" s="19"/>
      <c r="N321" s="19"/>
      <c r="O321" s="19"/>
      <c r="P321" s="19"/>
      <c r="Q321" s="19"/>
      <c r="R321" s="19"/>
      <c r="S321" s="19"/>
      <c r="T321" s="19"/>
      <c r="U321" s="19"/>
      <c r="V321" s="19"/>
      <c r="W321" s="19"/>
      <c r="X321" s="19"/>
    </row>
    <row r="322" spans="1:24" ht="14.25" customHeight="1" x14ac:dyDescent="0.3">
      <c r="A322" s="19"/>
      <c r="B322" s="19"/>
      <c r="C322" s="20"/>
      <c r="E322" s="28"/>
      <c r="F322" s="20"/>
      <c r="G322" s="19"/>
      <c r="H322" s="19"/>
      <c r="I322" s="19"/>
      <c r="J322" s="20"/>
      <c r="K322" s="20"/>
      <c r="L322" s="19"/>
      <c r="M322" s="19"/>
      <c r="N322" s="19"/>
      <c r="O322" s="19"/>
      <c r="P322" s="19"/>
      <c r="Q322" s="19"/>
      <c r="R322" s="19"/>
      <c r="S322" s="19"/>
      <c r="T322" s="19"/>
      <c r="U322" s="19"/>
      <c r="V322" s="19"/>
      <c r="W322" s="19"/>
      <c r="X322" s="19"/>
    </row>
    <row r="323" spans="1:24" ht="14.25" customHeight="1" x14ac:dyDescent="0.3">
      <c r="A323" s="19"/>
      <c r="B323" s="19"/>
      <c r="C323" s="20"/>
      <c r="E323" s="28"/>
      <c r="F323" s="20"/>
      <c r="G323" s="19"/>
      <c r="H323" s="19"/>
      <c r="I323" s="19"/>
      <c r="J323" s="20"/>
      <c r="K323" s="20"/>
      <c r="L323" s="19"/>
      <c r="M323" s="19"/>
      <c r="N323" s="19"/>
      <c r="O323" s="19"/>
      <c r="P323" s="19"/>
      <c r="Q323" s="19"/>
      <c r="R323" s="19"/>
      <c r="S323" s="19"/>
      <c r="T323" s="19"/>
      <c r="U323" s="19"/>
      <c r="V323" s="19"/>
      <c r="W323" s="19"/>
      <c r="X323" s="19"/>
    </row>
    <row r="324" spans="1:24" ht="14.25" customHeight="1" x14ac:dyDescent="0.3">
      <c r="A324" s="19"/>
      <c r="B324" s="19"/>
      <c r="C324" s="20"/>
      <c r="E324" s="28"/>
      <c r="F324" s="20"/>
      <c r="G324" s="19"/>
      <c r="H324" s="19"/>
      <c r="I324" s="19"/>
      <c r="J324" s="20"/>
      <c r="K324" s="20"/>
      <c r="L324" s="19"/>
      <c r="M324" s="19"/>
      <c r="N324" s="19"/>
      <c r="O324" s="19"/>
      <c r="P324" s="19"/>
      <c r="Q324" s="19"/>
      <c r="R324" s="19"/>
      <c r="S324" s="19"/>
      <c r="T324" s="19"/>
      <c r="U324" s="19"/>
      <c r="V324" s="19"/>
      <c r="W324" s="19"/>
      <c r="X324" s="19"/>
    </row>
    <row r="325" spans="1:24" ht="14.25" customHeight="1" x14ac:dyDescent="0.3">
      <c r="A325" s="19"/>
      <c r="B325" s="19"/>
      <c r="C325" s="20"/>
      <c r="E325" s="28"/>
      <c r="F325" s="20"/>
      <c r="G325" s="19"/>
      <c r="H325" s="19"/>
      <c r="I325" s="19"/>
      <c r="J325" s="20"/>
      <c r="K325" s="20"/>
      <c r="L325" s="19"/>
      <c r="M325" s="19"/>
      <c r="N325" s="19"/>
      <c r="O325" s="19"/>
      <c r="P325" s="19"/>
      <c r="Q325" s="19"/>
      <c r="R325" s="19"/>
      <c r="S325" s="19"/>
      <c r="T325" s="19"/>
      <c r="U325" s="19"/>
      <c r="V325" s="19"/>
      <c r="W325" s="19"/>
      <c r="X325" s="19"/>
    </row>
    <row r="326" spans="1:24" ht="14.25" customHeight="1" x14ac:dyDescent="0.3">
      <c r="A326" s="19"/>
      <c r="B326" s="19"/>
      <c r="C326" s="20"/>
      <c r="E326" s="28"/>
      <c r="F326" s="20"/>
      <c r="G326" s="19"/>
      <c r="H326" s="19"/>
      <c r="I326" s="19"/>
      <c r="J326" s="20"/>
      <c r="K326" s="20"/>
      <c r="L326" s="19"/>
      <c r="M326" s="19"/>
      <c r="N326" s="19"/>
      <c r="O326" s="19"/>
      <c r="P326" s="19"/>
      <c r="Q326" s="19"/>
      <c r="R326" s="19"/>
      <c r="S326" s="19"/>
      <c r="T326" s="19"/>
      <c r="U326" s="19"/>
      <c r="V326" s="19"/>
      <c r="W326" s="19"/>
      <c r="X326" s="19"/>
    </row>
    <row r="327" spans="1:24" ht="14.25" customHeight="1" x14ac:dyDescent="0.3">
      <c r="A327" s="19"/>
      <c r="B327" s="19"/>
      <c r="C327" s="20"/>
      <c r="E327" s="28"/>
      <c r="F327" s="20"/>
      <c r="G327" s="19"/>
      <c r="H327" s="19"/>
      <c r="I327" s="19"/>
      <c r="J327" s="20"/>
      <c r="K327" s="20"/>
      <c r="L327" s="19"/>
      <c r="M327" s="19"/>
      <c r="N327" s="19"/>
      <c r="O327" s="19"/>
      <c r="P327" s="19"/>
      <c r="Q327" s="19"/>
      <c r="R327" s="19"/>
      <c r="S327" s="19"/>
      <c r="T327" s="19"/>
      <c r="U327" s="19"/>
      <c r="V327" s="19"/>
      <c r="W327" s="19"/>
      <c r="X327" s="19"/>
    </row>
    <row r="328" spans="1:24" ht="14.25" customHeight="1" x14ac:dyDescent="0.3">
      <c r="A328" s="19"/>
      <c r="B328" s="19"/>
      <c r="C328" s="20"/>
      <c r="E328" s="28"/>
      <c r="F328" s="20"/>
      <c r="G328" s="19"/>
      <c r="H328" s="19"/>
      <c r="I328" s="19"/>
      <c r="J328" s="20"/>
      <c r="K328" s="20"/>
      <c r="L328" s="19"/>
      <c r="M328" s="19"/>
      <c r="N328" s="19"/>
      <c r="O328" s="19"/>
      <c r="P328" s="19"/>
      <c r="Q328" s="19"/>
      <c r="R328" s="19"/>
      <c r="S328" s="19"/>
      <c r="T328" s="19"/>
      <c r="U328" s="19"/>
      <c r="V328" s="19"/>
      <c r="W328" s="19"/>
      <c r="X328" s="19"/>
    </row>
    <row r="329" spans="1:24" ht="14.25" customHeight="1" x14ac:dyDescent="0.3">
      <c r="A329" s="19"/>
      <c r="B329" s="19"/>
      <c r="C329" s="20"/>
      <c r="E329" s="28"/>
      <c r="F329" s="20"/>
      <c r="G329" s="19"/>
      <c r="H329" s="19"/>
      <c r="I329" s="19"/>
      <c r="J329" s="20"/>
      <c r="K329" s="20"/>
      <c r="L329" s="19"/>
      <c r="M329" s="19"/>
      <c r="N329" s="19"/>
      <c r="O329" s="19"/>
      <c r="P329" s="19"/>
      <c r="Q329" s="19"/>
      <c r="R329" s="19"/>
      <c r="S329" s="19"/>
      <c r="T329" s="19"/>
      <c r="U329" s="19"/>
      <c r="V329" s="19"/>
      <c r="W329" s="19"/>
      <c r="X329" s="19"/>
    </row>
    <row r="330" spans="1:24" ht="14.25" customHeight="1" x14ac:dyDescent="0.3">
      <c r="A330" s="19"/>
      <c r="B330" s="19"/>
      <c r="C330" s="20"/>
      <c r="E330" s="28"/>
      <c r="F330" s="20"/>
      <c r="G330" s="19"/>
      <c r="H330" s="19"/>
      <c r="I330" s="19"/>
      <c r="J330" s="20"/>
      <c r="K330" s="20"/>
      <c r="L330" s="19"/>
      <c r="M330" s="19"/>
      <c r="N330" s="19"/>
      <c r="O330" s="19"/>
      <c r="P330" s="19"/>
      <c r="Q330" s="19"/>
      <c r="R330" s="19"/>
      <c r="S330" s="19"/>
      <c r="T330" s="19"/>
      <c r="U330" s="19"/>
      <c r="V330" s="19"/>
      <c r="W330" s="19"/>
      <c r="X330" s="19"/>
    </row>
    <row r="331" spans="1:24" ht="14.25" customHeight="1" x14ac:dyDescent="0.3">
      <c r="A331" s="19"/>
      <c r="B331" s="19"/>
      <c r="C331" s="20"/>
      <c r="E331" s="28"/>
      <c r="F331" s="20"/>
      <c r="G331" s="19"/>
      <c r="H331" s="19"/>
      <c r="I331" s="19"/>
      <c r="J331" s="20"/>
      <c r="K331" s="20"/>
      <c r="L331" s="19"/>
      <c r="M331" s="19"/>
      <c r="N331" s="19"/>
      <c r="O331" s="19"/>
      <c r="P331" s="19"/>
      <c r="Q331" s="19"/>
      <c r="R331" s="19"/>
      <c r="S331" s="19"/>
      <c r="T331" s="19"/>
      <c r="U331" s="19"/>
      <c r="V331" s="19"/>
      <c r="W331" s="19"/>
      <c r="X331" s="19"/>
    </row>
    <row r="332" spans="1:24" ht="14.25" customHeight="1" x14ac:dyDescent="0.3">
      <c r="A332" s="19"/>
      <c r="B332" s="19"/>
      <c r="C332" s="20"/>
      <c r="E332" s="28"/>
      <c r="F332" s="20"/>
      <c r="G332" s="19"/>
      <c r="H332" s="19"/>
      <c r="I332" s="19"/>
      <c r="J332" s="20"/>
      <c r="K332" s="20"/>
      <c r="L332" s="19"/>
      <c r="M332" s="19"/>
      <c r="N332" s="19"/>
      <c r="O332" s="19"/>
      <c r="P332" s="19"/>
      <c r="Q332" s="19"/>
      <c r="R332" s="19"/>
      <c r="S332" s="19"/>
      <c r="T332" s="19"/>
      <c r="U332" s="19"/>
      <c r="V332" s="19"/>
      <c r="W332" s="19"/>
      <c r="X332" s="19"/>
    </row>
    <row r="333" spans="1:24" ht="14.25" customHeight="1" x14ac:dyDescent="0.3">
      <c r="A333" s="19"/>
      <c r="B333" s="19"/>
      <c r="C333" s="20"/>
      <c r="E333" s="28"/>
      <c r="F333" s="20"/>
      <c r="G333" s="19"/>
      <c r="H333" s="19"/>
      <c r="I333" s="19"/>
      <c r="J333" s="20"/>
      <c r="K333" s="20"/>
      <c r="L333" s="19"/>
      <c r="M333" s="19"/>
      <c r="N333" s="19"/>
      <c r="O333" s="19"/>
      <c r="P333" s="19"/>
      <c r="Q333" s="19"/>
      <c r="R333" s="19"/>
      <c r="S333" s="19"/>
      <c r="T333" s="19"/>
      <c r="U333" s="19"/>
      <c r="V333" s="19"/>
      <c r="W333" s="19"/>
      <c r="X333" s="19"/>
    </row>
    <row r="334" spans="1:24" ht="14.25" customHeight="1" x14ac:dyDescent="0.3">
      <c r="A334" s="19"/>
      <c r="B334" s="19"/>
      <c r="C334" s="20"/>
      <c r="E334" s="28"/>
      <c r="F334" s="20"/>
      <c r="G334" s="19"/>
      <c r="H334" s="19"/>
      <c r="I334" s="19"/>
      <c r="J334" s="20"/>
      <c r="K334" s="20"/>
      <c r="L334" s="19"/>
      <c r="M334" s="19"/>
      <c r="N334" s="19"/>
      <c r="O334" s="19"/>
      <c r="P334" s="19"/>
      <c r="Q334" s="19"/>
      <c r="R334" s="19"/>
      <c r="S334" s="19"/>
      <c r="T334" s="19"/>
      <c r="U334" s="19"/>
      <c r="V334" s="19"/>
      <c r="W334" s="19"/>
      <c r="X334" s="19"/>
    </row>
    <row r="335" spans="1:24" ht="14.25" customHeight="1" x14ac:dyDescent="0.3">
      <c r="A335" s="19"/>
      <c r="B335" s="19"/>
      <c r="C335" s="20"/>
      <c r="E335" s="28"/>
      <c r="F335" s="20"/>
      <c r="G335" s="19"/>
      <c r="H335" s="19"/>
      <c r="I335" s="19"/>
      <c r="J335" s="20"/>
      <c r="K335" s="20"/>
      <c r="L335" s="19"/>
      <c r="M335" s="19"/>
      <c r="N335" s="19"/>
      <c r="O335" s="19"/>
      <c r="P335" s="19"/>
      <c r="Q335" s="19"/>
      <c r="R335" s="19"/>
      <c r="S335" s="19"/>
      <c r="T335" s="19"/>
      <c r="U335" s="19"/>
      <c r="V335" s="19"/>
      <c r="W335" s="19"/>
      <c r="X335" s="19"/>
    </row>
    <row r="336" spans="1:24" ht="14.25" customHeight="1" x14ac:dyDescent="0.3">
      <c r="A336" s="19"/>
      <c r="B336" s="19"/>
      <c r="C336" s="20"/>
      <c r="E336" s="28"/>
      <c r="F336" s="20"/>
      <c r="G336" s="19"/>
      <c r="H336" s="19"/>
      <c r="I336" s="19"/>
      <c r="J336" s="20"/>
      <c r="K336" s="20"/>
      <c r="L336" s="19"/>
      <c r="M336" s="19"/>
      <c r="N336" s="19"/>
      <c r="O336" s="19"/>
      <c r="P336" s="19"/>
      <c r="Q336" s="19"/>
      <c r="R336" s="19"/>
      <c r="S336" s="19"/>
      <c r="T336" s="19"/>
      <c r="U336" s="19"/>
      <c r="V336" s="19"/>
      <c r="W336" s="19"/>
      <c r="X336" s="19"/>
    </row>
    <row r="337" spans="1:24" ht="14.25" customHeight="1" x14ac:dyDescent="0.3">
      <c r="A337" s="19"/>
      <c r="B337" s="19"/>
      <c r="C337" s="20"/>
      <c r="E337" s="28"/>
      <c r="F337" s="20"/>
      <c r="G337" s="19"/>
      <c r="H337" s="19"/>
      <c r="I337" s="19"/>
      <c r="J337" s="20"/>
      <c r="K337" s="20"/>
      <c r="L337" s="19"/>
      <c r="M337" s="19"/>
      <c r="N337" s="19"/>
      <c r="O337" s="19"/>
      <c r="P337" s="19"/>
      <c r="Q337" s="19"/>
      <c r="R337" s="19"/>
      <c r="S337" s="19"/>
      <c r="T337" s="19"/>
      <c r="U337" s="19"/>
      <c r="V337" s="19"/>
      <c r="W337" s="19"/>
      <c r="X337" s="19"/>
    </row>
    <row r="338" spans="1:24" ht="14.25" customHeight="1" x14ac:dyDescent="0.3">
      <c r="A338" s="19"/>
      <c r="B338" s="19"/>
      <c r="C338" s="20"/>
      <c r="E338" s="28"/>
      <c r="F338" s="20"/>
      <c r="G338" s="19"/>
      <c r="H338" s="19"/>
      <c r="I338" s="19"/>
      <c r="J338" s="20"/>
      <c r="K338" s="20"/>
      <c r="L338" s="19"/>
      <c r="M338" s="19"/>
      <c r="N338" s="19"/>
      <c r="O338" s="19"/>
      <c r="P338" s="19"/>
      <c r="Q338" s="19"/>
      <c r="R338" s="19"/>
      <c r="S338" s="19"/>
      <c r="T338" s="19"/>
      <c r="U338" s="19"/>
      <c r="V338" s="19"/>
      <c r="W338" s="19"/>
      <c r="X338" s="19"/>
    </row>
    <row r="339" spans="1:24" ht="14.25" customHeight="1" x14ac:dyDescent="0.3">
      <c r="A339" s="19"/>
      <c r="B339" s="19"/>
      <c r="C339" s="20"/>
      <c r="E339" s="28"/>
      <c r="F339" s="20"/>
      <c r="G339" s="19"/>
      <c r="H339" s="19"/>
      <c r="I339" s="19"/>
      <c r="J339" s="20"/>
      <c r="K339" s="20"/>
      <c r="L339" s="19"/>
      <c r="M339" s="19"/>
      <c r="N339" s="19"/>
      <c r="O339" s="19"/>
      <c r="P339" s="19"/>
      <c r="Q339" s="19"/>
      <c r="R339" s="19"/>
      <c r="S339" s="19"/>
      <c r="T339" s="19"/>
      <c r="U339" s="19"/>
      <c r="V339" s="19"/>
      <c r="W339" s="19"/>
      <c r="X339" s="19"/>
    </row>
    <row r="340" spans="1:24" ht="14.25" customHeight="1" x14ac:dyDescent="0.3">
      <c r="A340" s="19"/>
      <c r="B340" s="19"/>
      <c r="C340" s="20"/>
      <c r="E340" s="28"/>
      <c r="F340" s="20"/>
      <c r="G340" s="19"/>
      <c r="H340" s="19"/>
      <c r="I340" s="19"/>
      <c r="J340" s="20"/>
      <c r="K340" s="20"/>
      <c r="L340" s="19"/>
      <c r="M340" s="19"/>
      <c r="N340" s="19"/>
      <c r="O340" s="19"/>
      <c r="P340" s="19"/>
      <c r="Q340" s="19"/>
      <c r="R340" s="19"/>
      <c r="S340" s="19"/>
      <c r="T340" s="19"/>
      <c r="U340" s="19"/>
      <c r="V340" s="19"/>
      <c r="W340" s="19"/>
      <c r="X340" s="19"/>
    </row>
    <row r="341" spans="1:24" ht="14.25" customHeight="1" x14ac:dyDescent="0.3">
      <c r="A341" s="19"/>
      <c r="B341" s="19"/>
      <c r="C341" s="20"/>
      <c r="E341" s="28"/>
      <c r="F341" s="20"/>
      <c r="G341" s="19"/>
      <c r="H341" s="19"/>
      <c r="I341" s="19"/>
      <c r="J341" s="20"/>
      <c r="K341" s="20"/>
      <c r="L341" s="19"/>
      <c r="M341" s="19"/>
      <c r="N341" s="19"/>
      <c r="O341" s="19"/>
      <c r="P341" s="19"/>
      <c r="Q341" s="19"/>
      <c r="R341" s="19"/>
      <c r="S341" s="19"/>
      <c r="T341" s="19"/>
      <c r="U341" s="19"/>
      <c r="V341" s="19"/>
      <c r="W341" s="19"/>
      <c r="X341" s="19"/>
    </row>
    <row r="342" spans="1:24" ht="14.25" customHeight="1" x14ac:dyDescent="0.3">
      <c r="A342" s="19"/>
      <c r="B342" s="19"/>
      <c r="C342" s="20"/>
      <c r="E342" s="28"/>
      <c r="F342" s="20"/>
      <c r="G342" s="19"/>
      <c r="H342" s="19"/>
      <c r="I342" s="19"/>
      <c r="J342" s="20"/>
      <c r="K342" s="20"/>
      <c r="L342" s="19"/>
      <c r="M342" s="19"/>
      <c r="N342" s="19"/>
      <c r="O342" s="19"/>
      <c r="P342" s="19"/>
      <c r="Q342" s="19"/>
      <c r="R342" s="19"/>
      <c r="S342" s="19"/>
      <c r="T342" s="19"/>
      <c r="U342" s="19"/>
      <c r="V342" s="19"/>
      <c r="W342" s="19"/>
      <c r="X342" s="19"/>
    </row>
    <row r="343" spans="1:24" ht="14.25" customHeight="1" x14ac:dyDescent="0.3">
      <c r="A343" s="19"/>
      <c r="B343" s="19"/>
      <c r="C343" s="20"/>
      <c r="E343" s="28"/>
      <c r="F343" s="20"/>
      <c r="G343" s="19"/>
      <c r="H343" s="19"/>
      <c r="I343" s="19"/>
      <c r="J343" s="20"/>
      <c r="K343" s="20"/>
      <c r="L343" s="19"/>
      <c r="M343" s="19"/>
      <c r="N343" s="19"/>
      <c r="O343" s="19"/>
      <c r="P343" s="19"/>
      <c r="Q343" s="19"/>
      <c r="R343" s="19"/>
      <c r="S343" s="19"/>
      <c r="T343" s="19"/>
      <c r="U343" s="19"/>
      <c r="V343" s="19"/>
      <c r="W343" s="19"/>
      <c r="X343" s="19"/>
    </row>
    <row r="344" spans="1:24" ht="14.25" customHeight="1" x14ac:dyDescent="0.3">
      <c r="A344" s="19"/>
      <c r="B344" s="19"/>
      <c r="C344" s="20"/>
      <c r="E344" s="28"/>
      <c r="F344" s="20"/>
      <c r="G344" s="19"/>
      <c r="H344" s="19"/>
      <c r="I344" s="19"/>
      <c r="J344" s="20"/>
      <c r="K344" s="20"/>
      <c r="L344" s="19"/>
      <c r="M344" s="19"/>
      <c r="N344" s="19"/>
      <c r="O344" s="19"/>
      <c r="P344" s="19"/>
      <c r="Q344" s="19"/>
      <c r="R344" s="19"/>
      <c r="S344" s="19"/>
      <c r="T344" s="19"/>
      <c r="U344" s="19"/>
      <c r="V344" s="19"/>
      <c r="W344" s="19"/>
      <c r="X344" s="19"/>
    </row>
    <row r="345" spans="1:24" ht="14.25" customHeight="1" x14ac:dyDescent="0.3">
      <c r="A345" s="19"/>
      <c r="B345" s="19"/>
      <c r="C345" s="20"/>
      <c r="E345" s="28"/>
      <c r="F345" s="20"/>
      <c r="G345" s="19"/>
      <c r="H345" s="19"/>
      <c r="I345" s="19"/>
      <c r="J345" s="20"/>
      <c r="K345" s="20"/>
      <c r="L345" s="19"/>
      <c r="M345" s="19"/>
      <c r="N345" s="19"/>
      <c r="O345" s="19"/>
      <c r="P345" s="19"/>
      <c r="Q345" s="19"/>
      <c r="R345" s="19"/>
      <c r="S345" s="19"/>
      <c r="T345" s="19"/>
      <c r="U345" s="19"/>
      <c r="V345" s="19"/>
      <c r="W345" s="19"/>
      <c r="X345" s="19"/>
    </row>
    <row r="346" spans="1:24" ht="14.25" customHeight="1" x14ac:dyDescent="0.3">
      <c r="A346" s="19"/>
      <c r="B346" s="19"/>
      <c r="C346" s="20"/>
      <c r="E346" s="28"/>
      <c r="F346" s="20"/>
      <c r="G346" s="19"/>
      <c r="H346" s="19"/>
      <c r="I346" s="19"/>
      <c r="J346" s="20"/>
      <c r="K346" s="20"/>
      <c r="L346" s="19"/>
      <c r="M346" s="19"/>
      <c r="N346" s="19"/>
      <c r="O346" s="19"/>
      <c r="P346" s="19"/>
      <c r="Q346" s="19"/>
      <c r="R346" s="19"/>
      <c r="S346" s="19"/>
      <c r="T346" s="19"/>
      <c r="U346" s="19"/>
      <c r="V346" s="19"/>
      <c r="W346" s="19"/>
      <c r="X346" s="19"/>
    </row>
    <row r="347" spans="1:24" ht="14.25" customHeight="1" x14ac:dyDescent="0.3">
      <c r="A347" s="19"/>
      <c r="B347" s="19"/>
      <c r="C347" s="20"/>
      <c r="E347" s="28"/>
      <c r="F347" s="20"/>
      <c r="G347" s="19"/>
      <c r="H347" s="19"/>
      <c r="I347" s="19"/>
      <c r="J347" s="20"/>
      <c r="K347" s="20"/>
      <c r="L347" s="19"/>
      <c r="M347" s="19"/>
      <c r="N347" s="19"/>
      <c r="O347" s="19"/>
      <c r="P347" s="19"/>
      <c r="Q347" s="19"/>
      <c r="R347" s="19"/>
      <c r="S347" s="19"/>
      <c r="T347" s="19"/>
      <c r="U347" s="19"/>
      <c r="V347" s="19"/>
      <c r="W347" s="19"/>
      <c r="X347" s="19"/>
    </row>
    <row r="348" spans="1:24" ht="14.25" customHeight="1" x14ac:dyDescent="0.3">
      <c r="A348" s="19"/>
      <c r="B348" s="19"/>
      <c r="C348" s="20"/>
      <c r="E348" s="28"/>
      <c r="F348" s="20"/>
      <c r="G348" s="19"/>
      <c r="H348" s="19"/>
      <c r="I348" s="19"/>
      <c r="J348" s="20"/>
      <c r="K348" s="20"/>
      <c r="L348" s="19"/>
      <c r="M348" s="19"/>
      <c r="N348" s="19"/>
      <c r="O348" s="19"/>
      <c r="P348" s="19"/>
      <c r="Q348" s="19"/>
      <c r="R348" s="19"/>
      <c r="S348" s="19"/>
      <c r="T348" s="19"/>
      <c r="U348" s="19"/>
      <c r="V348" s="19"/>
      <c r="W348" s="19"/>
      <c r="X348" s="19"/>
    </row>
    <row r="349" spans="1:24" ht="14.25" customHeight="1" x14ac:dyDescent="0.3">
      <c r="A349" s="19"/>
      <c r="B349" s="19"/>
      <c r="C349" s="20"/>
      <c r="E349" s="28"/>
      <c r="F349" s="20"/>
      <c r="G349" s="19"/>
      <c r="H349" s="19"/>
      <c r="I349" s="19"/>
      <c r="J349" s="20"/>
      <c r="K349" s="20"/>
      <c r="L349" s="19"/>
      <c r="M349" s="19"/>
      <c r="N349" s="19"/>
      <c r="O349" s="19"/>
      <c r="P349" s="19"/>
      <c r="Q349" s="19"/>
      <c r="R349" s="19"/>
      <c r="S349" s="19"/>
      <c r="T349" s="19"/>
      <c r="U349" s="19"/>
      <c r="V349" s="19"/>
      <c r="W349" s="19"/>
      <c r="X349" s="19"/>
    </row>
    <row r="350" spans="1:24" ht="14.25" customHeight="1" x14ac:dyDescent="0.3">
      <c r="A350" s="19"/>
      <c r="B350" s="19"/>
      <c r="C350" s="20"/>
      <c r="E350" s="28"/>
      <c r="F350" s="20"/>
      <c r="G350" s="19"/>
      <c r="H350" s="19"/>
      <c r="I350" s="19"/>
      <c r="J350" s="20"/>
      <c r="K350" s="20"/>
      <c r="L350" s="19"/>
      <c r="M350" s="19"/>
      <c r="N350" s="19"/>
      <c r="O350" s="19"/>
      <c r="P350" s="19"/>
      <c r="Q350" s="19"/>
      <c r="R350" s="19"/>
      <c r="S350" s="19"/>
      <c r="T350" s="19"/>
      <c r="U350" s="19"/>
      <c r="V350" s="19"/>
      <c r="W350" s="19"/>
      <c r="X350" s="19"/>
    </row>
    <row r="351" spans="1:24" ht="14.25" customHeight="1" x14ac:dyDescent="0.3">
      <c r="A351" s="19"/>
      <c r="B351" s="19"/>
      <c r="C351" s="20"/>
      <c r="E351" s="28"/>
      <c r="F351" s="20"/>
      <c r="G351" s="19"/>
      <c r="H351" s="19"/>
      <c r="I351" s="19"/>
      <c r="J351" s="20"/>
      <c r="K351" s="20"/>
      <c r="L351" s="19"/>
      <c r="M351" s="19"/>
      <c r="N351" s="19"/>
      <c r="O351" s="19"/>
      <c r="P351" s="19"/>
      <c r="Q351" s="19"/>
      <c r="R351" s="19"/>
      <c r="S351" s="19"/>
      <c r="T351" s="19"/>
      <c r="U351" s="19"/>
      <c r="V351" s="19"/>
      <c r="W351" s="19"/>
      <c r="X351" s="19"/>
    </row>
    <row r="352" spans="1:24" ht="14.25" customHeight="1" x14ac:dyDescent="0.3">
      <c r="A352" s="19"/>
      <c r="B352" s="19"/>
      <c r="C352" s="20"/>
      <c r="E352" s="28"/>
      <c r="F352" s="20"/>
      <c r="G352" s="19"/>
      <c r="H352" s="19"/>
      <c r="I352" s="19"/>
      <c r="J352" s="20"/>
      <c r="K352" s="20"/>
      <c r="L352" s="19"/>
      <c r="M352" s="19"/>
      <c r="N352" s="19"/>
      <c r="O352" s="19"/>
      <c r="P352" s="19"/>
      <c r="Q352" s="19"/>
      <c r="R352" s="19"/>
      <c r="S352" s="19"/>
      <c r="T352" s="19"/>
      <c r="U352" s="19"/>
      <c r="V352" s="19"/>
      <c r="W352" s="19"/>
      <c r="X352" s="19"/>
    </row>
    <row r="353" spans="1:24" ht="14.25" customHeight="1" x14ac:dyDescent="0.3">
      <c r="A353" s="19"/>
      <c r="B353" s="19"/>
      <c r="C353" s="20"/>
      <c r="E353" s="28"/>
      <c r="F353" s="20"/>
      <c r="G353" s="19"/>
      <c r="H353" s="19"/>
      <c r="I353" s="19"/>
      <c r="J353" s="20"/>
      <c r="K353" s="20"/>
      <c r="L353" s="19"/>
      <c r="M353" s="19"/>
      <c r="N353" s="19"/>
      <c r="O353" s="19"/>
      <c r="P353" s="19"/>
      <c r="Q353" s="19"/>
      <c r="R353" s="19"/>
      <c r="S353" s="19"/>
      <c r="T353" s="19"/>
      <c r="U353" s="19"/>
      <c r="V353" s="19"/>
      <c r="W353" s="19"/>
      <c r="X353" s="19"/>
    </row>
    <row r="354" spans="1:24" ht="14.25" customHeight="1" x14ac:dyDescent="0.3">
      <c r="A354" s="19"/>
      <c r="B354" s="19"/>
      <c r="C354" s="20"/>
      <c r="E354" s="28"/>
      <c r="F354" s="20"/>
      <c r="G354" s="19"/>
      <c r="H354" s="19"/>
      <c r="I354" s="19"/>
      <c r="J354" s="20"/>
      <c r="K354" s="20"/>
      <c r="L354" s="19"/>
      <c r="M354" s="19"/>
      <c r="N354" s="19"/>
      <c r="O354" s="19"/>
      <c r="P354" s="19"/>
      <c r="Q354" s="19"/>
      <c r="R354" s="19"/>
      <c r="S354" s="19"/>
      <c r="T354" s="19"/>
      <c r="U354" s="19"/>
      <c r="V354" s="19"/>
      <c r="W354" s="19"/>
      <c r="X354" s="19"/>
    </row>
    <row r="355" spans="1:24" ht="14.25" customHeight="1" x14ac:dyDescent="0.3">
      <c r="A355" s="19"/>
      <c r="B355" s="19"/>
      <c r="C355" s="20"/>
      <c r="E355" s="28"/>
      <c r="F355" s="20"/>
      <c r="G355" s="19"/>
      <c r="H355" s="19"/>
      <c r="I355" s="19"/>
      <c r="J355" s="20"/>
      <c r="K355" s="20"/>
      <c r="L355" s="19"/>
      <c r="M355" s="19"/>
      <c r="N355" s="19"/>
      <c r="O355" s="19"/>
      <c r="P355" s="19"/>
      <c r="Q355" s="19"/>
      <c r="R355" s="19"/>
      <c r="S355" s="19"/>
      <c r="T355" s="19"/>
      <c r="U355" s="19"/>
      <c r="V355" s="19"/>
      <c r="W355" s="19"/>
      <c r="X355" s="19"/>
    </row>
    <row r="356" spans="1:24" ht="14.25" customHeight="1" x14ac:dyDescent="0.3">
      <c r="A356" s="19"/>
      <c r="B356" s="19"/>
      <c r="C356" s="20"/>
      <c r="E356" s="28"/>
      <c r="F356" s="20"/>
      <c r="G356" s="19"/>
      <c r="H356" s="19"/>
      <c r="I356" s="19"/>
      <c r="J356" s="20"/>
      <c r="K356" s="20"/>
      <c r="L356" s="19"/>
      <c r="M356" s="19"/>
      <c r="N356" s="19"/>
      <c r="O356" s="19"/>
      <c r="P356" s="19"/>
      <c r="Q356" s="19"/>
      <c r="R356" s="19"/>
      <c r="S356" s="19"/>
      <c r="T356" s="19"/>
      <c r="U356" s="19"/>
      <c r="V356" s="19"/>
      <c r="W356" s="19"/>
      <c r="X356" s="19"/>
    </row>
    <row r="357" spans="1:24" ht="14.25" customHeight="1" x14ac:dyDescent="0.3">
      <c r="A357" s="19"/>
      <c r="B357" s="19"/>
      <c r="C357" s="20"/>
      <c r="E357" s="28"/>
      <c r="F357" s="20"/>
      <c r="G357" s="19"/>
      <c r="H357" s="19"/>
      <c r="I357" s="19"/>
      <c r="J357" s="20"/>
      <c r="K357" s="20"/>
      <c r="L357" s="19"/>
      <c r="M357" s="19"/>
      <c r="N357" s="19"/>
      <c r="O357" s="19"/>
      <c r="P357" s="19"/>
      <c r="Q357" s="19"/>
      <c r="R357" s="19"/>
      <c r="S357" s="19"/>
      <c r="T357" s="19"/>
      <c r="U357" s="19"/>
      <c r="V357" s="19"/>
      <c r="W357" s="19"/>
      <c r="X357" s="19"/>
    </row>
    <row r="358" spans="1:24" ht="14.25" customHeight="1" x14ac:dyDescent="0.3">
      <c r="A358" s="19"/>
      <c r="B358" s="19"/>
      <c r="C358" s="20"/>
      <c r="E358" s="28"/>
      <c r="F358" s="20"/>
      <c r="G358" s="19"/>
      <c r="H358" s="19"/>
      <c r="I358" s="19"/>
      <c r="J358" s="20"/>
      <c r="K358" s="20"/>
      <c r="L358" s="19"/>
      <c r="M358" s="19"/>
      <c r="N358" s="19"/>
      <c r="O358" s="19"/>
      <c r="P358" s="19"/>
      <c r="Q358" s="19"/>
      <c r="R358" s="19"/>
      <c r="S358" s="19"/>
      <c r="T358" s="19"/>
      <c r="U358" s="19"/>
      <c r="V358" s="19"/>
      <c r="W358" s="19"/>
      <c r="X358" s="19"/>
    </row>
    <row r="359" spans="1:24" ht="14.25" customHeight="1" x14ac:dyDescent="0.3">
      <c r="A359" s="19"/>
      <c r="B359" s="19"/>
      <c r="C359" s="20"/>
      <c r="E359" s="28"/>
      <c r="F359" s="20"/>
      <c r="G359" s="19"/>
      <c r="H359" s="19"/>
      <c r="I359" s="19"/>
      <c r="J359" s="20"/>
      <c r="K359" s="20"/>
      <c r="L359" s="19"/>
      <c r="M359" s="19"/>
      <c r="N359" s="19"/>
      <c r="O359" s="19"/>
      <c r="P359" s="19"/>
      <c r="Q359" s="19"/>
      <c r="R359" s="19"/>
      <c r="S359" s="19"/>
      <c r="T359" s="19"/>
      <c r="U359" s="19"/>
      <c r="V359" s="19"/>
      <c r="W359" s="19"/>
      <c r="X359" s="19"/>
    </row>
    <row r="360" spans="1:24" ht="14.25" customHeight="1" x14ac:dyDescent="0.3">
      <c r="A360" s="19"/>
      <c r="B360" s="19"/>
      <c r="C360" s="20"/>
      <c r="E360" s="28"/>
      <c r="F360" s="20"/>
      <c r="G360" s="19"/>
      <c r="H360" s="19"/>
      <c r="I360" s="19"/>
      <c r="J360" s="20"/>
      <c r="K360" s="20"/>
      <c r="L360" s="19"/>
      <c r="M360" s="19"/>
      <c r="N360" s="19"/>
      <c r="O360" s="19"/>
      <c r="P360" s="19"/>
      <c r="Q360" s="19"/>
      <c r="R360" s="19"/>
      <c r="S360" s="19"/>
      <c r="T360" s="19"/>
      <c r="U360" s="19"/>
      <c r="V360" s="19"/>
      <c r="W360" s="19"/>
      <c r="X360" s="19"/>
    </row>
    <row r="361" spans="1:24" ht="14.25" customHeight="1" x14ac:dyDescent="0.3">
      <c r="A361" s="19"/>
      <c r="B361" s="19"/>
      <c r="C361" s="20"/>
      <c r="E361" s="28"/>
      <c r="F361" s="20"/>
      <c r="G361" s="19"/>
      <c r="H361" s="19"/>
      <c r="I361" s="19"/>
      <c r="J361" s="20"/>
      <c r="K361" s="20"/>
      <c r="L361" s="19"/>
      <c r="M361" s="19"/>
      <c r="N361" s="19"/>
      <c r="O361" s="19"/>
      <c r="P361" s="19"/>
      <c r="Q361" s="19"/>
      <c r="R361" s="19"/>
      <c r="S361" s="19"/>
      <c r="T361" s="19"/>
      <c r="U361" s="19"/>
      <c r="V361" s="19"/>
      <c r="W361" s="19"/>
      <c r="X361" s="19"/>
    </row>
    <row r="362" spans="1:24" ht="14.25" customHeight="1" x14ac:dyDescent="0.3">
      <c r="A362" s="19"/>
      <c r="B362" s="19"/>
      <c r="C362" s="20"/>
      <c r="E362" s="28"/>
      <c r="F362" s="20"/>
      <c r="G362" s="19"/>
      <c r="H362" s="19"/>
      <c r="I362" s="19"/>
      <c r="J362" s="20"/>
      <c r="K362" s="20"/>
      <c r="L362" s="19"/>
      <c r="M362" s="19"/>
      <c r="N362" s="19"/>
      <c r="O362" s="19"/>
      <c r="P362" s="19"/>
      <c r="Q362" s="19"/>
      <c r="R362" s="19"/>
      <c r="S362" s="19"/>
      <c r="T362" s="19"/>
      <c r="U362" s="19"/>
      <c r="V362" s="19"/>
      <c r="W362" s="19"/>
      <c r="X362" s="19"/>
    </row>
    <row r="363" spans="1:24" ht="14.25" customHeight="1" x14ac:dyDescent="0.3">
      <c r="A363" s="19"/>
      <c r="B363" s="19"/>
      <c r="C363" s="20"/>
      <c r="E363" s="28"/>
      <c r="F363" s="20"/>
      <c r="G363" s="19"/>
      <c r="H363" s="19"/>
      <c r="I363" s="19"/>
      <c r="J363" s="20"/>
      <c r="K363" s="20"/>
      <c r="L363" s="19"/>
      <c r="M363" s="19"/>
      <c r="N363" s="19"/>
      <c r="O363" s="19"/>
      <c r="P363" s="19"/>
      <c r="Q363" s="19"/>
      <c r="R363" s="19"/>
      <c r="S363" s="19"/>
      <c r="T363" s="19"/>
      <c r="U363" s="19"/>
      <c r="V363" s="19"/>
      <c r="W363" s="19"/>
      <c r="X363" s="19"/>
    </row>
    <row r="364" spans="1:24" ht="14.25" customHeight="1" x14ac:dyDescent="0.3">
      <c r="A364" s="19"/>
      <c r="B364" s="19"/>
      <c r="C364" s="20"/>
      <c r="E364" s="28"/>
      <c r="F364" s="20"/>
      <c r="G364" s="19"/>
      <c r="H364" s="19"/>
      <c r="I364" s="19"/>
      <c r="J364" s="20"/>
      <c r="K364" s="20"/>
      <c r="L364" s="19"/>
      <c r="M364" s="19"/>
      <c r="N364" s="19"/>
      <c r="O364" s="19"/>
      <c r="P364" s="19"/>
      <c r="Q364" s="19"/>
      <c r="R364" s="19"/>
      <c r="S364" s="19"/>
      <c r="T364" s="19"/>
      <c r="U364" s="19"/>
      <c r="V364" s="19"/>
      <c r="W364" s="19"/>
      <c r="X364" s="19"/>
    </row>
    <row r="365" spans="1:24" ht="14.25" customHeight="1" x14ac:dyDescent="0.3">
      <c r="A365" s="19"/>
      <c r="B365" s="19"/>
      <c r="C365" s="20"/>
      <c r="E365" s="28"/>
      <c r="F365" s="20"/>
      <c r="G365" s="19"/>
      <c r="H365" s="19"/>
      <c r="I365" s="19"/>
      <c r="J365" s="20"/>
      <c r="K365" s="20"/>
      <c r="L365" s="19"/>
      <c r="M365" s="19"/>
      <c r="N365" s="19"/>
      <c r="O365" s="19"/>
      <c r="P365" s="19"/>
      <c r="Q365" s="19"/>
      <c r="R365" s="19"/>
      <c r="S365" s="19"/>
      <c r="T365" s="19"/>
      <c r="U365" s="19"/>
      <c r="V365" s="19"/>
      <c r="W365" s="19"/>
      <c r="X365" s="19"/>
    </row>
    <row r="366" spans="1:24" ht="14.25" customHeight="1" x14ac:dyDescent="0.3">
      <c r="A366" s="19"/>
      <c r="B366" s="19"/>
      <c r="C366" s="20"/>
      <c r="E366" s="28"/>
      <c r="F366" s="20"/>
      <c r="G366" s="19"/>
      <c r="H366" s="19"/>
      <c r="I366" s="19"/>
      <c r="J366" s="20"/>
      <c r="K366" s="20"/>
      <c r="L366" s="19"/>
      <c r="M366" s="19"/>
      <c r="N366" s="19"/>
      <c r="O366" s="19"/>
      <c r="P366" s="19"/>
      <c r="Q366" s="19"/>
      <c r="R366" s="19"/>
      <c r="S366" s="19"/>
      <c r="T366" s="19"/>
      <c r="U366" s="19"/>
      <c r="V366" s="19"/>
      <c r="W366" s="19"/>
      <c r="X366" s="19"/>
    </row>
    <row r="367" spans="1:24" ht="14.25" customHeight="1" x14ac:dyDescent="0.3">
      <c r="A367" s="19"/>
      <c r="B367" s="19"/>
      <c r="C367" s="20"/>
      <c r="E367" s="28"/>
      <c r="F367" s="20"/>
      <c r="G367" s="19"/>
      <c r="H367" s="19"/>
      <c r="I367" s="19"/>
      <c r="J367" s="20"/>
      <c r="K367" s="20"/>
      <c r="L367" s="19"/>
      <c r="M367" s="19"/>
      <c r="N367" s="19"/>
      <c r="O367" s="19"/>
      <c r="P367" s="19"/>
      <c r="Q367" s="19"/>
      <c r="R367" s="19"/>
      <c r="S367" s="19"/>
      <c r="T367" s="19"/>
      <c r="U367" s="19"/>
      <c r="V367" s="19"/>
      <c r="W367" s="19"/>
      <c r="X367" s="19"/>
    </row>
    <row r="368" spans="1:24" ht="14.25" customHeight="1" x14ac:dyDescent="0.3">
      <c r="A368" s="19"/>
      <c r="B368" s="19"/>
      <c r="C368" s="20"/>
      <c r="E368" s="28"/>
      <c r="F368" s="20"/>
      <c r="G368" s="19"/>
      <c r="H368" s="19"/>
      <c r="I368" s="19"/>
      <c r="J368" s="20"/>
      <c r="K368" s="20"/>
      <c r="L368" s="19"/>
      <c r="M368" s="19"/>
      <c r="N368" s="19"/>
      <c r="O368" s="19"/>
      <c r="P368" s="19"/>
      <c r="Q368" s="19"/>
      <c r="R368" s="19"/>
      <c r="S368" s="19"/>
      <c r="T368" s="19"/>
      <c r="U368" s="19"/>
      <c r="V368" s="19"/>
      <c r="W368" s="19"/>
      <c r="X368" s="19"/>
    </row>
    <row r="369" spans="1:24" ht="14.25" customHeight="1" x14ac:dyDescent="0.3">
      <c r="A369" s="19"/>
      <c r="B369" s="19"/>
      <c r="C369" s="20"/>
      <c r="E369" s="28"/>
      <c r="F369" s="20"/>
      <c r="G369" s="19"/>
      <c r="H369" s="19"/>
      <c r="I369" s="19"/>
      <c r="J369" s="20"/>
      <c r="K369" s="20"/>
      <c r="L369" s="19"/>
      <c r="M369" s="19"/>
      <c r="N369" s="19"/>
      <c r="O369" s="19"/>
      <c r="P369" s="19"/>
      <c r="Q369" s="19"/>
      <c r="R369" s="19"/>
      <c r="S369" s="19"/>
      <c r="T369" s="19"/>
      <c r="U369" s="19"/>
      <c r="V369" s="19"/>
      <c r="W369" s="19"/>
      <c r="X369" s="19"/>
    </row>
    <row r="370" spans="1:24" ht="14.25" customHeight="1" x14ac:dyDescent="0.3">
      <c r="A370" s="19"/>
      <c r="B370" s="19"/>
      <c r="C370" s="20"/>
      <c r="E370" s="28"/>
      <c r="F370" s="20"/>
      <c r="G370" s="19"/>
      <c r="H370" s="19"/>
      <c r="I370" s="19"/>
      <c r="J370" s="20"/>
      <c r="K370" s="20"/>
      <c r="L370" s="19"/>
      <c r="M370" s="19"/>
      <c r="N370" s="19"/>
      <c r="O370" s="19"/>
      <c r="P370" s="19"/>
      <c r="Q370" s="19"/>
      <c r="R370" s="19"/>
      <c r="S370" s="19"/>
      <c r="T370" s="19"/>
      <c r="U370" s="19"/>
      <c r="V370" s="19"/>
      <c r="W370" s="19"/>
      <c r="X370" s="19"/>
    </row>
    <row r="371" spans="1:24" ht="14.25" customHeight="1" x14ac:dyDescent="0.3">
      <c r="A371" s="19"/>
      <c r="B371" s="19"/>
      <c r="C371" s="20"/>
      <c r="E371" s="28"/>
      <c r="F371" s="20"/>
      <c r="G371" s="19"/>
      <c r="H371" s="19"/>
      <c r="I371" s="19"/>
      <c r="J371" s="20"/>
      <c r="K371" s="20"/>
      <c r="L371" s="19"/>
      <c r="M371" s="19"/>
      <c r="N371" s="19"/>
      <c r="O371" s="19"/>
      <c r="P371" s="19"/>
      <c r="Q371" s="19"/>
      <c r="R371" s="19"/>
      <c r="S371" s="19"/>
      <c r="T371" s="19"/>
      <c r="U371" s="19"/>
      <c r="V371" s="19"/>
      <c r="W371" s="19"/>
      <c r="X371" s="19"/>
    </row>
    <row r="372" spans="1:24" ht="14.25" customHeight="1" x14ac:dyDescent="0.3">
      <c r="A372" s="19"/>
      <c r="B372" s="19"/>
      <c r="C372" s="20"/>
      <c r="E372" s="28"/>
      <c r="F372" s="20"/>
      <c r="G372" s="19"/>
      <c r="H372" s="19"/>
      <c r="I372" s="19"/>
      <c r="J372" s="20"/>
      <c r="K372" s="20"/>
      <c r="L372" s="19"/>
      <c r="M372" s="19"/>
      <c r="N372" s="19"/>
      <c r="O372" s="19"/>
      <c r="P372" s="19"/>
      <c r="Q372" s="19"/>
      <c r="R372" s="19"/>
      <c r="S372" s="19"/>
      <c r="T372" s="19"/>
      <c r="U372" s="19"/>
      <c r="V372" s="19"/>
      <c r="W372" s="19"/>
      <c r="X372" s="19"/>
    </row>
    <row r="373" spans="1:24" ht="14.25" customHeight="1" x14ac:dyDescent="0.3">
      <c r="A373" s="19"/>
      <c r="B373" s="19"/>
      <c r="C373" s="20"/>
      <c r="E373" s="28"/>
      <c r="F373" s="20"/>
      <c r="G373" s="19"/>
      <c r="H373" s="19"/>
      <c r="I373" s="19"/>
      <c r="J373" s="20"/>
      <c r="K373" s="20"/>
      <c r="L373" s="19"/>
      <c r="M373" s="19"/>
      <c r="N373" s="19"/>
      <c r="O373" s="19"/>
      <c r="P373" s="19"/>
      <c r="Q373" s="19"/>
      <c r="R373" s="19"/>
      <c r="S373" s="19"/>
      <c r="T373" s="19"/>
      <c r="U373" s="19"/>
      <c r="V373" s="19"/>
      <c r="W373" s="19"/>
      <c r="X373" s="19"/>
    </row>
    <row r="374" spans="1:24" ht="14.25" customHeight="1" x14ac:dyDescent="0.3">
      <c r="A374" s="19"/>
      <c r="B374" s="19"/>
      <c r="C374" s="20"/>
      <c r="E374" s="28"/>
      <c r="F374" s="20"/>
      <c r="G374" s="19"/>
      <c r="H374" s="19"/>
      <c r="I374" s="19"/>
      <c r="J374" s="20"/>
      <c r="K374" s="20"/>
      <c r="L374" s="19"/>
      <c r="M374" s="19"/>
      <c r="N374" s="19"/>
      <c r="O374" s="19"/>
      <c r="P374" s="19"/>
      <c r="Q374" s="19"/>
      <c r="R374" s="19"/>
      <c r="S374" s="19"/>
      <c r="T374" s="19"/>
      <c r="U374" s="19"/>
      <c r="V374" s="19"/>
      <c r="W374" s="19"/>
      <c r="X374" s="19"/>
    </row>
    <row r="375" spans="1:24" ht="14.25" customHeight="1" x14ac:dyDescent="0.3">
      <c r="A375" s="19"/>
      <c r="B375" s="19"/>
      <c r="C375" s="20"/>
      <c r="E375" s="28"/>
      <c r="F375" s="20"/>
      <c r="G375" s="19"/>
      <c r="H375" s="19"/>
      <c r="I375" s="19"/>
      <c r="J375" s="20"/>
      <c r="K375" s="20"/>
      <c r="L375" s="19"/>
      <c r="M375" s="19"/>
      <c r="N375" s="19"/>
      <c r="O375" s="19"/>
      <c r="P375" s="19"/>
      <c r="Q375" s="19"/>
      <c r="R375" s="19"/>
      <c r="S375" s="19"/>
      <c r="T375" s="19"/>
      <c r="U375" s="19"/>
      <c r="V375" s="19"/>
      <c r="W375" s="19"/>
      <c r="X375" s="19"/>
    </row>
    <row r="376" spans="1:24" ht="14.25" customHeight="1" x14ac:dyDescent="0.3">
      <c r="A376" s="19"/>
      <c r="B376" s="19"/>
      <c r="C376" s="20"/>
      <c r="E376" s="28"/>
      <c r="F376" s="20"/>
      <c r="G376" s="19"/>
      <c r="H376" s="19"/>
      <c r="I376" s="19"/>
      <c r="J376" s="20"/>
      <c r="K376" s="20"/>
      <c r="L376" s="19"/>
      <c r="M376" s="19"/>
      <c r="N376" s="19"/>
      <c r="O376" s="19"/>
      <c r="P376" s="19"/>
      <c r="Q376" s="19"/>
      <c r="R376" s="19"/>
      <c r="S376" s="19"/>
      <c r="T376" s="19"/>
      <c r="U376" s="19"/>
      <c r="V376" s="19"/>
      <c r="W376" s="19"/>
      <c r="X376" s="19"/>
    </row>
    <row r="377" spans="1:24" ht="14.25" customHeight="1" x14ac:dyDescent="0.3">
      <c r="A377" s="19"/>
      <c r="B377" s="19"/>
      <c r="C377" s="20"/>
      <c r="E377" s="28"/>
      <c r="F377" s="20"/>
      <c r="G377" s="19"/>
      <c r="H377" s="19"/>
      <c r="I377" s="19"/>
      <c r="J377" s="20"/>
      <c r="K377" s="20"/>
      <c r="L377" s="19"/>
      <c r="M377" s="19"/>
      <c r="N377" s="19"/>
      <c r="O377" s="19"/>
      <c r="P377" s="19"/>
      <c r="Q377" s="19"/>
      <c r="R377" s="19"/>
      <c r="S377" s="19"/>
      <c r="T377" s="19"/>
      <c r="U377" s="19"/>
      <c r="V377" s="19"/>
      <c r="W377" s="19"/>
      <c r="X377" s="19"/>
    </row>
    <row r="378" spans="1:24" ht="14.25" customHeight="1" x14ac:dyDescent="0.3">
      <c r="A378" s="19"/>
      <c r="B378" s="19"/>
      <c r="C378" s="20"/>
      <c r="E378" s="28"/>
      <c r="F378" s="20"/>
      <c r="G378" s="19"/>
      <c r="H378" s="19"/>
      <c r="I378" s="19"/>
      <c r="J378" s="20"/>
      <c r="K378" s="20"/>
      <c r="L378" s="19"/>
      <c r="M378" s="19"/>
      <c r="N378" s="19"/>
      <c r="O378" s="19"/>
      <c r="P378" s="19"/>
      <c r="Q378" s="19"/>
      <c r="R378" s="19"/>
      <c r="S378" s="19"/>
      <c r="T378" s="19"/>
      <c r="U378" s="19"/>
      <c r="V378" s="19"/>
      <c r="W378" s="19"/>
      <c r="X378" s="19"/>
    </row>
    <row r="379" spans="1:24" ht="14.25" customHeight="1" x14ac:dyDescent="0.3">
      <c r="A379" s="19"/>
      <c r="B379" s="19"/>
      <c r="C379" s="20"/>
      <c r="E379" s="28"/>
      <c r="F379" s="20"/>
      <c r="G379" s="19"/>
      <c r="H379" s="19"/>
      <c r="I379" s="19"/>
      <c r="J379" s="20"/>
      <c r="K379" s="20"/>
      <c r="L379" s="19"/>
      <c r="M379" s="19"/>
      <c r="N379" s="19"/>
      <c r="O379" s="19"/>
      <c r="P379" s="19"/>
      <c r="Q379" s="19"/>
      <c r="R379" s="19"/>
      <c r="S379" s="19"/>
      <c r="T379" s="19"/>
      <c r="U379" s="19"/>
      <c r="V379" s="19"/>
      <c r="W379" s="19"/>
      <c r="X379" s="19"/>
    </row>
    <row r="380" spans="1:24" ht="14.25" customHeight="1" x14ac:dyDescent="0.3">
      <c r="A380" s="19"/>
      <c r="B380" s="19"/>
      <c r="C380" s="20"/>
      <c r="E380" s="28"/>
      <c r="F380" s="20"/>
      <c r="G380" s="19"/>
      <c r="H380" s="19"/>
      <c r="I380" s="19"/>
      <c r="J380" s="20"/>
      <c r="K380" s="20"/>
      <c r="L380" s="19"/>
      <c r="M380" s="19"/>
      <c r="N380" s="19"/>
      <c r="O380" s="19"/>
      <c r="P380" s="19"/>
      <c r="Q380" s="19"/>
      <c r="R380" s="19"/>
      <c r="S380" s="19"/>
      <c r="T380" s="19"/>
      <c r="U380" s="19"/>
      <c r="V380" s="19"/>
      <c r="W380" s="19"/>
      <c r="X380" s="19"/>
    </row>
    <row r="381" spans="1:24" ht="14.25" customHeight="1" x14ac:dyDescent="0.3">
      <c r="A381" s="19"/>
      <c r="B381" s="19"/>
      <c r="C381" s="20"/>
      <c r="E381" s="28"/>
      <c r="F381" s="20"/>
      <c r="G381" s="19"/>
      <c r="H381" s="19"/>
      <c r="I381" s="19"/>
      <c r="J381" s="20"/>
      <c r="K381" s="20"/>
      <c r="L381" s="19"/>
      <c r="M381" s="19"/>
      <c r="N381" s="19"/>
      <c r="O381" s="19"/>
      <c r="P381" s="19"/>
      <c r="Q381" s="19"/>
      <c r="R381" s="19"/>
      <c r="S381" s="19"/>
      <c r="T381" s="19"/>
      <c r="U381" s="19"/>
      <c r="V381" s="19"/>
      <c r="W381" s="19"/>
      <c r="X381" s="19"/>
    </row>
    <row r="382" spans="1:24" ht="14.25" customHeight="1" x14ac:dyDescent="0.3">
      <c r="A382" s="19"/>
      <c r="B382" s="19"/>
      <c r="C382" s="20"/>
      <c r="E382" s="28"/>
      <c r="F382" s="20"/>
      <c r="G382" s="19"/>
      <c r="H382" s="19"/>
      <c r="I382" s="19"/>
      <c r="J382" s="20"/>
      <c r="K382" s="20"/>
      <c r="L382" s="19"/>
      <c r="M382" s="19"/>
      <c r="N382" s="19"/>
      <c r="O382" s="19"/>
      <c r="P382" s="19"/>
      <c r="Q382" s="19"/>
      <c r="R382" s="19"/>
      <c r="S382" s="19"/>
      <c r="T382" s="19"/>
      <c r="U382" s="19"/>
      <c r="V382" s="19"/>
      <c r="W382" s="19"/>
      <c r="X382" s="19"/>
    </row>
    <row r="383" spans="1:24" ht="14.25" customHeight="1" x14ac:dyDescent="0.3">
      <c r="A383" s="19"/>
      <c r="B383" s="19"/>
      <c r="C383" s="20"/>
      <c r="E383" s="28"/>
      <c r="F383" s="20"/>
      <c r="G383" s="19"/>
      <c r="H383" s="19"/>
      <c r="I383" s="19"/>
      <c r="J383" s="20"/>
      <c r="K383" s="20"/>
      <c r="L383" s="19"/>
      <c r="M383" s="19"/>
      <c r="N383" s="19"/>
      <c r="O383" s="19"/>
      <c r="P383" s="19"/>
      <c r="Q383" s="19"/>
      <c r="R383" s="19"/>
      <c r="S383" s="19"/>
      <c r="T383" s="19"/>
      <c r="U383" s="19"/>
      <c r="V383" s="19"/>
      <c r="W383" s="19"/>
      <c r="X383" s="19"/>
    </row>
    <row r="384" spans="1:24" ht="14.25" customHeight="1" x14ac:dyDescent="0.3">
      <c r="A384" s="19"/>
      <c r="B384" s="19"/>
      <c r="C384" s="20"/>
      <c r="E384" s="28"/>
      <c r="F384" s="20"/>
      <c r="G384" s="19"/>
      <c r="H384" s="19"/>
      <c r="I384" s="19"/>
      <c r="J384" s="20"/>
      <c r="K384" s="20"/>
      <c r="L384" s="19"/>
      <c r="M384" s="19"/>
      <c r="N384" s="19"/>
      <c r="O384" s="19"/>
      <c r="P384" s="19"/>
      <c r="Q384" s="19"/>
      <c r="R384" s="19"/>
      <c r="S384" s="19"/>
      <c r="T384" s="19"/>
      <c r="U384" s="19"/>
      <c r="V384" s="19"/>
      <c r="W384" s="19"/>
      <c r="X384" s="19"/>
    </row>
    <row r="385" spans="1:24" ht="14.25" customHeight="1" x14ac:dyDescent="0.3">
      <c r="A385" s="19"/>
      <c r="B385" s="19"/>
      <c r="C385" s="20"/>
      <c r="E385" s="28"/>
      <c r="F385" s="20"/>
      <c r="G385" s="19"/>
      <c r="H385" s="19"/>
      <c r="I385" s="19"/>
      <c r="J385" s="20"/>
      <c r="K385" s="20"/>
      <c r="L385" s="19"/>
      <c r="M385" s="19"/>
      <c r="N385" s="19"/>
      <c r="O385" s="19"/>
      <c r="P385" s="19"/>
      <c r="Q385" s="19"/>
      <c r="R385" s="19"/>
      <c r="S385" s="19"/>
      <c r="T385" s="19"/>
      <c r="U385" s="19"/>
      <c r="V385" s="19"/>
      <c r="W385" s="19"/>
      <c r="X385" s="19"/>
    </row>
    <row r="386" spans="1:24" ht="14.25" customHeight="1" x14ac:dyDescent="0.3">
      <c r="A386" s="19"/>
      <c r="B386" s="19"/>
      <c r="C386" s="20"/>
      <c r="E386" s="28"/>
      <c r="F386" s="20"/>
      <c r="G386" s="19"/>
      <c r="H386" s="19"/>
      <c r="I386" s="19"/>
      <c r="J386" s="20"/>
      <c r="K386" s="20"/>
      <c r="L386" s="19"/>
      <c r="M386" s="19"/>
      <c r="N386" s="19"/>
      <c r="O386" s="19"/>
      <c r="P386" s="19"/>
      <c r="Q386" s="19"/>
      <c r="R386" s="19"/>
      <c r="S386" s="19"/>
      <c r="T386" s="19"/>
      <c r="U386" s="19"/>
      <c r="V386" s="19"/>
      <c r="W386" s="19"/>
      <c r="X386" s="19"/>
    </row>
    <row r="387" spans="1:24" ht="14.25" customHeight="1" x14ac:dyDescent="0.3">
      <c r="A387" s="19"/>
      <c r="B387" s="19"/>
      <c r="C387" s="20"/>
      <c r="E387" s="28"/>
      <c r="F387" s="20"/>
      <c r="G387" s="19"/>
      <c r="H387" s="19"/>
      <c r="I387" s="19"/>
      <c r="J387" s="20"/>
      <c r="K387" s="20"/>
      <c r="L387" s="19"/>
      <c r="M387" s="19"/>
      <c r="N387" s="19"/>
      <c r="O387" s="19"/>
      <c r="P387" s="19"/>
      <c r="Q387" s="19"/>
      <c r="R387" s="19"/>
      <c r="S387" s="19"/>
      <c r="T387" s="19"/>
      <c r="U387" s="19"/>
      <c r="V387" s="19"/>
      <c r="W387" s="19"/>
      <c r="X387" s="19"/>
    </row>
    <row r="388" spans="1:24" ht="14.25" customHeight="1" x14ac:dyDescent="0.3">
      <c r="A388" s="19"/>
      <c r="B388" s="19"/>
      <c r="C388" s="20"/>
      <c r="E388" s="28"/>
      <c r="F388" s="20"/>
      <c r="G388" s="19"/>
      <c r="H388" s="19"/>
      <c r="I388" s="19"/>
      <c r="J388" s="20"/>
      <c r="K388" s="20"/>
      <c r="L388" s="19"/>
      <c r="M388" s="19"/>
      <c r="N388" s="19"/>
      <c r="O388" s="19"/>
      <c r="P388" s="19"/>
      <c r="Q388" s="19"/>
      <c r="R388" s="19"/>
      <c r="S388" s="19"/>
      <c r="T388" s="19"/>
      <c r="U388" s="19"/>
      <c r="V388" s="19"/>
      <c r="W388" s="19"/>
      <c r="X388" s="19"/>
    </row>
    <row r="389" spans="1:24" ht="14.25" customHeight="1" x14ac:dyDescent="0.3">
      <c r="A389" s="19"/>
      <c r="B389" s="19"/>
      <c r="C389" s="20"/>
      <c r="E389" s="28"/>
      <c r="F389" s="20"/>
      <c r="G389" s="19"/>
      <c r="H389" s="19"/>
      <c r="I389" s="19"/>
      <c r="J389" s="20"/>
      <c r="K389" s="20"/>
      <c r="L389" s="19"/>
      <c r="M389" s="19"/>
      <c r="N389" s="19"/>
      <c r="O389" s="19"/>
      <c r="P389" s="19"/>
      <c r="Q389" s="19"/>
      <c r="R389" s="19"/>
      <c r="S389" s="19"/>
      <c r="T389" s="19"/>
      <c r="U389" s="19"/>
      <c r="V389" s="19"/>
      <c r="W389" s="19"/>
      <c r="X389" s="19"/>
    </row>
    <row r="390" spans="1:24" ht="14.25" customHeight="1" x14ac:dyDescent="0.3">
      <c r="A390" s="19"/>
      <c r="B390" s="19"/>
      <c r="C390" s="20"/>
      <c r="E390" s="28"/>
      <c r="F390" s="20"/>
      <c r="G390" s="19"/>
      <c r="H390" s="19"/>
      <c r="I390" s="19"/>
      <c r="J390" s="20"/>
      <c r="K390" s="20"/>
      <c r="L390" s="19"/>
      <c r="M390" s="19"/>
      <c r="N390" s="19"/>
      <c r="O390" s="19"/>
      <c r="P390" s="19"/>
      <c r="Q390" s="19"/>
      <c r="R390" s="19"/>
      <c r="S390" s="19"/>
      <c r="T390" s="19"/>
      <c r="U390" s="19"/>
      <c r="V390" s="19"/>
      <c r="W390" s="19"/>
      <c r="X390" s="19"/>
    </row>
    <row r="391" spans="1:24" ht="14.25" customHeight="1" x14ac:dyDescent="0.3">
      <c r="A391" s="19"/>
      <c r="B391" s="19"/>
      <c r="C391" s="20"/>
      <c r="E391" s="28"/>
      <c r="F391" s="20"/>
      <c r="G391" s="19"/>
      <c r="H391" s="19"/>
      <c r="I391" s="19"/>
      <c r="J391" s="20"/>
      <c r="K391" s="20"/>
      <c r="L391" s="19"/>
      <c r="M391" s="19"/>
      <c r="N391" s="19"/>
      <c r="O391" s="19"/>
      <c r="P391" s="19"/>
      <c r="Q391" s="19"/>
      <c r="R391" s="19"/>
      <c r="S391" s="19"/>
      <c r="T391" s="19"/>
      <c r="U391" s="19"/>
      <c r="V391" s="19"/>
      <c r="W391" s="19"/>
      <c r="X391" s="19"/>
    </row>
    <row r="392" spans="1:24" ht="14.25" customHeight="1" x14ac:dyDescent="0.3">
      <c r="A392" s="19"/>
      <c r="B392" s="19"/>
      <c r="C392" s="20"/>
      <c r="E392" s="28"/>
      <c r="F392" s="20"/>
      <c r="G392" s="19"/>
      <c r="H392" s="19"/>
      <c r="I392" s="19"/>
      <c r="J392" s="20"/>
      <c r="K392" s="20"/>
      <c r="L392" s="19"/>
      <c r="M392" s="19"/>
      <c r="N392" s="19"/>
      <c r="O392" s="19"/>
      <c r="P392" s="19"/>
      <c r="Q392" s="19"/>
      <c r="R392" s="19"/>
      <c r="S392" s="19"/>
      <c r="T392" s="19"/>
      <c r="U392" s="19"/>
      <c r="V392" s="19"/>
      <c r="W392" s="19"/>
      <c r="X392" s="19"/>
    </row>
    <row r="393" spans="1:24" ht="14.25" customHeight="1" x14ac:dyDescent="0.3">
      <c r="A393" s="19"/>
      <c r="B393" s="19"/>
      <c r="C393" s="20"/>
      <c r="E393" s="28"/>
      <c r="F393" s="20"/>
      <c r="G393" s="19"/>
      <c r="H393" s="19"/>
      <c r="I393" s="19"/>
      <c r="J393" s="20"/>
      <c r="K393" s="20"/>
      <c r="L393" s="19"/>
      <c r="M393" s="19"/>
      <c r="N393" s="19"/>
      <c r="O393" s="19"/>
      <c r="P393" s="19"/>
      <c r="Q393" s="19"/>
      <c r="R393" s="19"/>
      <c r="S393" s="19"/>
      <c r="T393" s="19"/>
      <c r="U393" s="19"/>
      <c r="V393" s="19"/>
      <c r="W393" s="19"/>
      <c r="X393" s="19"/>
    </row>
    <row r="394" spans="1:24" ht="14.25" customHeight="1" x14ac:dyDescent="0.3">
      <c r="A394" s="19"/>
      <c r="B394" s="19"/>
      <c r="C394" s="20"/>
      <c r="E394" s="28"/>
      <c r="F394" s="20"/>
      <c r="G394" s="19"/>
      <c r="H394" s="19"/>
      <c r="I394" s="19"/>
      <c r="J394" s="20"/>
      <c r="K394" s="20"/>
      <c r="L394" s="19"/>
      <c r="M394" s="19"/>
      <c r="N394" s="19"/>
      <c r="O394" s="19"/>
      <c r="P394" s="19"/>
      <c r="Q394" s="19"/>
      <c r="R394" s="19"/>
      <c r="S394" s="19"/>
      <c r="T394" s="19"/>
      <c r="U394" s="19"/>
      <c r="V394" s="19"/>
      <c r="W394" s="19"/>
      <c r="X394" s="19"/>
    </row>
    <row r="395" spans="1:24" ht="14.25" customHeight="1" x14ac:dyDescent="0.3">
      <c r="A395" s="19"/>
      <c r="B395" s="19"/>
      <c r="C395" s="20"/>
      <c r="E395" s="28"/>
      <c r="F395" s="20"/>
      <c r="G395" s="19"/>
      <c r="H395" s="19"/>
      <c r="I395" s="19"/>
      <c r="J395" s="20"/>
      <c r="K395" s="20"/>
      <c r="L395" s="19"/>
      <c r="M395" s="19"/>
      <c r="N395" s="19"/>
      <c r="O395" s="19"/>
      <c r="P395" s="19"/>
      <c r="Q395" s="19"/>
      <c r="R395" s="19"/>
      <c r="S395" s="19"/>
      <c r="T395" s="19"/>
      <c r="U395" s="19"/>
      <c r="V395" s="19"/>
      <c r="W395" s="19"/>
      <c r="X395" s="19"/>
    </row>
    <row r="396" spans="1:24" ht="14.25" customHeight="1" x14ac:dyDescent="0.3">
      <c r="A396" s="19"/>
      <c r="B396" s="19"/>
      <c r="C396" s="20"/>
      <c r="E396" s="28"/>
      <c r="F396" s="20"/>
      <c r="G396" s="19"/>
      <c r="H396" s="19"/>
      <c r="I396" s="19"/>
      <c r="J396" s="20"/>
      <c r="K396" s="20"/>
      <c r="L396" s="19"/>
      <c r="M396" s="19"/>
      <c r="N396" s="19"/>
      <c r="O396" s="19"/>
      <c r="P396" s="19"/>
      <c r="Q396" s="19"/>
      <c r="R396" s="19"/>
      <c r="S396" s="19"/>
      <c r="T396" s="19"/>
      <c r="U396" s="19"/>
      <c r="V396" s="19"/>
      <c r="W396" s="19"/>
      <c r="X396" s="19"/>
    </row>
    <row r="397" spans="1:24" ht="14.25" customHeight="1" x14ac:dyDescent="0.3">
      <c r="A397" s="19"/>
      <c r="B397" s="19"/>
      <c r="C397" s="20"/>
      <c r="E397" s="28"/>
      <c r="F397" s="20"/>
      <c r="G397" s="19"/>
      <c r="H397" s="19"/>
      <c r="I397" s="19"/>
      <c r="J397" s="20"/>
      <c r="K397" s="20"/>
      <c r="L397" s="19"/>
      <c r="M397" s="19"/>
      <c r="N397" s="19"/>
      <c r="O397" s="19"/>
      <c r="P397" s="19"/>
      <c r="Q397" s="19"/>
      <c r="R397" s="19"/>
      <c r="S397" s="19"/>
      <c r="T397" s="19"/>
      <c r="U397" s="19"/>
      <c r="V397" s="19"/>
      <c r="W397" s="19"/>
      <c r="X397" s="19"/>
    </row>
    <row r="398" spans="1:24" ht="14.25" customHeight="1" x14ac:dyDescent="0.3">
      <c r="A398" s="19"/>
      <c r="B398" s="19"/>
      <c r="C398" s="20"/>
      <c r="E398" s="28"/>
      <c r="F398" s="20"/>
      <c r="G398" s="19"/>
      <c r="H398" s="19"/>
      <c r="I398" s="19"/>
      <c r="J398" s="20"/>
      <c r="K398" s="20"/>
      <c r="L398" s="19"/>
      <c r="M398" s="19"/>
      <c r="N398" s="19"/>
      <c r="O398" s="19"/>
      <c r="P398" s="19"/>
      <c r="Q398" s="19"/>
      <c r="R398" s="19"/>
      <c r="S398" s="19"/>
      <c r="T398" s="19"/>
      <c r="U398" s="19"/>
      <c r="V398" s="19"/>
      <c r="W398" s="19"/>
      <c r="X398" s="19"/>
    </row>
    <row r="399" spans="1:24" ht="14.25" customHeight="1" x14ac:dyDescent="0.3">
      <c r="A399" s="19"/>
      <c r="B399" s="19"/>
      <c r="C399" s="20"/>
      <c r="E399" s="28"/>
      <c r="F399" s="20"/>
      <c r="G399" s="19"/>
      <c r="H399" s="19"/>
      <c r="I399" s="19"/>
      <c r="J399" s="20"/>
      <c r="K399" s="20"/>
      <c r="L399" s="19"/>
      <c r="M399" s="19"/>
      <c r="N399" s="19"/>
      <c r="O399" s="19"/>
      <c r="P399" s="19"/>
      <c r="Q399" s="19"/>
      <c r="R399" s="19"/>
      <c r="S399" s="19"/>
      <c r="T399" s="19"/>
      <c r="U399" s="19"/>
      <c r="V399" s="19"/>
      <c r="W399" s="19"/>
      <c r="X399" s="19"/>
    </row>
    <row r="400" spans="1:24" ht="14.25" customHeight="1" x14ac:dyDescent="0.3">
      <c r="A400" s="19"/>
      <c r="B400" s="19"/>
      <c r="C400" s="20"/>
      <c r="E400" s="28"/>
      <c r="F400" s="20"/>
      <c r="G400" s="19"/>
      <c r="H400" s="19"/>
      <c r="I400" s="19"/>
      <c r="J400" s="20"/>
      <c r="K400" s="20"/>
      <c r="L400" s="19"/>
      <c r="M400" s="19"/>
      <c r="N400" s="19"/>
      <c r="O400" s="19"/>
      <c r="P400" s="19"/>
      <c r="Q400" s="19"/>
      <c r="R400" s="19"/>
      <c r="S400" s="19"/>
      <c r="T400" s="19"/>
      <c r="U400" s="19"/>
      <c r="V400" s="19"/>
      <c r="W400" s="19"/>
      <c r="X400" s="19"/>
    </row>
    <row r="401" spans="1:24" ht="14.25" customHeight="1" x14ac:dyDescent="0.3">
      <c r="A401" s="19"/>
      <c r="B401" s="19"/>
      <c r="C401" s="20"/>
      <c r="E401" s="28"/>
      <c r="F401" s="20"/>
      <c r="G401" s="19"/>
      <c r="H401" s="19"/>
      <c r="I401" s="19"/>
      <c r="J401" s="20"/>
      <c r="K401" s="20"/>
      <c r="L401" s="19"/>
      <c r="M401" s="19"/>
      <c r="N401" s="19"/>
      <c r="O401" s="19"/>
      <c r="P401" s="19"/>
      <c r="Q401" s="19"/>
      <c r="R401" s="19"/>
      <c r="S401" s="19"/>
      <c r="T401" s="19"/>
      <c r="U401" s="19"/>
      <c r="V401" s="19"/>
      <c r="W401" s="19"/>
      <c r="X401" s="19"/>
    </row>
    <row r="402" spans="1:24" ht="14.25" customHeight="1" x14ac:dyDescent="0.3">
      <c r="A402" s="19"/>
      <c r="B402" s="19"/>
      <c r="C402" s="20"/>
      <c r="E402" s="28"/>
      <c r="F402" s="20"/>
      <c r="G402" s="19"/>
      <c r="H402" s="19"/>
      <c r="I402" s="19"/>
      <c r="J402" s="20"/>
      <c r="K402" s="20"/>
      <c r="L402" s="19"/>
      <c r="M402" s="19"/>
      <c r="N402" s="19"/>
      <c r="O402" s="19"/>
      <c r="P402" s="19"/>
      <c r="Q402" s="19"/>
      <c r="R402" s="19"/>
      <c r="S402" s="19"/>
      <c r="T402" s="19"/>
      <c r="U402" s="19"/>
      <c r="V402" s="19"/>
      <c r="W402" s="19"/>
      <c r="X402" s="19"/>
    </row>
    <row r="403" spans="1:24" ht="14.25" customHeight="1" x14ac:dyDescent="0.3">
      <c r="A403" s="19"/>
      <c r="B403" s="19"/>
      <c r="C403" s="20"/>
      <c r="E403" s="28"/>
      <c r="F403" s="20"/>
      <c r="G403" s="19"/>
      <c r="H403" s="19"/>
      <c r="I403" s="19"/>
      <c r="J403" s="20"/>
      <c r="K403" s="20"/>
      <c r="L403" s="19"/>
      <c r="M403" s="19"/>
      <c r="N403" s="19"/>
      <c r="O403" s="19"/>
      <c r="P403" s="19"/>
      <c r="Q403" s="19"/>
      <c r="R403" s="19"/>
      <c r="S403" s="19"/>
      <c r="T403" s="19"/>
      <c r="U403" s="19"/>
      <c r="V403" s="19"/>
      <c r="W403" s="19"/>
      <c r="X403" s="19"/>
    </row>
    <row r="404" spans="1:24" ht="14.25" customHeight="1" x14ac:dyDescent="0.3">
      <c r="A404" s="19"/>
      <c r="B404" s="19"/>
      <c r="C404" s="20"/>
      <c r="E404" s="28"/>
      <c r="F404" s="20"/>
      <c r="G404" s="19"/>
      <c r="H404" s="19"/>
      <c r="I404" s="19"/>
      <c r="J404" s="20"/>
      <c r="K404" s="20"/>
      <c r="L404" s="19"/>
      <c r="M404" s="19"/>
      <c r="N404" s="19"/>
      <c r="O404" s="19"/>
      <c r="P404" s="19"/>
      <c r="Q404" s="19"/>
      <c r="R404" s="19"/>
      <c r="S404" s="19"/>
      <c r="T404" s="19"/>
      <c r="U404" s="19"/>
      <c r="V404" s="19"/>
      <c r="W404" s="19"/>
      <c r="X404" s="19"/>
    </row>
    <row r="405" spans="1:24" ht="14.25" customHeight="1" x14ac:dyDescent="0.3">
      <c r="A405" s="19"/>
      <c r="B405" s="19"/>
      <c r="C405" s="20"/>
      <c r="E405" s="28"/>
      <c r="F405" s="20"/>
      <c r="G405" s="19"/>
      <c r="H405" s="19"/>
      <c r="I405" s="19"/>
      <c r="J405" s="20"/>
      <c r="K405" s="20"/>
      <c r="L405" s="19"/>
      <c r="M405" s="19"/>
      <c r="N405" s="19"/>
      <c r="O405" s="19"/>
      <c r="P405" s="19"/>
      <c r="Q405" s="19"/>
      <c r="R405" s="19"/>
      <c r="S405" s="19"/>
      <c r="T405" s="19"/>
      <c r="U405" s="19"/>
      <c r="V405" s="19"/>
      <c r="W405" s="19"/>
      <c r="X405" s="19"/>
    </row>
    <row r="406" spans="1:24" ht="14.25" customHeight="1" x14ac:dyDescent="0.3">
      <c r="A406" s="19"/>
      <c r="B406" s="19"/>
      <c r="C406" s="20"/>
      <c r="E406" s="28"/>
      <c r="F406" s="20"/>
      <c r="G406" s="19"/>
      <c r="H406" s="19"/>
      <c r="I406" s="19"/>
      <c r="J406" s="20"/>
      <c r="K406" s="20"/>
      <c r="L406" s="19"/>
      <c r="M406" s="19"/>
      <c r="N406" s="19"/>
      <c r="O406" s="19"/>
      <c r="P406" s="19"/>
      <c r="Q406" s="19"/>
      <c r="R406" s="19"/>
      <c r="S406" s="19"/>
      <c r="T406" s="19"/>
      <c r="U406" s="19"/>
      <c r="V406" s="19"/>
      <c r="W406" s="19"/>
      <c r="X406" s="19"/>
    </row>
    <row r="407" spans="1:24" ht="14.25" customHeight="1" x14ac:dyDescent="0.3">
      <c r="A407" s="19"/>
      <c r="B407" s="19"/>
      <c r="C407" s="20"/>
      <c r="E407" s="28"/>
      <c r="F407" s="20"/>
      <c r="G407" s="19"/>
      <c r="H407" s="19"/>
      <c r="I407" s="19"/>
      <c r="J407" s="20"/>
      <c r="K407" s="20"/>
      <c r="L407" s="19"/>
      <c r="M407" s="19"/>
      <c r="N407" s="19"/>
      <c r="O407" s="19"/>
      <c r="P407" s="19"/>
      <c r="Q407" s="19"/>
      <c r="R407" s="19"/>
      <c r="S407" s="19"/>
      <c r="T407" s="19"/>
      <c r="U407" s="19"/>
      <c r="V407" s="19"/>
      <c r="W407" s="19"/>
      <c r="X407" s="19"/>
    </row>
    <row r="408" spans="1:24" ht="14.25" customHeight="1" x14ac:dyDescent="0.3">
      <c r="A408" s="19"/>
      <c r="B408" s="19"/>
      <c r="C408" s="20"/>
      <c r="E408" s="28"/>
      <c r="F408" s="20"/>
      <c r="G408" s="19"/>
      <c r="H408" s="19"/>
      <c r="I408" s="19"/>
      <c r="J408" s="20"/>
      <c r="K408" s="20"/>
      <c r="L408" s="19"/>
      <c r="M408" s="19"/>
      <c r="N408" s="19"/>
      <c r="O408" s="19"/>
      <c r="P408" s="19"/>
      <c r="Q408" s="19"/>
      <c r="R408" s="19"/>
      <c r="S408" s="19"/>
      <c r="T408" s="19"/>
      <c r="U408" s="19"/>
      <c r="V408" s="19"/>
      <c r="W408" s="19"/>
      <c r="X408" s="19"/>
    </row>
    <row r="409" spans="1:24" ht="14.25" customHeight="1" x14ac:dyDescent="0.3">
      <c r="A409" s="19"/>
      <c r="B409" s="19"/>
      <c r="C409" s="20"/>
      <c r="E409" s="28"/>
      <c r="F409" s="20"/>
      <c r="G409" s="19"/>
      <c r="H409" s="19"/>
      <c r="I409" s="19"/>
      <c r="J409" s="20"/>
      <c r="K409" s="20"/>
      <c r="L409" s="19"/>
      <c r="M409" s="19"/>
      <c r="N409" s="19"/>
      <c r="O409" s="19"/>
      <c r="P409" s="19"/>
      <c r="Q409" s="19"/>
      <c r="R409" s="19"/>
      <c r="S409" s="19"/>
      <c r="T409" s="19"/>
      <c r="U409" s="19"/>
      <c r="V409" s="19"/>
      <c r="W409" s="19"/>
      <c r="X409" s="19"/>
    </row>
    <row r="410" spans="1:24" ht="14.25" customHeight="1" x14ac:dyDescent="0.3">
      <c r="A410" s="19"/>
      <c r="B410" s="19"/>
      <c r="C410" s="20"/>
      <c r="E410" s="28"/>
      <c r="F410" s="20"/>
      <c r="G410" s="19"/>
      <c r="H410" s="19"/>
      <c r="I410" s="19"/>
      <c r="J410" s="20"/>
      <c r="K410" s="20"/>
      <c r="L410" s="19"/>
      <c r="M410" s="19"/>
      <c r="N410" s="19"/>
      <c r="O410" s="19"/>
      <c r="P410" s="19"/>
      <c r="Q410" s="19"/>
      <c r="R410" s="19"/>
      <c r="S410" s="19"/>
      <c r="T410" s="19"/>
      <c r="U410" s="19"/>
      <c r="V410" s="19"/>
      <c r="W410" s="19"/>
      <c r="X410" s="19"/>
    </row>
    <row r="411" spans="1:24" ht="14.25" customHeight="1" x14ac:dyDescent="0.3">
      <c r="A411" s="19"/>
      <c r="B411" s="19"/>
      <c r="C411" s="20"/>
      <c r="E411" s="28"/>
      <c r="F411" s="20"/>
      <c r="G411" s="19"/>
      <c r="H411" s="19"/>
      <c r="I411" s="19"/>
      <c r="J411" s="20"/>
      <c r="K411" s="20"/>
      <c r="L411" s="19"/>
      <c r="M411" s="19"/>
      <c r="N411" s="19"/>
      <c r="O411" s="19"/>
      <c r="P411" s="19"/>
      <c r="Q411" s="19"/>
      <c r="R411" s="19"/>
      <c r="S411" s="19"/>
      <c r="T411" s="19"/>
      <c r="U411" s="19"/>
      <c r="V411" s="19"/>
      <c r="W411" s="19"/>
      <c r="X411" s="19"/>
    </row>
    <row r="412" spans="1:24" ht="14.25" customHeight="1" x14ac:dyDescent="0.3">
      <c r="A412" s="19"/>
      <c r="B412" s="19"/>
      <c r="C412" s="20"/>
      <c r="E412" s="28"/>
      <c r="F412" s="20"/>
      <c r="G412" s="19"/>
      <c r="H412" s="19"/>
      <c r="I412" s="19"/>
      <c r="J412" s="20"/>
      <c r="K412" s="20"/>
      <c r="L412" s="19"/>
      <c r="M412" s="19"/>
      <c r="N412" s="19"/>
      <c r="O412" s="19"/>
      <c r="P412" s="19"/>
      <c r="Q412" s="19"/>
      <c r="R412" s="19"/>
      <c r="S412" s="19"/>
      <c r="T412" s="19"/>
      <c r="U412" s="19"/>
      <c r="V412" s="19"/>
      <c r="W412" s="19"/>
      <c r="X412" s="19"/>
    </row>
    <row r="413" spans="1:24" ht="14.25" customHeight="1" x14ac:dyDescent="0.3">
      <c r="A413" s="19"/>
      <c r="B413" s="19"/>
      <c r="C413" s="20"/>
      <c r="E413" s="28"/>
      <c r="F413" s="20"/>
      <c r="G413" s="19"/>
      <c r="H413" s="19"/>
      <c r="I413" s="19"/>
      <c r="J413" s="20"/>
      <c r="K413" s="20"/>
      <c r="L413" s="19"/>
      <c r="M413" s="19"/>
      <c r="N413" s="19"/>
      <c r="O413" s="19"/>
      <c r="P413" s="19"/>
      <c r="Q413" s="19"/>
      <c r="R413" s="19"/>
      <c r="S413" s="19"/>
      <c r="T413" s="19"/>
      <c r="U413" s="19"/>
      <c r="V413" s="19"/>
      <c r="W413" s="19"/>
      <c r="X413" s="19"/>
    </row>
    <row r="414" spans="1:24" ht="14.25" customHeight="1" x14ac:dyDescent="0.3">
      <c r="A414" s="19"/>
      <c r="B414" s="19"/>
      <c r="C414" s="20"/>
      <c r="E414" s="28"/>
      <c r="F414" s="20"/>
      <c r="G414" s="19"/>
      <c r="H414" s="19"/>
      <c r="I414" s="19"/>
      <c r="J414" s="20"/>
      <c r="K414" s="20"/>
      <c r="L414" s="19"/>
      <c r="M414" s="19"/>
      <c r="N414" s="19"/>
      <c r="O414" s="19"/>
      <c r="P414" s="19"/>
      <c r="Q414" s="19"/>
      <c r="R414" s="19"/>
      <c r="S414" s="19"/>
      <c r="T414" s="19"/>
      <c r="U414" s="19"/>
      <c r="V414" s="19"/>
      <c r="W414" s="19"/>
      <c r="X414" s="19"/>
    </row>
    <row r="415" spans="1:24" ht="14.25" customHeight="1" x14ac:dyDescent="0.3">
      <c r="A415" s="19"/>
      <c r="B415" s="19"/>
      <c r="C415" s="20"/>
      <c r="E415" s="28"/>
      <c r="F415" s="20"/>
      <c r="G415" s="19"/>
      <c r="H415" s="19"/>
      <c r="I415" s="19"/>
      <c r="J415" s="20"/>
      <c r="K415" s="20"/>
      <c r="L415" s="19"/>
      <c r="M415" s="19"/>
      <c r="N415" s="19"/>
      <c r="O415" s="19"/>
      <c r="P415" s="19"/>
      <c r="Q415" s="19"/>
      <c r="R415" s="19"/>
      <c r="S415" s="19"/>
      <c r="T415" s="19"/>
      <c r="U415" s="19"/>
      <c r="V415" s="19"/>
      <c r="W415" s="19"/>
      <c r="X415" s="19"/>
    </row>
    <row r="416" spans="1:24" ht="14.25" customHeight="1" x14ac:dyDescent="0.3">
      <c r="A416" s="19"/>
      <c r="B416" s="19"/>
      <c r="C416" s="20"/>
      <c r="E416" s="28"/>
      <c r="F416" s="20"/>
      <c r="G416" s="19"/>
      <c r="H416" s="19"/>
      <c r="I416" s="19"/>
      <c r="J416" s="20"/>
      <c r="K416" s="20"/>
      <c r="L416" s="19"/>
      <c r="M416" s="19"/>
      <c r="N416" s="19"/>
      <c r="O416" s="19"/>
      <c r="P416" s="19"/>
      <c r="Q416" s="19"/>
      <c r="R416" s="19"/>
      <c r="S416" s="19"/>
      <c r="T416" s="19"/>
      <c r="U416" s="19"/>
      <c r="V416" s="19"/>
      <c r="W416" s="19"/>
      <c r="X416" s="19"/>
    </row>
    <row r="417" spans="1:24" ht="14.25" customHeight="1" x14ac:dyDescent="0.3">
      <c r="A417" s="19"/>
      <c r="B417" s="19"/>
      <c r="C417" s="20"/>
      <c r="E417" s="28"/>
      <c r="F417" s="20"/>
      <c r="G417" s="19"/>
      <c r="H417" s="19"/>
      <c r="I417" s="19"/>
      <c r="J417" s="20"/>
      <c r="K417" s="20"/>
      <c r="L417" s="19"/>
      <c r="M417" s="19"/>
      <c r="N417" s="19"/>
      <c r="O417" s="19"/>
      <c r="P417" s="19"/>
      <c r="Q417" s="19"/>
      <c r="R417" s="19"/>
      <c r="S417" s="19"/>
      <c r="T417" s="19"/>
      <c r="U417" s="19"/>
      <c r="V417" s="19"/>
      <c r="W417" s="19"/>
      <c r="X417" s="19"/>
    </row>
    <row r="418" spans="1:24" ht="14.25" customHeight="1" x14ac:dyDescent="0.3">
      <c r="A418" s="19"/>
      <c r="B418" s="19"/>
      <c r="C418" s="20"/>
      <c r="E418" s="28"/>
      <c r="F418" s="20"/>
      <c r="G418" s="19"/>
      <c r="H418" s="19"/>
      <c r="I418" s="19"/>
      <c r="J418" s="20"/>
      <c r="K418" s="20"/>
      <c r="L418" s="19"/>
      <c r="M418" s="19"/>
      <c r="N418" s="19"/>
      <c r="O418" s="19"/>
      <c r="P418" s="19"/>
      <c r="Q418" s="19"/>
      <c r="R418" s="19"/>
      <c r="S418" s="19"/>
      <c r="T418" s="19"/>
      <c r="U418" s="19"/>
      <c r="V418" s="19"/>
      <c r="W418" s="19"/>
      <c r="X418" s="19"/>
    </row>
    <row r="419" spans="1:24" ht="14.25" customHeight="1" x14ac:dyDescent="0.3">
      <c r="A419" s="19"/>
      <c r="B419" s="19"/>
      <c r="C419" s="20"/>
      <c r="E419" s="28"/>
      <c r="F419" s="20"/>
      <c r="G419" s="19"/>
      <c r="H419" s="19"/>
      <c r="I419" s="19"/>
      <c r="J419" s="20"/>
      <c r="K419" s="20"/>
      <c r="L419" s="19"/>
      <c r="M419" s="19"/>
      <c r="N419" s="19"/>
      <c r="O419" s="19"/>
      <c r="P419" s="19"/>
      <c r="Q419" s="19"/>
      <c r="R419" s="19"/>
      <c r="S419" s="19"/>
      <c r="T419" s="19"/>
      <c r="U419" s="19"/>
      <c r="V419" s="19"/>
      <c r="W419" s="19"/>
      <c r="X419" s="19"/>
    </row>
    <row r="420" spans="1:24" ht="14.25" customHeight="1" x14ac:dyDescent="0.3">
      <c r="A420" s="19"/>
      <c r="B420" s="19"/>
      <c r="C420" s="20"/>
      <c r="E420" s="28"/>
      <c r="F420" s="20"/>
      <c r="G420" s="19"/>
      <c r="H420" s="19"/>
      <c r="I420" s="19"/>
      <c r="J420" s="20"/>
      <c r="K420" s="20"/>
      <c r="L420" s="19"/>
      <c r="M420" s="19"/>
      <c r="N420" s="19"/>
      <c r="O420" s="19"/>
      <c r="P420" s="19"/>
      <c r="Q420" s="19"/>
      <c r="R420" s="19"/>
      <c r="S420" s="19"/>
      <c r="T420" s="19"/>
      <c r="U420" s="19"/>
      <c r="V420" s="19"/>
      <c r="W420" s="19"/>
      <c r="X420" s="19"/>
    </row>
    <row r="421" spans="1:24" ht="14.25" customHeight="1" x14ac:dyDescent="0.3">
      <c r="A421" s="19"/>
      <c r="B421" s="19"/>
      <c r="C421" s="20"/>
      <c r="E421" s="28"/>
      <c r="F421" s="20"/>
      <c r="G421" s="19"/>
      <c r="H421" s="19"/>
      <c r="I421" s="19"/>
      <c r="J421" s="20"/>
      <c r="K421" s="20"/>
      <c r="L421" s="19"/>
      <c r="M421" s="19"/>
      <c r="N421" s="19"/>
      <c r="O421" s="19"/>
      <c r="P421" s="19"/>
      <c r="Q421" s="19"/>
      <c r="R421" s="19"/>
      <c r="S421" s="19"/>
      <c r="T421" s="19"/>
      <c r="U421" s="19"/>
      <c r="V421" s="19"/>
      <c r="W421" s="19"/>
      <c r="X421" s="19"/>
    </row>
    <row r="422" spans="1:24" ht="14.25" customHeight="1" x14ac:dyDescent="0.3">
      <c r="A422" s="19"/>
      <c r="B422" s="19"/>
      <c r="C422" s="20"/>
      <c r="E422" s="28"/>
      <c r="F422" s="20"/>
      <c r="G422" s="19"/>
      <c r="H422" s="19"/>
      <c r="I422" s="19"/>
      <c r="J422" s="20"/>
      <c r="K422" s="20"/>
      <c r="L422" s="19"/>
      <c r="M422" s="19"/>
      <c r="N422" s="19"/>
      <c r="O422" s="19"/>
      <c r="P422" s="19"/>
      <c r="Q422" s="19"/>
      <c r="R422" s="19"/>
      <c r="S422" s="19"/>
      <c r="T422" s="19"/>
      <c r="U422" s="19"/>
      <c r="V422" s="19"/>
      <c r="W422" s="19"/>
      <c r="X422" s="19"/>
    </row>
    <row r="423" spans="1:24" ht="14.25" customHeight="1" x14ac:dyDescent="0.3">
      <c r="A423" s="19"/>
      <c r="B423" s="19"/>
      <c r="C423" s="20"/>
      <c r="E423" s="28"/>
      <c r="F423" s="20"/>
      <c r="G423" s="19"/>
      <c r="H423" s="19"/>
      <c r="I423" s="19"/>
      <c r="J423" s="20"/>
      <c r="K423" s="20"/>
      <c r="L423" s="19"/>
      <c r="M423" s="19"/>
      <c r="N423" s="19"/>
      <c r="O423" s="19"/>
      <c r="P423" s="19"/>
      <c r="Q423" s="19"/>
      <c r="R423" s="19"/>
      <c r="S423" s="19"/>
      <c r="T423" s="19"/>
      <c r="U423" s="19"/>
      <c r="V423" s="19"/>
      <c r="W423" s="19"/>
      <c r="X423" s="19"/>
    </row>
    <row r="424" spans="1:24" ht="14.25" customHeight="1" x14ac:dyDescent="0.3">
      <c r="A424" s="19"/>
      <c r="B424" s="19"/>
      <c r="C424" s="20"/>
      <c r="E424" s="28"/>
      <c r="F424" s="20"/>
      <c r="G424" s="19"/>
      <c r="H424" s="19"/>
      <c r="I424" s="19"/>
      <c r="J424" s="20"/>
      <c r="K424" s="20"/>
      <c r="L424" s="19"/>
      <c r="M424" s="19"/>
      <c r="N424" s="19"/>
      <c r="O424" s="19"/>
      <c r="P424" s="19"/>
      <c r="Q424" s="19"/>
      <c r="R424" s="19"/>
      <c r="S424" s="19"/>
      <c r="T424" s="19"/>
      <c r="U424" s="19"/>
      <c r="V424" s="19"/>
      <c r="W424" s="19"/>
      <c r="X424" s="19"/>
    </row>
    <row r="425" spans="1:24" ht="14.25" customHeight="1" x14ac:dyDescent="0.3">
      <c r="A425" s="19"/>
      <c r="B425" s="19"/>
      <c r="C425" s="20"/>
      <c r="E425" s="28"/>
      <c r="F425" s="20"/>
      <c r="G425" s="19"/>
      <c r="H425" s="19"/>
      <c r="I425" s="19"/>
      <c r="J425" s="20"/>
      <c r="K425" s="20"/>
      <c r="L425" s="19"/>
      <c r="M425" s="19"/>
      <c r="N425" s="19"/>
      <c r="O425" s="19"/>
      <c r="P425" s="19"/>
      <c r="Q425" s="19"/>
      <c r="R425" s="19"/>
      <c r="S425" s="19"/>
      <c r="T425" s="19"/>
      <c r="U425" s="19"/>
      <c r="V425" s="19"/>
      <c r="W425" s="19"/>
      <c r="X425" s="19"/>
    </row>
    <row r="426" spans="1:24" ht="14.25" customHeight="1" x14ac:dyDescent="0.3">
      <c r="A426" s="19"/>
      <c r="B426" s="19"/>
      <c r="C426" s="20"/>
      <c r="E426" s="28"/>
      <c r="F426" s="20"/>
      <c r="G426" s="19"/>
      <c r="H426" s="19"/>
      <c r="I426" s="19"/>
      <c r="J426" s="20"/>
      <c r="K426" s="20"/>
      <c r="L426" s="19"/>
      <c r="M426" s="19"/>
      <c r="N426" s="19"/>
      <c r="O426" s="19"/>
      <c r="P426" s="19"/>
      <c r="Q426" s="19"/>
      <c r="R426" s="19"/>
      <c r="S426" s="19"/>
      <c r="T426" s="19"/>
      <c r="U426" s="19"/>
      <c r="V426" s="19"/>
      <c r="W426" s="19"/>
      <c r="X426" s="19"/>
    </row>
    <row r="427" spans="1:24" ht="14.25" customHeight="1" x14ac:dyDescent="0.3">
      <c r="A427" s="19"/>
      <c r="B427" s="19"/>
      <c r="C427" s="20"/>
      <c r="E427" s="28"/>
      <c r="F427" s="20"/>
      <c r="G427" s="19"/>
      <c r="H427" s="19"/>
      <c r="I427" s="19"/>
      <c r="J427" s="20"/>
      <c r="K427" s="20"/>
      <c r="L427" s="19"/>
      <c r="M427" s="19"/>
      <c r="N427" s="19"/>
      <c r="O427" s="19"/>
      <c r="P427" s="19"/>
      <c r="Q427" s="19"/>
      <c r="R427" s="19"/>
      <c r="S427" s="19"/>
      <c r="T427" s="19"/>
      <c r="U427" s="19"/>
      <c r="V427" s="19"/>
      <c r="W427" s="19"/>
      <c r="X427" s="19"/>
    </row>
    <row r="428" spans="1:24" ht="14.25" customHeight="1" x14ac:dyDescent="0.3">
      <c r="A428" s="19"/>
      <c r="B428" s="19"/>
      <c r="C428" s="20"/>
      <c r="E428" s="28"/>
      <c r="F428" s="20"/>
      <c r="G428" s="19"/>
      <c r="H428" s="19"/>
      <c r="I428" s="19"/>
      <c r="J428" s="20"/>
      <c r="K428" s="20"/>
      <c r="L428" s="19"/>
      <c r="M428" s="19"/>
      <c r="N428" s="19"/>
      <c r="O428" s="19"/>
      <c r="P428" s="19"/>
      <c r="Q428" s="19"/>
      <c r="R428" s="19"/>
      <c r="S428" s="19"/>
      <c r="T428" s="19"/>
      <c r="U428" s="19"/>
      <c r="V428" s="19"/>
      <c r="W428" s="19"/>
      <c r="X428" s="19"/>
    </row>
    <row r="429" spans="1:24" ht="14.25" customHeight="1" x14ac:dyDescent="0.3">
      <c r="A429" s="19"/>
      <c r="B429" s="19"/>
      <c r="C429" s="20"/>
      <c r="E429" s="28"/>
      <c r="F429" s="20"/>
      <c r="G429" s="19"/>
      <c r="H429" s="19"/>
      <c r="I429" s="19"/>
      <c r="J429" s="20"/>
      <c r="K429" s="20"/>
      <c r="L429" s="19"/>
      <c r="M429" s="19"/>
      <c r="N429" s="19"/>
      <c r="O429" s="19"/>
      <c r="P429" s="19"/>
      <c r="Q429" s="19"/>
      <c r="R429" s="19"/>
      <c r="S429" s="19"/>
      <c r="T429" s="19"/>
      <c r="U429" s="19"/>
      <c r="V429" s="19"/>
      <c r="W429" s="19"/>
      <c r="X429" s="19"/>
    </row>
    <row r="430" spans="1:24" ht="14.25" customHeight="1" x14ac:dyDescent="0.3">
      <c r="A430" s="19"/>
      <c r="B430" s="19"/>
      <c r="C430" s="20"/>
      <c r="E430" s="28"/>
      <c r="F430" s="20"/>
      <c r="G430" s="19"/>
      <c r="H430" s="19"/>
      <c r="I430" s="19"/>
      <c r="J430" s="20"/>
      <c r="K430" s="20"/>
      <c r="L430" s="19"/>
      <c r="M430" s="19"/>
      <c r="N430" s="19"/>
      <c r="O430" s="19"/>
      <c r="P430" s="19"/>
      <c r="Q430" s="19"/>
      <c r="R430" s="19"/>
      <c r="S430" s="19"/>
      <c r="T430" s="19"/>
      <c r="U430" s="19"/>
      <c r="V430" s="19"/>
      <c r="W430" s="19"/>
      <c r="X430" s="19"/>
    </row>
    <row r="431" spans="1:24" ht="14.25" customHeight="1" x14ac:dyDescent="0.3">
      <c r="A431" s="19"/>
      <c r="B431" s="19"/>
      <c r="C431" s="20"/>
      <c r="E431" s="28"/>
      <c r="F431" s="20"/>
      <c r="G431" s="19"/>
      <c r="H431" s="19"/>
      <c r="I431" s="19"/>
      <c r="J431" s="20"/>
      <c r="K431" s="20"/>
      <c r="L431" s="19"/>
      <c r="M431" s="19"/>
      <c r="N431" s="19"/>
      <c r="O431" s="19"/>
      <c r="P431" s="19"/>
      <c r="Q431" s="19"/>
      <c r="R431" s="19"/>
      <c r="S431" s="19"/>
      <c r="T431" s="19"/>
      <c r="U431" s="19"/>
      <c r="V431" s="19"/>
      <c r="W431" s="19"/>
      <c r="X431" s="19"/>
    </row>
    <row r="432" spans="1:24" ht="14.25" customHeight="1" x14ac:dyDescent="0.3">
      <c r="A432" s="19"/>
      <c r="B432" s="19"/>
      <c r="C432" s="20"/>
      <c r="E432" s="28"/>
      <c r="F432" s="20"/>
      <c r="G432" s="19"/>
      <c r="H432" s="19"/>
      <c r="I432" s="19"/>
      <c r="J432" s="20"/>
      <c r="K432" s="20"/>
      <c r="L432" s="19"/>
      <c r="M432" s="19"/>
      <c r="N432" s="19"/>
      <c r="O432" s="19"/>
      <c r="P432" s="19"/>
      <c r="Q432" s="19"/>
      <c r="R432" s="19"/>
      <c r="S432" s="19"/>
      <c r="T432" s="19"/>
      <c r="U432" s="19"/>
      <c r="V432" s="19"/>
      <c r="W432" s="19"/>
      <c r="X432" s="19"/>
    </row>
    <row r="433" spans="1:24" ht="14.25" customHeight="1" x14ac:dyDescent="0.3">
      <c r="A433" s="19"/>
      <c r="B433" s="19"/>
      <c r="C433" s="20"/>
      <c r="E433" s="28"/>
      <c r="F433" s="20"/>
      <c r="G433" s="19"/>
      <c r="H433" s="19"/>
      <c r="I433" s="19"/>
      <c r="J433" s="20"/>
      <c r="K433" s="20"/>
      <c r="L433" s="19"/>
      <c r="M433" s="19"/>
      <c r="N433" s="19"/>
      <c r="O433" s="19"/>
      <c r="P433" s="19"/>
      <c r="Q433" s="19"/>
      <c r="R433" s="19"/>
      <c r="S433" s="19"/>
      <c r="T433" s="19"/>
      <c r="U433" s="19"/>
      <c r="V433" s="19"/>
      <c r="W433" s="19"/>
      <c r="X433" s="19"/>
    </row>
    <row r="434" spans="1:24" ht="14.25" customHeight="1" x14ac:dyDescent="0.3">
      <c r="A434" s="19"/>
      <c r="B434" s="19"/>
      <c r="C434" s="20"/>
      <c r="E434" s="28"/>
      <c r="F434" s="20"/>
      <c r="G434" s="19"/>
      <c r="H434" s="19"/>
      <c r="I434" s="19"/>
      <c r="J434" s="20"/>
      <c r="K434" s="20"/>
      <c r="L434" s="19"/>
      <c r="M434" s="19"/>
      <c r="N434" s="19"/>
      <c r="O434" s="19"/>
      <c r="P434" s="19"/>
      <c r="Q434" s="19"/>
      <c r="R434" s="19"/>
      <c r="S434" s="19"/>
      <c r="T434" s="19"/>
      <c r="U434" s="19"/>
      <c r="V434" s="19"/>
      <c r="W434" s="19"/>
      <c r="X434" s="19"/>
    </row>
    <row r="435" spans="1:24" ht="14.25" customHeight="1" x14ac:dyDescent="0.3">
      <c r="A435" s="19"/>
      <c r="B435" s="19"/>
      <c r="C435" s="20"/>
      <c r="E435" s="28"/>
      <c r="F435" s="20"/>
      <c r="G435" s="19"/>
      <c r="H435" s="19"/>
      <c r="I435" s="19"/>
      <c r="J435" s="20"/>
      <c r="K435" s="20"/>
      <c r="L435" s="19"/>
      <c r="M435" s="19"/>
      <c r="N435" s="19"/>
      <c r="O435" s="19"/>
      <c r="P435" s="19"/>
      <c r="Q435" s="19"/>
      <c r="R435" s="19"/>
      <c r="S435" s="19"/>
      <c r="T435" s="19"/>
      <c r="U435" s="19"/>
      <c r="V435" s="19"/>
      <c r="W435" s="19"/>
      <c r="X435" s="19"/>
    </row>
    <row r="436" spans="1:24" ht="14.25" customHeight="1" x14ac:dyDescent="0.3">
      <c r="A436" s="19"/>
      <c r="B436" s="19"/>
      <c r="C436" s="20"/>
      <c r="E436" s="28"/>
      <c r="F436" s="20"/>
      <c r="G436" s="19"/>
      <c r="H436" s="19"/>
      <c r="I436" s="19"/>
      <c r="J436" s="20"/>
      <c r="K436" s="20"/>
      <c r="L436" s="19"/>
      <c r="M436" s="19"/>
      <c r="N436" s="19"/>
      <c r="O436" s="19"/>
      <c r="P436" s="19"/>
      <c r="Q436" s="19"/>
      <c r="R436" s="19"/>
      <c r="S436" s="19"/>
      <c r="T436" s="19"/>
      <c r="U436" s="19"/>
      <c r="V436" s="19"/>
      <c r="W436" s="19"/>
      <c r="X436" s="19"/>
    </row>
    <row r="437" spans="1:24" ht="14.25" customHeight="1" x14ac:dyDescent="0.3">
      <c r="A437" s="19"/>
      <c r="B437" s="19"/>
      <c r="C437" s="20"/>
      <c r="E437" s="28"/>
      <c r="F437" s="20"/>
      <c r="G437" s="19"/>
      <c r="H437" s="19"/>
      <c r="I437" s="19"/>
      <c r="J437" s="20"/>
      <c r="K437" s="20"/>
      <c r="L437" s="19"/>
      <c r="M437" s="19"/>
      <c r="N437" s="19"/>
      <c r="O437" s="19"/>
      <c r="P437" s="19"/>
      <c r="Q437" s="19"/>
      <c r="R437" s="19"/>
      <c r="S437" s="19"/>
      <c r="T437" s="19"/>
      <c r="U437" s="19"/>
      <c r="V437" s="19"/>
      <c r="W437" s="19"/>
      <c r="X437" s="19"/>
    </row>
    <row r="438" spans="1:24" ht="14.25" customHeight="1" x14ac:dyDescent="0.3">
      <c r="A438" s="19"/>
      <c r="B438" s="19"/>
      <c r="C438" s="20"/>
      <c r="E438" s="28"/>
      <c r="F438" s="20"/>
      <c r="G438" s="19"/>
      <c r="H438" s="19"/>
      <c r="I438" s="19"/>
      <c r="J438" s="20"/>
      <c r="K438" s="20"/>
      <c r="L438" s="19"/>
      <c r="M438" s="19"/>
      <c r="N438" s="19"/>
      <c r="O438" s="19"/>
      <c r="P438" s="19"/>
      <c r="Q438" s="19"/>
      <c r="R438" s="19"/>
      <c r="S438" s="19"/>
      <c r="T438" s="19"/>
      <c r="U438" s="19"/>
      <c r="V438" s="19"/>
      <c r="W438" s="19"/>
      <c r="X438" s="19"/>
    </row>
    <row r="439" spans="1:24" ht="14.25" customHeight="1" x14ac:dyDescent="0.3">
      <c r="A439" s="19"/>
      <c r="B439" s="19"/>
      <c r="C439" s="20"/>
      <c r="E439" s="28"/>
      <c r="F439" s="20"/>
      <c r="G439" s="19"/>
      <c r="H439" s="19"/>
      <c r="I439" s="19"/>
      <c r="J439" s="20"/>
      <c r="K439" s="20"/>
      <c r="L439" s="19"/>
      <c r="M439" s="19"/>
      <c r="N439" s="19"/>
      <c r="O439" s="19"/>
      <c r="P439" s="19"/>
      <c r="Q439" s="19"/>
      <c r="R439" s="19"/>
      <c r="S439" s="19"/>
      <c r="T439" s="19"/>
      <c r="U439" s="19"/>
      <c r="V439" s="19"/>
      <c r="W439" s="19"/>
      <c r="X439" s="19"/>
    </row>
    <row r="440" spans="1:24" ht="14.25" customHeight="1" x14ac:dyDescent="0.3">
      <c r="A440" s="19"/>
      <c r="B440" s="19"/>
      <c r="C440" s="20"/>
      <c r="E440" s="28"/>
      <c r="F440" s="20"/>
      <c r="G440" s="19"/>
      <c r="H440" s="19"/>
      <c r="I440" s="19"/>
      <c r="J440" s="20"/>
      <c r="K440" s="20"/>
      <c r="L440" s="19"/>
      <c r="M440" s="19"/>
      <c r="N440" s="19"/>
      <c r="O440" s="19"/>
      <c r="P440" s="19"/>
      <c r="Q440" s="19"/>
      <c r="R440" s="19"/>
      <c r="S440" s="19"/>
      <c r="T440" s="19"/>
      <c r="U440" s="19"/>
      <c r="V440" s="19"/>
      <c r="W440" s="19"/>
      <c r="X440" s="19"/>
    </row>
    <row r="441" spans="1:24" ht="14.25" customHeight="1" x14ac:dyDescent="0.3">
      <c r="A441" s="19"/>
      <c r="B441" s="19"/>
      <c r="C441" s="20"/>
      <c r="E441" s="28"/>
      <c r="F441" s="20"/>
      <c r="G441" s="19"/>
      <c r="H441" s="19"/>
      <c r="I441" s="19"/>
      <c r="J441" s="20"/>
      <c r="K441" s="20"/>
      <c r="L441" s="19"/>
      <c r="M441" s="19"/>
      <c r="N441" s="19"/>
      <c r="O441" s="19"/>
      <c r="P441" s="19"/>
      <c r="Q441" s="19"/>
      <c r="R441" s="19"/>
      <c r="S441" s="19"/>
      <c r="T441" s="19"/>
      <c r="U441" s="19"/>
      <c r="V441" s="19"/>
      <c r="W441" s="19"/>
      <c r="X441" s="19"/>
    </row>
    <row r="442" spans="1:24" ht="14.25" customHeight="1" x14ac:dyDescent="0.3">
      <c r="A442" s="19"/>
      <c r="B442" s="19"/>
      <c r="C442" s="20"/>
      <c r="E442" s="28"/>
      <c r="F442" s="20"/>
      <c r="G442" s="19"/>
      <c r="H442" s="19"/>
      <c r="I442" s="19"/>
      <c r="J442" s="20"/>
      <c r="K442" s="20"/>
      <c r="L442" s="19"/>
      <c r="M442" s="19"/>
      <c r="N442" s="19"/>
      <c r="O442" s="19"/>
      <c r="P442" s="19"/>
      <c r="Q442" s="19"/>
      <c r="R442" s="19"/>
      <c r="S442" s="19"/>
      <c r="T442" s="19"/>
      <c r="U442" s="19"/>
      <c r="V442" s="19"/>
      <c r="W442" s="19"/>
      <c r="X442" s="19"/>
    </row>
    <row r="443" spans="1:24" ht="14.25" customHeight="1" x14ac:dyDescent="0.3">
      <c r="A443" s="19"/>
      <c r="B443" s="19"/>
      <c r="C443" s="20"/>
      <c r="E443" s="28"/>
      <c r="F443" s="20"/>
      <c r="G443" s="19"/>
      <c r="H443" s="19"/>
      <c r="I443" s="19"/>
      <c r="J443" s="20"/>
      <c r="K443" s="20"/>
      <c r="L443" s="19"/>
      <c r="M443" s="19"/>
      <c r="N443" s="19"/>
      <c r="O443" s="19"/>
      <c r="P443" s="19"/>
      <c r="Q443" s="19"/>
      <c r="R443" s="19"/>
      <c r="S443" s="19"/>
      <c r="T443" s="19"/>
      <c r="U443" s="19"/>
      <c r="V443" s="19"/>
      <c r="W443" s="19"/>
      <c r="X443" s="19"/>
    </row>
    <row r="444" spans="1:24" ht="14.25" customHeight="1" x14ac:dyDescent="0.3">
      <c r="A444" s="19"/>
      <c r="B444" s="19"/>
      <c r="C444" s="20"/>
      <c r="E444" s="28"/>
      <c r="F444" s="20"/>
      <c r="G444" s="19"/>
      <c r="H444" s="19"/>
      <c r="I444" s="19"/>
      <c r="J444" s="20"/>
      <c r="K444" s="20"/>
      <c r="L444" s="19"/>
      <c r="M444" s="19"/>
      <c r="N444" s="19"/>
      <c r="O444" s="19"/>
      <c r="P444" s="19"/>
      <c r="Q444" s="19"/>
      <c r="R444" s="19"/>
      <c r="S444" s="19"/>
      <c r="T444" s="19"/>
      <c r="U444" s="19"/>
      <c r="V444" s="19"/>
      <c r="W444" s="19"/>
      <c r="X444" s="19"/>
    </row>
    <row r="445" spans="1:24" ht="14.25" customHeight="1" x14ac:dyDescent="0.3">
      <c r="A445" s="19"/>
      <c r="B445" s="19"/>
      <c r="C445" s="20"/>
      <c r="E445" s="28"/>
      <c r="F445" s="20"/>
      <c r="G445" s="19"/>
      <c r="H445" s="19"/>
      <c r="I445" s="19"/>
      <c r="J445" s="20"/>
      <c r="K445" s="20"/>
      <c r="L445" s="19"/>
      <c r="M445" s="19"/>
      <c r="N445" s="19"/>
      <c r="O445" s="19"/>
      <c r="P445" s="19"/>
      <c r="Q445" s="19"/>
      <c r="R445" s="19"/>
      <c r="S445" s="19"/>
      <c r="T445" s="19"/>
      <c r="U445" s="19"/>
      <c r="V445" s="19"/>
      <c r="W445" s="19"/>
      <c r="X445" s="19"/>
    </row>
    <row r="446" spans="1:24" ht="14.25" customHeight="1" x14ac:dyDescent="0.3">
      <c r="A446" s="19"/>
      <c r="B446" s="19"/>
      <c r="C446" s="20"/>
      <c r="E446" s="28"/>
      <c r="F446" s="20"/>
      <c r="G446" s="19"/>
      <c r="H446" s="19"/>
      <c r="I446" s="19"/>
      <c r="J446" s="20"/>
      <c r="K446" s="20"/>
      <c r="L446" s="19"/>
      <c r="M446" s="19"/>
      <c r="N446" s="19"/>
      <c r="O446" s="19"/>
      <c r="P446" s="19"/>
      <c r="Q446" s="19"/>
      <c r="R446" s="19"/>
      <c r="S446" s="19"/>
      <c r="T446" s="19"/>
      <c r="U446" s="19"/>
      <c r="V446" s="19"/>
      <c r="W446" s="19"/>
      <c r="X446" s="19"/>
    </row>
    <row r="447" spans="1:24" ht="14.25" customHeight="1" x14ac:dyDescent="0.3">
      <c r="A447" s="19"/>
      <c r="B447" s="19"/>
      <c r="C447" s="20"/>
      <c r="E447" s="28"/>
      <c r="F447" s="20"/>
      <c r="G447" s="19"/>
      <c r="H447" s="19"/>
      <c r="I447" s="19"/>
      <c r="J447" s="20"/>
      <c r="K447" s="20"/>
      <c r="L447" s="19"/>
      <c r="M447" s="19"/>
      <c r="N447" s="19"/>
      <c r="O447" s="19"/>
      <c r="P447" s="19"/>
      <c r="Q447" s="19"/>
      <c r="R447" s="19"/>
      <c r="S447" s="19"/>
      <c r="T447" s="19"/>
      <c r="U447" s="19"/>
      <c r="V447" s="19"/>
      <c r="W447" s="19"/>
      <c r="X447" s="19"/>
    </row>
    <row r="448" spans="1:24" ht="14.25" customHeight="1" x14ac:dyDescent="0.3">
      <c r="A448" s="19"/>
      <c r="B448" s="19"/>
      <c r="C448" s="20"/>
      <c r="E448" s="28"/>
      <c r="F448" s="20"/>
      <c r="G448" s="19"/>
      <c r="H448" s="19"/>
      <c r="I448" s="19"/>
      <c r="J448" s="20"/>
      <c r="K448" s="20"/>
      <c r="L448" s="19"/>
      <c r="M448" s="19"/>
      <c r="N448" s="19"/>
      <c r="O448" s="19"/>
      <c r="P448" s="19"/>
      <c r="Q448" s="19"/>
      <c r="R448" s="19"/>
      <c r="S448" s="19"/>
      <c r="T448" s="19"/>
      <c r="U448" s="19"/>
      <c r="V448" s="19"/>
      <c r="W448" s="19"/>
      <c r="X448" s="19"/>
    </row>
    <row r="449" spans="1:24" ht="14.25" customHeight="1" x14ac:dyDescent="0.3">
      <c r="A449" s="19"/>
      <c r="B449" s="19"/>
      <c r="C449" s="20"/>
      <c r="E449" s="28"/>
      <c r="F449" s="20"/>
      <c r="G449" s="19"/>
      <c r="H449" s="19"/>
      <c r="I449" s="19"/>
      <c r="J449" s="20"/>
      <c r="K449" s="20"/>
      <c r="L449" s="19"/>
      <c r="M449" s="19"/>
      <c r="N449" s="19"/>
      <c r="O449" s="19"/>
      <c r="P449" s="19"/>
      <c r="Q449" s="19"/>
      <c r="R449" s="19"/>
      <c r="S449" s="19"/>
      <c r="T449" s="19"/>
      <c r="U449" s="19"/>
      <c r="V449" s="19"/>
      <c r="W449" s="19"/>
      <c r="X449" s="19"/>
    </row>
    <row r="450" spans="1:24" ht="14.25" customHeight="1" x14ac:dyDescent="0.3">
      <c r="A450" s="19"/>
      <c r="B450" s="19"/>
      <c r="C450" s="20"/>
      <c r="E450" s="28"/>
      <c r="F450" s="20"/>
      <c r="G450" s="19"/>
      <c r="H450" s="19"/>
      <c r="I450" s="19"/>
      <c r="J450" s="20"/>
      <c r="K450" s="20"/>
      <c r="L450" s="19"/>
      <c r="M450" s="19"/>
      <c r="N450" s="19"/>
      <c r="O450" s="19"/>
      <c r="P450" s="19"/>
      <c r="Q450" s="19"/>
      <c r="R450" s="19"/>
      <c r="S450" s="19"/>
      <c r="T450" s="19"/>
      <c r="U450" s="19"/>
      <c r="V450" s="19"/>
      <c r="W450" s="19"/>
      <c r="X450" s="19"/>
    </row>
    <row r="451" spans="1:24" ht="14.25" customHeight="1" x14ac:dyDescent="0.3">
      <c r="A451" s="19"/>
      <c r="B451" s="19"/>
      <c r="C451" s="20"/>
      <c r="E451" s="28"/>
      <c r="F451" s="20"/>
      <c r="G451" s="19"/>
      <c r="H451" s="19"/>
      <c r="I451" s="19"/>
      <c r="J451" s="20"/>
      <c r="K451" s="20"/>
      <c r="L451" s="19"/>
      <c r="M451" s="19"/>
      <c r="N451" s="19"/>
      <c r="O451" s="19"/>
      <c r="P451" s="19"/>
      <c r="Q451" s="19"/>
      <c r="R451" s="19"/>
      <c r="S451" s="19"/>
      <c r="T451" s="19"/>
      <c r="U451" s="19"/>
      <c r="V451" s="19"/>
      <c r="W451" s="19"/>
      <c r="X451" s="19"/>
    </row>
    <row r="452" spans="1:24" ht="14.25" customHeight="1" x14ac:dyDescent="0.3">
      <c r="A452" s="19"/>
      <c r="B452" s="19"/>
      <c r="C452" s="20"/>
      <c r="E452" s="28"/>
      <c r="F452" s="20"/>
      <c r="G452" s="19"/>
      <c r="H452" s="19"/>
      <c r="I452" s="19"/>
      <c r="J452" s="20"/>
      <c r="K452" s="20"/>
      <c r="L452" s="19"/>
      <c r="M452" s="19"/>
      <c r="N452" s="19"/>
      <c r="O452" s="19"/>
      <c r="P452" s="19"/>
      <c r="Q452" s="19"/>
      <c r="R452" s="19"/>
      <c r="S452" s="19"/>
      <c r="T452" s="19"/>
      <c r="U452" s="19"/>
      <c r="V452" s="19"/>
      <c r="W452" s="19"/>
      <c r="X452" s="19"/>
    </row>
    <row r="453" spans="1:24" ht="14.25" customHeight="1" x14ac:dyDescent="0.3">
      <c r="A453" s="19"/>
      <c r="B453" s="19"/>
      <c r="C453" s="20"/>
      <c r="E453" s="28"/>
      <c r="F453" s="20"/>
      <c r="G453" s="19"/>
      <c r="H453" s="19"/>
      <c r="I453" s="19"/>
      <c r="J453" s="20"/>
      <c r="K453" s="20"/>
      <c r="L453" s="19"/>
      <c r="M453" s="19"/>
      <c r="N453" s="19"/>
      <c r="O453" s="19"/>
      <c r="P453" s="19"/>
      <c r="Q453" s="19"/>
      <c r="R453" s="19"/>
      <c r="S453" s="19"/>
      <c r="T453" s="19"/>
      <c r="U453" s="19"/>
      <c r="V453" s="19"/>
      <c r="W453" s="19"/>
      <c r="X453" s="19"/>
    </row>
    <row r="454" spans="1:24" ht="14.25" customHeight="1" x14ac:dyDescent="0.3">
      <c r="A454" s="19"/>
      <c r="B454" s="19"/>
      <c r="C454" s="20"/>
      <c r="E454" s="28"/>
      <c r="F454" s="20"/>
      <c r="G454" s="19"/>
      <c r="H454" s="19"/>
      <c r="I454" s="19"/>
      <c r="J454" s="20"/>
      <c r="K454" s="20"/>
      <c r="L454" s="19"/>
      <c r="M454" s="19"/>
      <c r="N454" s="19"/>
      <c r="O454" s="19"/>
      <c r="P454" s="19"/>
      <c r="Q454" s="19"/>
      <c r="R454" s="19"/>
      <c r="S454" s="19"/>
      <c r="T454" s="19"/>
      <c r="U454" s="19"/>
      <c r="V454" s="19"/>
      <c r="W454" s="19"/>
      <c r="X454" s="19"/>
    </row>
    <row r="455" spans="1:24" ht="14.25" customHeight="1" x14ac:dyDescent="0.3">
      <c r="A455" s="19"/>
      <c r="B455" s="19"/>
      <c r="C455" s="20"/>
      <c r="E455" s="28"/>
      <c r="F455" s="20"/>
      <c r="G455" s="19"/>
      <c r="H455" s="19"/>
      <c r="I455" s="19"/>
      <c r="J455" s="20"/>
      <c r="K455" s="20"/>
      <c r="L455" s="19"/>
      <c r="M455" s="19"/>
      <c r="N455" s="19"/>
      <c r="O455" s="19"/>
      <c r="P455" s="19"/>
      <c r="Q455" s="19"/>
      <c r="R455" s="19"/>
      <c r="S455" s="19"/>
      <c r="T455" s="19"/>
      <c r="U455" s="19"/>
      <c r="V455" s="19"/>
      <c r="W455" s="19"/>
      <c r="X455" s="19"/>
    </row>
    <row r="456" spans="1:24" ht="14.25" customHeight="1" x14ac:dyDescent="0.3">
      <c r="A456" s="19"/>
      <c r="B456" s="19"/>
      <c r="C456" s="20"/>
      <c r="E456" s="28"/>
      <c r="F456" s="20"/>
      <c r="G456" s="19"/>
      <c r="H456" s="19"/>
      <c r="I456" s="19"/>
      <c r="J456" s="20"/>
      <c r="K456" s="20"/>
      <c r="L456" s="19"/>
      <c r="M456" s="19"/>
      <c r="N456" s="19"/>
      <c r="O456" s="19"/>
      <c r="P456" s="19"/>
      <c r="Q456" s="19"/>
      <c r="R456" s="19"/>
      <c r="S456" s="19"/>
      <c r="T456" s="19"/>
      <c r="U456" s="19"/>
      <c r="V456" s="19"/>
      <c r="W456" s="19"/>
      <c r="X456" s="19"/>
    </row>
    <row r="457" spans="1:24" ht="14.25" customHeight="1" x14ac:dyDescent="0.3">
      <c r="A457" s="19"/>
      <c r="B457" s="19"/>
      <c r="C457" s="20"/>
      <c r="E457" s="28"/>
      <c r="F457" s="20"/>
      <c r="G457" s="19"/>
      <c r="H457" s="19"/>
      <c r="I457" s="19"/>
      <c r="J457" s="20"/>
      <c r="K457" s="20"/>
      <c r="L457" s="19"/>
      <c r="M457" s="19"/>
      <c r="N457" s="19"/>
      <c r="O457" s="19"/>
      <c r="P457" s="19"/>
      <c r="Q457" s="19"/>
      <c r="R457" s="19"/>
      <c r="S457" s="19"/>
      <c r="T457" s="19"/>
      <c r="U457" s="19"/>
      <c r="V457" s="19"/>
      <c r="W457" s="19"/>
      <c r="X457" s="19"/>
    </row>
    <row r="458" spans="1:24" ht="14.25" customHeight="1" x14ac:dyDescent="0.3">
      <c r="A458" s="19"/>
      <c r="B458" s="19"/>
      <c r="C458" s="20"/>
      <c r="E458" s="28"/>
      <c r="F458" s="20"/>
      <c r="G458" s="19"/>
      <c r="H458" s="19"/>
      <c r="I458" s="19"/>
      <c r="J458" s="20"/>
      <c r="K458" s="20"/>
      <c r="L458" s="19"/>
      <c r="M458" s="19"/>
      <c r="N458" s="19"/>
      <c r="O458" s="19"/>
      <c r="P458" s="19"/>
      <c r="Q458" s="19"/>
      <c r="R458" s="19"/>
      <c r="S458" s="19"/>
      <c r="T458" s="19"/>
      <c r="U458" s="19"/>
      <c r="V458" s="19"/>
      <c r="W458" s="19"/>
      <c r="X458" s="19"/>
    </row>
    <row r="459" spans="1:24" ht="14.25" customHeight="1" x14ac:dyDescent="0.3">
      <c r="A459" s="19"/>
      <c r="B459" s="19"/>
      <c r="C459" s="20"/>
      <c r="E459" s="28"/>
      <c r="F459" s="20"/>
      <c r="G459" s="19"/>
      <c r="H459" s="19"/>
      <c r="I459" s="19"/>
      <c r="J459" s="20"/>
      <c r="K459" s="20"/>
      <c r="L459" s="19"/>
      <c r="M459" s="19"/>
      <c r="N459" s="19"/>
      <c r="O459" s="19"/>
      <c r="P459" s="19"/>
      <c r="Q459" s="19"/>
      <c r="R459" s="19"/>
      <c r="S459" s="19"/>
      <c r="T459" s="19"/>
      <c r="U459" s="19"/>
      <c r="V459" s="19"/>
      <c r="W459" s="19"/>
      <c r="X459" s="19"/>
    </row>
    <row r="460" spans="1:24" ht="14.25" customHeight="1" x14ac:dyDescent="0.3">
      <c r="A460" s="19"/>
      <c r="B460" s="19"/>
      <c r="C460" s="20"/>
      <c r="E460" s="28"/>
      <c r="F460" s="20"/>
      <c r="G460" s="19"/>
      <c r="H460" s="19"/>
      <c r="I460" s="19"/>
      <c r="J460" s="20"/>
      <c r="K460" s="20"/>
      <c r="L460" s="19"/>
      <c r="M460" s="19"/>
      <c r="N460" s="19"/>
      <c r="O460" s="19"/>
      <c r="P460" s="19"/>
      <c r="Q460" s="19"/>
      <c r="R460" s="19"/>
      <c r="S460" s="19"/>
      <c r="T460" s="19"/>
      <c r="U460" s="19"/>
      <c r="V460" s="19"/>
      <c r="W460" s="19"/>
      <c r="X460" s="19"/>
    </row>
    <row r="461" spans="1:24" ht="14.25" customHeight="1" x14ac:dyDescent="0.3">
      <c r="A461" s="19"/>
      <c r="B461" s="19"/>
      <c r="C461" s="20"/>
      <c r="E461" s="28"/>
      <c r="F461" s="20"/>
      <c r="G461" s="19"/>
      <c r="H461" s="19"/>
      <c r="I461" s="19"/>
      <c r="J461" s="20"/>
      <c r="K461" s="20"/>
      <c r="L461" s="19"/>
      <c r="M461" s="19"/>
      <c r="N461" s="19"/>
      <c r="O461" s="19"/>
      <c r="P461" s="19"/>
      <c r="Q461" s="19"/>
      <c r="R461" s="19"/>
      <c r="S461" s="19"/>
      <c r="T461" s="19"/>
      <c r="U461" s="19"/>
      <c r="V461" s="19"/>
      <c r="W461" s="19"/>
      <c r="X461" s="19"/>
    </row>
    <row r="462" spans="1:24" ht="14.25" customHeight="1" x14ac:dyDescent="0.3">
      <c r="A462" s="19"/>
      <c r="B462" s="19"/>
      <c r="C462" s="20"/>
      <c r="E462" s="28"/>
      <c r="F462" s="20"/>
      <c r="G462" s="19"/>
      <c r="H462" s="19"/>
      <c r="I462" s="19"/>
      <c r="J462" s="20"/>
      <c r="K462" s="20"/>
      <c r="L462" s="19"/>
      <c r="M462" s="19"/>
      <c r="N462" s="19"/>
      <c r="O462" s="19"/>
      <c r="P462" s="19"/>
      <c r="Q462" s="19"/>
      <c r="R462" s="19"/>
      <c r="S462" s="19"/>
      <c r="T462" s="19"/>
      <c r="U462" s="19"/>
      <c r="V462" s="19"/>
      <c r="W462" s="19"/>
      <c r="X462" s="19"/>
    </row>
    <row r="463" spans="1:24" ht="14.25" customHeight="1" x14ac:dyDescent="0.3">
      <c r="A463" s="19"/>
      <c r="B463" s="19"/>
      <c r="C463" s="20"/>
      <c r="E463" s="28"/>
      <c r="F463" s="20"/>
      <c r="G463" s="19"/>
      <c r="H463" s="19"/>
      <c r="I463" s="19"/>
      <c r="J463" s="20"/>
      <c r="K463" s="20"/>
      <c r="L463" s="19"/>
      <c r="M463" s="19"/>
      <c r="N463" s="19"/>
      <c r="O463" s="19"/>
      <c r="P463" s="19"/>
      <c r="Q463" s="19"/>
      <c r="R463" s="19"/>
      <c r="S463" s="19"/>
      <c r="T463" s="19"/>
      <c r="U463" s="19"/>
      <c r="V463" s="19"/>
      <c r="W463" s="19"/>
      <c r="X463" s="19"/>
    </row>
    <row r="464" spans="1:24" ht="14.25" customHeight="1" x14ac:dyDescent="0.3">
      <c r="A464" s="19"/>
      <c r="B464" s="19"/>
      <c r="C464" s="20"/>
      <c r="E464" s="28"/>
      <c r="F464" s="20"/>
      <c r="G464" s="19"/>
      <c r="H464" s="19"/>
      <c r="I464" s="19"/>
      <c r="J464" s="20"/>
      <c r="K464" s="20"/>
      <c r="L464" s="19"/>
      <c r="M464" s="19"/>
      <c r="N464" s="19"/>
      <c r="O464" s="19"/>
      <c r="P464" s="19"/>
      <c r="Q464" s="19"/>
      <c r="R464" s="19"/>
      <c r="S464" s="19"/>
      <c r="T464" s="19"/>
      <c r="U464" s="19"/>
      <c r="V464" s="19"/>
      <c r="W464" s="19"/>
      <c r="X464" s="19"/>
    </row>
    <row r="465" spans="1:24" ht="14.25" customHeight="1" x14ac:dyDescent="0.3">
      <c r="A465" s="19"/>
      <c r="B465" s="19"/>
      <c r="C465" s="20"/>
      <c r="E465" s="28"/>
      <c r="F465" s="20"/>
      <c r="G465" s="19"/>
      <c r="H465" s="19"/>
      <c r="I465" s="19"/>
      <c r="J465" s="20"/>
      <c r="K465" s="20"/>
      <c r="L465" s="19"/>
      <c r="M465" s="19"/>
      <c r="N465" s="19"/>
      <c r="O465" s="19"/>
      <c r="P465" s="19"/>
      <c r="Q465" s="19"/>
      <c r="R465" s="19"/>
      <c r="S465" s="19"/>
      <c r="T465" s="19"/>
      <c r="U465" s="19"/>
      <c r="V465" s="19"/>
      <c r="W465" s="19"/>
      <c r="X465" s="19"/>
    </row>
    <row r="466" spans="1:24" ht="14.25" customHeight="1" x14ac:dyDescent="0.3">
      <c r="A466" s="19"/>
      <c r="B466" s="19"/>
      <c r="C466" s="20"/>
      <c r="E466" s="28"/>
      <c r="F466" s="20"/>
      <c r="G466" s="19"/>
      <c r="H466" s="19"/>
      <c r="I466" s="19"/>
      <c r="J466" s="20"/>
      <c r="K466" s="20"/>
      <c r="L466" s="19"/>
      <c r="M466" s="19"/>
      <c r="N466" s="19"/>
      <c r="O466" s="19"/>
      <c r="P466" s="19"/>
      <c r="Q466" s="19"/>
      <c r="R466" s="19"/>
      <c r="S466" s="19"/>
      <c r="T466" s="19"/>
      <c r="U466" s="19"/>
      <c r="V466" s="19"/>
      <c r="W466" s="19"/>
      <c r="X466" s="19"/>
    </row>
    <row r="467" spans="1:24" ht="14.25" customHeight="1" x14ac:dyDescent="0.3">
      <c r="A467" s="19"/>
      <c r="B467" s="19"/>
      <c r="C467" s="20"/>
      <c r="E467" s="28"/>
      <c r="F467" s="20"/>
      <c r="G467" s="19"/>
      <c r="H467" s="19"/>
      <c r="I467" s="19"/>
      <c r="J467" s="20"/>
      <c r="K467" s="20"/>
      <c r="L467" s="19"/>
      <c r="M467" s="19"/>
      <c r="N467" s="19"/>
      <c r="O467" s="19"/>
      <c r="P467" s="19"/>
      <c r="Q467" s="19"/>
      <c r="R467" s="19"/>
      <c r="S467" s="19"/>
      <c r="T467" s="19"/>
      <c r="U467" s="19"/>
      <c r="V467" s="19"/>
      <c r="W467" s="19"/>
      <c r="X467" s="19"/>
    </row>
    <row r="468" spans="1:24" ht="14.25" customHeight="1" x14ac:dyDescent="0.3">
      <c r="A468" s="19"/>
      <c r="B468" s="19"/>
      <c r="C468" s="20"/>
      <c r="E468" s="28"/>
      <c r="F468" s="20"/>
      <c r="G468" s="19"/>
      <c r="H468" s="19"/>
      <c r="I468" s="19"/>
      <c r="J468" s="20"/>
      <c r="K468" s="20"/>
      <c r="L468" s="19"/>
      <c r="M468" s="19"/>
      <c r="N468" s="19"/>
      <c r="O468" s="19"/>
      <c r="P468" s="19"/>
      <c r="Q468" s="19"/>
      <c r="R468" s="19"/>
      <c r="S468" s="19"/>
      <c r="T468" s="19"/>
      <c r="U468" s="19"/>
      <c r="V468" s="19"/>
      <c r="W468" s="19"/>
      <c r="X468" s="19"/>
    </row>
    <row r="469" spans="1:24" ht="14.25" customHeight="1" x14ac:dyDescent="0.3">
      <c r="A469" s="19"/>
      <c r="B469" s="19"/>
      <c r="C469" s="20"/>
      <c r="E469" s="28"/>
      <c r="F469" s="20"/>
      <c r="G469" s="19"/>
      <c r="H469" s="19"/>
      <c r="I469" s="19"/>
      <c r="J469" s="20"/>
      <c r="K469" s="20"/>
      <c r="L469" s="19"/>
      <c r="M469" s="19"/>
      <c r="N469" s="19"/>
      <c r="O469" s="19"/>
      <c r="P469" s="19"/>
      <c r="Q469" s="19"/>
      <c r="R469" s="19"/>
      <c r="S469" s="19"/>
      <c r="T469" s="19"/>
      <c r="U469" s="19"/>
      <c r="V469" s="19"/>
      <c r="W469" s="19"/>
      <c r="X469" s="19"/>
    </row>
    <row r="470" spans="1:24" ht="14.25" customHeight="1" x14ac:dyDescent="0.3">
      <c r="A470" s="19"/>
      <c r="B470" s="19"/>
      <c r="C470" s="20"/>
      <c r="E470" s="28"/>
      <c r="F470" s="20"/>
      <c r="G470" s="19"/>
      <c r="H470" s="19"/>
      <c r="I470" s="19"/>
      <c r="J470" s="20"/>
      <c r="K470" s="20"/>
      <c r="L470" s="19"/>
      <c r="M470" s="19"/>
      <c r="N470" s="19"/>
      <c r="O470" s="19"/>
      <c r="P470" s="19"/>
      <c r="Q470" s="19"/>
      <c r="R470" s="19"/>
      <c r="S470" s="19"/>
      <c r="T470" s="19"/>
      <c r="U470" s="19"/>
      <c r="V470" s="19"/>
      <c r="W470" s="19"/>
      <c r="X470" s="19"/>
    </row>
    <row r="471" spans="1:24" ht="14.25" customHeight="1" x14ac:dyDescent="0.3">
      <c r="A471" s="19"/>
      <c r="B471" s="19"/>
      <c r="C471" s="20"/>
      <c r="E471" s="28"/>
      <c r="F471" s="20"/>
      <c r="G471" s="19"/>
      <c r="H471" s="19"/>
      <c r="I471" s="19"/>
      <c r="J471" s="20"/>
      <c r="K471" s="20"/>
      <c r="L471" s="19"/>
      <c r="M471" s="19"/>
      <c r="N471" s="19"/>
      <c r="O471" s="19"/>
      <c r="P471" s="19"/>
      <c r="Q471" s="19"/>
      <c r="R471" s="19"/>
      <c r="S471" s="19"/>
      <c r="T471" s="19"/>
      <c r="U471" s="19"/>
      <c r="V471" s="19"/>
      <c r="W471" s="19"/>
      <c r="X471" s="19"/>
    </row>
    <row r="472" spans="1:24" ht="14.25" customHeight="1" x14ac:dyDescent="0.3">
      <c r="A472" s="19"/>
      <c r="B472" s="19"/>
      <c r="C472" s="20"/>
      <c r="E472" s="28"/>
      <c r="F472" s="20"/>
      <c r="G472" s="19"/>
      <c r="H472" s="19"/>
      <c r="I472" s="19"/>
      <c r="J472" s="20"/>
      <c r="K472" s="20"/>
      <c r="L472" s="19"/>
      <c r="M472" s="19"/>
      <c r="N472" s="19"/>
      <c r="O472" s="19"/>
      <c r="P472" s="19"/>
      <c r="Q472" s="19"/>
      <c r="R472" s="19"/>
      <c r="S472" s="19"/>
      <c r="T472" s="19"/>
      <c r="U472" s="19"/>
      <c r="V472" s="19"/>
      <c r="W472" s="19"/>
      <c r="X472" s="19"/>
    </row>
    <row r="473" spans="1:24" ht="14.25" customHeight="1" x14ac:dyDescent="0.3">
      <c r="A473" s="19"/>
      <c r="B473" s="19"/>
      <c r="C473" s="20"/>
      <c r="E473" s="28"/>
      <c r="F473" s="20"/>
      <c r="G473" s="19"/>
      <c r="H473" s="19"/>
      <c r="I473" s="19"/>
      <c r="J473" s="20"/>
      <c r="K473" s="20"/>
      <c r="L473" s="19"/>
      <c r="M473" s="19"/>
      <c r="N473" s="19"/>
      <c r="O473" s="19"/>
      <c r="P473" s="19"/>
      <c r="Q473" s="19"/>
      <c r="R473" s="19"/>
      <c r="S473" s="19"/>
      <c r="T473" s="19"/>
      <c r="U473" s="19"/>
      <c r="V473" s="19"/>
      <c r="W473" s="19"/>
      <c r="X473" s="19"/>
    </row>
    <row r="474" spans="1:24" ht="14.25" customHeight="1" x14ac:dyDescent="0.3">
      <c r="A474" s="19"/>
      <c r="B474" s="19"/>
      <c r="C474" s="20"/>
      <c r="E474" s="28"/>
      <c r="F474" s="20"/>
      <c r="G474" s="19"/>
      <c r="H474" s="19"/>
      <c r="I474" s="19"/>
      <c r="J474" s="20"/>
      <c r="K474" s="20"/>
      <c r="L474" s="19"/>
      <c r="M474" s="19"/>
      <c r="N474" s="19"/>
      <c r="O474" s="19"/>
      <c r="P474" s="19"/>
      <c r="Q474" s="19"/>
      <c r="R474" s="19"/>
      <c r="S474" s="19"/>
      <c r="T474" s="19"/>
      <c r="U474" s="19"/>
      <c r="V474" s="19"/>
      <c r="W474" s="19"/>
      <c r="X474" s="19"/>
    </row>
    <row r="475" spans="1:24" ht="14.25" customHeight="1" x14ac:dyDescent="0.3">
      <c r="A475" s="19"/>
      <c r="B475" s="19"/>
      <c r="C475" s="20"/>
      <c r="E475" s="28"/>
      <c r="F475" s="20"/>
      <c r="G475" s="19"/>
      <c r="H475" s="19"/>
      <c r="I475" s="19"/>
      <c r="J475" s="20"/>
      <c r="K475" s="20"/>
      <c r="L475" s="19"/>
      <c r="M475" s="19"/>
      <c r="N475" s="19"/>
      <c r="O475" s="19"/>
      <c r="P475" s="19"/>
      <c r="Q475" s="19"/>
      <c r="R475" s="19"/>
      <c r="S475" s="19"/>
      <c r="T475" s="19"/>
      <c r="U475" s="19"/>
      <c r="V475" s="19"/>
      <c r="W475" s="19"/>
      <c r="X475" s="19"/>
    </row>
    <row r="476" spans="1:24" ht="14.25" customHeight="1" x14ac:dyDescent="0.3">
      <c r="A476" s="19"/>
      <c r="B476" s="19"/>
      <c r="C476" s="20"/>
      <c r="E476" s="28"/>
      <c r="F476" s="20"/>
      <c r="G476" s="19"/>
      <c r="H476" s="19"/>
      <c r="I476" s="19"/>
      <c r="J476" s="20"/>
      <c r="K476" s="20"/>
      <c r="L476" s="19"/>
      <c r="M476" s="19"/>
      <c r="N476" s="19"/>
      <c r="O476" s="19"/>
      <c r="P476" s="19"/>
      <c r="Q476" s="19"/>
      <c r="R476" s="19"/>
      <c r="S476" s="19"/>
      <c r="T476" s="19"/>
      <c r="U476" s="19"/>
      <c r="V476" s="19"/>
      <c r="W476" s="19"/>
      <c r="X476" s="19"/>
    </row>
    <row r="477" spans="1:24" ht="14.25" customHeight="1" x14ac:dyDescent="0.3">
      <c r="A477" s="19"/>
      <c r="B477" s="19"/>
      <c r="C477" s="20"/>
      <c r="E477" s="28"/>
      <c r="F477" s="20"/>
      <c r="G477" s="19"/>
      <c r="H477" s="19"/>
      <c r="I477" s="19"/>
      <c r="J477" s="20"/>
      <c r="K477" s="20"/>
      <c r="L477" s="19"/>
      <c r="M477" s="19"/>
      <c r="N477" s="19"/>
      <c r="O477" s="19"/>
      <c r="P477" s="19"/>
      <c r="Q477" s="19"/>
      <c r="R477" s="19"/>
      <c r="S477" s="19"/>
      <c r="T477" s="19"/>
      <c r="U477" s="19"/>
      <c r="V477" s="19"/>
      <c r="W477" s="19"/>
      <c r="X477" s="19"/>
    </row>
    <row r="478" spans="1:24" ht="14.25" customHeight="1" x14ac:dyDescent="0.3">
      <c r="A478" s="19"/>
      <c r="B478" s="19"/>
      <c r="C478" s="20"/>
      <c r="E478" s="28"/>
      <c r="F478" s="20"/>
      <c r="G478" s="19"/>
      <c r="H478" s="19"/>
      <c r="I478" s="19"/>
      <c r="J478" s="20"/>
      <c r="K478" s="20"/>
      <c r="L478" s="19"/>
      <c r="M478" s="19"/>
      <c r="N478" s="19"/>
      <c r="O478" s="19"/>
      <c r="P478" s="19"/>
      <c r="Q478" s="19"/>
      <c r="R478" s="19"/>
      <c r="S478" s="19"/>
      <c r="T478" s="19"/>
      <c r="U478" s="19"/>
      <c r="V478" s="19"/>
      <c r="W478" s="19"/>
      <c r="X478" s="19"/>
    </row>
    <row r="479" spans="1:24" ht="14.25" customHeight="1" x14ac:dyDescent="0.3">
      <c r="A479" s="19"/>
      <c r="B479" s="19"/>
      <c r="C479" s="20"/>
      <c r="E479" s="28"/>
      <c r="F479" s="20"/>
      <c r="G479" s="19"/>
      <c r="H479" s="19"/>
      <c r="I479" s="19"/>
      <c r="J479" s="20"/>
      <c r="K479" s="20"/>
      <c r="L479" s="19"/>
      <c r="M479" s="19"/>
      <c r="N479" s="19"/>
      <c r="O479" s="19"/>
      <c r="P479" s="19"/>
      <c r="Q479" s="19"/>
      <c r="R479" s="19"/>
      <c r="S479" s="19"/>
      <c r="T479" s="19"/>
      <c r="U479" s="19"/>
      <c r="V479" s="19"/>
      <c r="W479" s="19"/>
      <c r="X479" s="19"/>
    </row>
    <row r="480" spans="1:24" ht="14.25" customHeight="1" x14ac:dyDescent="0.3">
      <c r="A480" s="19"/>
      <c r="B480" s="19"/>
      <c r="C480" s="20"/>
      <c r="E480" s="28"/>
      <c r="F480" s="20"/>
      <c r="G480" s="19"/>
      <c r="H480" s="19"/>
      <c r="I480" s="19"/>
      <c r="J480" s="20"/>
      <c r="K480" s="20"/>
      <c r="L480" s="19"/>
      <c r="M480" s="19"/>
      <c r="N480" s="19"/>
      <c r="O480" s="19"/>
      <c r="P480" s="19"/>
      <c r="Q480" s="19"/>
      <c r="R480" s="19"/>
      <c r="S480" s="19"/>
      <c r="T480" s="19"/>
      <c r="U480" s="19"/>
      <c r="V480" s="19"/>
      <c r="W480" s="19"/>
      <c r="X480" s="19"/>
    </row>
    <row r="481" spans="1:24" ht="14.25" customHeight="1" x14ac:dyDescent="0.3">
      <c r="A481" s="19"/>
      <c r="B481" s="19"/>
      <c r="C481" s="20"/>
      <c r="E481" s="28"/>
      <c r="F481" s="20"/>
      <c r="G481" s="19"/>
      <c r="H481" s="19"/>
      <c r="I481" s="19"/>
      <c r="J481" s="20"/>
      <c r="K481" s="20"/>
      <c r="L481" s="19"/>
      <c r="M481" s="19"/>
      <c r="N481" s="19"/>
      <c r="O481" s="19"/>
      <c r="P481" s="19"/>
      <c r="Q481" s="19"/>
      <c r="R481" s="19"/>
      <c r="S481" s="19"/>
      <c r="T481" s="19"/>
      <c r="U481" s="19"/>
      <c r="V481" s="19"/>
      <c r="W481" s="19"/>
      <c r="X481" s="19"/>
    </row>
    <row r="482" spans="1:24" ht="14.25" customHeight="1" x14ac:dyDescent="0.3">
      <c r="A482" s="19"/>
      <c r="B482" s="19"/>
      <c r="C482" s="20"/>
      <c r="E482" s="28"/>
      <c r="F482" s="20"/>
      <c r="G482" s="19"/>
      <c r="H482" s="19"/>
      <c r="I482" s="19"/>
      <c r="J482" s="20"/>
      <c r="K482" s="20"/>
      <c r="L482" s="19"/>
      <c r="M482" s="19"/>
      <c r="N482" s="19"/>
      <c r="O482" s="19"/>
      <c r="P482" s="19"/>
      <c r="Q482" s="19"/>
      <c r="R482" s="19"/>
      <c r="S482" s="19"/>
      <c r="T482" s="19"/>
      <c r="U482" s="19"/>
      <c r="V482" s="19"/>
      <c r="W482" s="19"/>
      <c r="X482" s="19"/>
    </row>
    <row r="483" spans="1:24" ht="14.25" customHeight="1" x14ac:dyDescent="0.3">
      <c r="A483" s="19"/>
      <c r="B483" s="19"/>
      <c r="C483" s="20"/>
      <c r="E483" s="28"/>
      <c r="F483" s="20"/>
      <c r="G483" s="19"/>
      <c r="H483" s="19"/>
      <c r="I483" s="19"/>
      <c r="J483" s="20"/>
      <c r="K483" s="20"/>
      <c r="L483" s="19"/>
      <c r="M483" s="19"/>
      <c r="N483" s="19"/>
      <c r="O483" s="19"/>
      <c r="P483" s="19"/>
      <c r="Q483" s="19"/>
      <c r="R483" s="19"/>
      <c r="S483" s="19"/>
      <c r="T483" s="19"/>
      <c r="U483" s="19"/>
      <c r="V483" s="19"/>
      <c r="W483" s="19"/>
      <c r="X483" s="19"/>
    </row>
    <row r="484" spans="1:24" ht="14.25" customHeight="1" x14ac:dyDescent="0.3">
      <c r="A484" s="19"/>
      <c r="B484" s="19"/>
      <c r="C484" s="20"/>
      <c r="E484" s="28"/>
      <c r="F484" s="20"/>
      <c r="G484" s="19"/>
      <c r="H484" s="19"/>
      <c r="I484" s="19"/>
      <c r="J484" s="20"/>
      <c r="K484" s="20"/>
      <c r="L484" s="19"/>
      <c r="M484" s="19"/>
      <c r="N484" s="19"/>
      <c r="O484" s="19"/>
      <c r="P484" s="19"/>
      <c r="Q484" s="19"/>
      <c r="R484" s="19"/>
      <c r="S484" s="19"/>
      <c r="T484" s="19"/>
      <c r="U484" s="19"/>
      <c r="V484" s="19"/>
      <c r="W484" s="19"/>
      <c r="X484" s="19"/>
    </row>
    <row r="485" spans="1:24" ht="14.25" customHeight="1" x14ac:dyDescent="0.3">
      <c r="A485" s="19"/>
      <c r="B485" s="19"/>
      <c r="C485" s="20"/>
      <c r="E485" s="28"/>
      <c r="F485" s="20"/>
      <c r="G485" s="19"/>
      <c r="H485" s="19"/>
      <c r="I485" s="19"/>
      <c r="J485" s="20"/>
      <c r="K485" s="20"/>
      <c r="L485" s="19"/>
      <c r="M485" s="19"/>
      <c r="N485" s="19"/>
      <c r="O485" s="19"/>
      <c r="P485" s="19"/>
      <c r="Q485" s="19"/>
      <c r="R485" s="19"/>
      <c r="S485" s="19"/>
      <c r="T485" s="19"/>
      <c r="U485" s="19"/>
      <c r="V485" s="19"/>
      <c r="W485" s="19"/>
      <c r="X485" s="19"/>
    </row>
    <row r="486" spans="1:24" ht="14.25" customHeight="1" x14ac:dyDescent="0.3">
      <c r="A486" s="19"/>
      <c r="B486" s="19"/>
      <c r="C486" s="20"/>
      <c r="E486" s="28"/>
      <c r="F486" s="20"/>
      <c r="G486" s="19"/>
      <c r="H486" s="19"/>
      <c r="I486" s="19"/>
      <c r="J486" s="20"/>
      <c r="K486" s="20"/>
      <c r="L486" s="19"/>
      <c r="M486" s="19"/>
      <c r="N486" s="19"/>
      <c r="O486" s="19"/>
      <c r="P486" s="19"/>
      <c r="Q486" s="19"/>
      <c r="R486" s="19"/>
      <c r="S486" s="19"/>
      <c r="T486" s="19"/>
      <c r="U486" s="19"/>
      <c r="V486" s="19"/>
      <c r="W486" s="19"/>
      <c r="X486" s="19"/>
    </row>
    <row r="487" spans="1:24" ht="14.25" customHeight="1" x14ac:dyDescent="0.3">
      <c r="A487" s="19"/>
      <c r="B487" s="19"/>
      <c r="C487" s="20"/>
      <c r="E487" s="28"/>
      <c r="F487" s="20"/>
      <c r="G487" s="19"/>
      <c r="H487" s="19"/>
      <c r="I487" s="19"/>
      <c r="J487" s="20"/>
      <c r="K487" s="20"/>
      <c r="L487" s="19"/>
      <c r="M487" s="19"/>
      <c r="N487" s="19"/>
      <c r="O487" s="19"/>
      <c r="P487" s="19"/>
      <c r="Q487" s="19"/>
      <c r="R487" s="19"/>
      <c r="S487" s="19"/>
      <c r="T487" s="19"/>
      <c r="U487" s="19"/>
      <c r="V487" s="19"/>
      <c r="W487" s="19"/>
      <c r="X487" s="19"/>
    </row>
    <row r="488" spans="1:24" ht="14.25" customHeight="1" x14ac:dyDescent="0.3">
      <c r="A488" s="19"/>
      <c r="B488" s="19"/>
      <c r="C488" s="20"/>
      <c r="E488" s="28"/>
      <c r="F488" s="20"/>
      <c r="G488" s="19"/>
      <c r="H488" s="19"/>
      <c r="I488" s="19"/>
      <c r="J488" s="20"/>
      <c r="K488" s="20"/>
      <c r="L488" s="19"/>
      <c r="M488" s="19"/>
      <c r="N488" s="19"/>
      <c r="O488" s="19"/>
      <c r="P488" s="19"/>
      <c r="Q488" s="19"/>
      <c r="R488" s="19"/>
      <c r="S488" s="19"/>
      <c r="T488" s="19"/>
      <c r="U488" s="19"/>
      <c r="V488" s="19"/>
      <c r="W488" s="19"/>
      <c r="X488" s="19"/>
    </row>
    <row r="489" spans="1:24" ht="14.25" customHeight="1" x14ac:dyDescent="0.3">
      <c r="A489" s="19"/>
      <c r="B489" s="19"/>
      <c r="C489" s="20"/>
      <c r="E489" s="28"/>
      <c r="F489" s="20"/>
      <c r="G489" s="19"/>
      <c r="H489" s="19"/>
      <c r="I489" s="19"/>
      <c r="J489" s="20"/>
      <c r="K489" s="20"/>
      <c r="L489" s="19"/>
      <c r="M489" s="19"/>
      <c r="N489" s="19"/>
      <c r="O489" s="19"/>
      <c r="P489" s="19"/>
      <c r="Q489" s="19"/>
      <c r="R489" s="19"/>
      <c r="S489" s="19"/>
      <c r="T489" s="19"/>
      <c r="U489" s="19"/>
      <c r="V489" s="19"/>
      <c r="W489" s="19"/>
      <c r="X489" s="19"/>
    </row>
    <row r="490" spans="1:24" ht="14.25" customHeight="1" x14ac:dyDescent="0.3">
      <c r="A490" s="19"/>
      <c r="B490" s="19"/>
      <c r="C490" s="20"/>
      <c r="E490" s="28"/>
      <c r="F490" s="20"/>
      <c r="G490" s="19"/>
      <c r="H490" s="19"/>
      <c r="I490" s="19"/>
      <c r="J490" s="20"/>
      <c r="K490" s="20"/>
      <c r="L490" s="19"/>
      <c r="M490" s="19"/>
      <c r="N490" s="19"/>
      <c r="O490" s="19"/>
      <c r="P490" s="19"/>
      <c r="Q490" s="19"/>
      <c r="R490" s="19"/>
      <c r="S490" s="19"/>
      <c r="T490" s="19"/>
      <c r="U490" s="19"/>
      <c r="V490" s="19"/>
      <c r="W490" s="19"/>
      <c r="X490" s="19"/>
    </row>
    <row r="491" spans="1:24" ht="14.25" customHeight="1" x14ac:dyDescent="0.3">
      <c r="A491" s="19"/>
      <c r="B491" s="19"/>
      <c r="C491" s="20"/>
      <c r="E491" s="28"/>
      <c r="F491" s="20"/>
      <c r="G491" s="19"/>
      <c r="H491" s="19"/>
      <c r="I491" s="19"/>
      <c r="J491" s="20"/>
      <c r="K491" s="20"/>
      <c r="L491" s="19"/>
      <c r="M491" s="19"/>
      <c r="N491" s="19"/>
      <c r="O491" s="19"/>
      <c r="P491" s="19"/>
      <c r="Q491" s="19"/>
      <c r="R491" s="19"/>
      <c r="S491" s="19"/>
      <c r="T491" s="19"/>
      <c r="U491" s="19"/>
      <c r="V491" s="19"/>
      <c r="W491" s="19"/>
      <c r="X491" s="19"/>
    </row>
    <row r="492" spans="1:24" ht="14.25" customHeight="1" x14ac:dyDescent="0.3">
      <c r="A492" s="19"/>
      <c r="B492" s="19"/>
      <c r="C492" s="20"/>
      <c r="E492" s="28"/>
      <c r="F492" s="20"/>
      <c r="G492" s="19"/>
      <c r="H492" s="19"/>
      <c r="I492" s="19"/>
      <c r="J492" s="20"/>
      <c r="K492" s="20"/>
      <c r="L492" s="19"/>
      <c r="M492" s="19"/>
      <c r="N492" s="19"/>
      <c r="O492" s="19"/>
      <c r="P492" s="19"/>
      <c r="Q492" s="19"/>
      <c r="R492" s="19"/>
      <c r="S492" s="19"/>
      <c r="T492" s="19"/>
      <c r="U492" s="19"/>
      <c r="V492" s="19"/>
      <c r="W492" s="19"/>
      <c r="X492" s="19"/>
    </row>
    <row r="493" spans="1:24" ht="14.25" customHeight="1" x14ac:dyDescent="0.3">
      <c r="A493" s="19"/>
      <c r="B493" s="19"/>
      <c r="C493" s="20"/>
      <c r="E493" s="28"/>
      <c r="F493" s="20"/>
      <c r="G493" s="19"/>
      <c r="H493" s="19"/>
      <c r="I493" s="19"/>
      <c r="J493" s="20"/>
      <c r="K493" s="20"/>
      <c r="L493" s="19"/>
      <c r="M493" s="19"/>
      <c r="N493" s="19"/>
      <c r="O493" s="19"/>
      <c r="P493" s="19"/>
      <c r="Q493" s="19"/>
      <c r="R493" s="19"/>
      <c r="S493" s="19"/>
      <c r="T493" s="19"/>
      <c r="U493" s="19"/>
      <c r="V493" s="19"/>
      <c r="W493" s="19"/>
      <c r="X493" s="19"/>
    </row>
    <row r="494" spans="1:24" ht="14.25" customHeight="1" x14ac:dyDescent="0.3">
      <c r="A494" s="19"/>
      <c r="B494" s="19"/>
      <c r="C494" s="20"/>
      <c r="E494" s="28"/>
      <c r="F494" s="20"/>
      <c r="G494" s="19"/>
      <c r="H494" s="19"/>
      <c r="I494" s="19"/>
      <c r="J494" s="20"/>
      <c r="K494" s="20"/>
      <c r="L494" s="19"/>
      <c r="M494" s="19"/>
      <c r="N494" s="19"/>
      <c r="O494" s="19"/>
      <c r="P494" s="19"/>
      <c r="Q494" s="19"/>
      <c r="R494" s="19"/>
      <c r="S494" s="19"/>
      <c r="T494" s="19"/>
      <c r="U494" s="19"/>
      <c r="V494" s="19"/>
      <c r="W494" s="19"/>
      <c r="X494" s="19"/>
    </row>
    <row r="495" spans="1:24" ht="14.25" customHeight="1" x14ac:dyDescent="0.3">
      <c r="A495" s="19"/>
      <c r="B495" s="19"/>
      <c r="C495" s="20"/>
      <c r="E495" s="28"/>
      <c r="F495" s="20"/>
      <c r="G495" s="19"/>
      <c r="H495" s="19"/>
      <c r="I495" s="19"/>
      <c r="J495" s="20"/>
      <c r="K495" s="20"/>
      <c r="L495" s="19"/>
      <c r="M495" s="19"/>
      <c r="N495" s="19"/>
      <c r="O495" s="19"/>
      <c r="P495" s="19"/>
      <c r="Q495" s="19"/>
      <c r="R495" s="19"/>
      <c r="S495" s="19"/>
      <c r="T495" s="19"/>
      <c r="U495" s="19"/>
      <c r="V495" s="19"/>
      <c r="W495" s="19"/>
      <c r="X495" s="19"/>
    </row>
    <row r="496" spans="1:24" ht="14.25" customHeight="1" x14ac:dyDescent="0.3">
      <c r="A496" s="19"/>
      <c r="B496" s="19"/>
      <c r="C496" s="20"/>
      <c r="E496" s="28"/>
      <c r="F496" s="20"/>
      <c r="G496" s="19"/>
      <c r="H496" s="19"/>
      <c r="I496" s="19"/>
      <c r="J496" s="20"/>
      <c r="K496" s="20"/>
      <c r="L496" s="19"/>
      <c r="M496" s="19"/>
      <c r="N496" s="19"/>
      <c r="O496" s="19"/>
      <c r="P496" s="19"/>
      <c r="Q496" s="19"/>
      <c r="R496" s="19"/>
      <c r="S496" s="19"/>
      <c r="T496" s="19"/>
      <c r="U496" s="19"/>
      <c r="V496" s="19"/>
      <c r="W496" s="19"/>
      <c r="X496" s="19"/>
    </row>
    <row r="497" spans="1:24" ht="14.25" customHeight="1" x14ac:dyDescent="0.3">
      <c r="A497" s="19"/>
      <c r="B497" s="19"/>
      <c r="C497" s="20"/>
      <c r="E497" s="28"/>
      <c r="F497" s="20"/>
      <c r="G497" s="19"/>
      <c r="H497" s="19"/>
      <c r="I497" s="19"/>
      <c r="J497" s="20"/>
      <c r="K497" s="20"/>
      <c r="L497" s="19"/>
      <c r="M497" s="19"/>
      <c r="N497" s="19"/>
      <c r="O497" s="19"/>
      <c r="P497" s="19"/>
      <c r="Q497" s="19"/>
      <c r="R497" s="19"/>
      <c r="S497" s="19"/>
      <c r="T497" s="19"/>
      <c r="U497" s="19"/>
      <c r="V497" s="19"/>
      <c r="W497" s="19"/>
      <c r="X497" s="19"/>
    </row>
    <row r="498" spans="1:24" ht="14.25" customHeight="1" x14ac:dyDescent="0.3">
      <c r="A498" s="19"/>
      <c r="B498" s="19"/>
      <c r="C498" s="20"/>
      <c r="E498" s="28"/>
      <c r="F498" s="20"/>
      <c r="G498" s="19"/>
      <c r="H498" s="19"/>
      <c r="I498" s="19"/>
      <c r="J498" s="20"/>
      <c r="K498" s="20"/>
      <c r="L498" s="19"/>
      <c r="M498" s="19"/>
      <c r="N498" s="19"/>
      <c r="O498" s="19"/>
      <c r="P498" s="19"/>
      <c r="Q498" s="19"/>
      <c r="R498" s="19"/>
      <c r="S498" s="19"/>
      <c r="T498" s="19"/>
      <c r="U498" s="19"/>
      <c r="V498" s="19"/>
      <c r="W498" s="19"/>
      <c r="X498" s="19"/>
    </row>
    <row r="499" spans="1:24" ht="14.25" customHeight="1" x14ac:dyDescent="0.3">
      <c r="A499" s="19"/>
      <c r="B499" s="19"/>
      <c r="C499" s="20"/>
      <c r="E499" s="28"/>
      <c r="F499" s="20"/>
      <c r="G499" s="19"/>
      <c r="H499" s="19"/>
      <c r="I499" s="19"/>
      <c r="J499" s="20"/>
      <c r="K499" s="20"/>
      <c r="L499" s="19"/>
      <c r="M499" s="19"/>
      <c r="N499" s="19"/>
      <c r="O499" s="19"/>
      <c r="P499" s="19"/>
      <c r="Q499" s="19"/>
      <c r="R499" s="19"/>
      <c r="S499" s="19"/>
      <c r="T499" s="19"/>
      <c r="U499" s="19"/>
      <c r="V499" s="19"/>
      <c r="W499" s="19"/>
      <c r="X499" s="19"/>
    </row>
    <row r="500" spans="1:24" ht="14.25" customHeight="1" x14ac:dyDescent="0.3">
      <c r="A500" s="19"/>
      <c r="B500" s="19"/>
      <c r="C500" s="20"/>
      <c r="E500" s="28"/>
      <c r="F500" s="20"/>
      <c r="G500" s="19"/>
      <c r="H500" s="19"/>
      <c r="I500" s="19"/>
      <c r="J500" s="20"/>
      <c r="K500" s="20"/>
      <c r="L500" s="19"/>
      <c r="M500" s="19"/>
      <c r="N500" s="19"/>
      <c r="O500" s="19"/>
      <c r="P500" s="19"/>
      <c r="Q500" s="19"/>
      <c r="R500" s="19"/>
      <c r="S500" s="19"/>
      <c r="T500" s="19"/>
      <c r="U500" s="19"/>
      <c r="V500" s="19"/>
      <c r="W500" s="19"/>
      <c r="X500" s="19"/>
    </row>
    <row r="501" spans="1:24" ht="14.25" customHeight="1" x14ac:dyDescent="0.3">
      <c r="A501" s="19"/>
      <c r="B501" s="19"/>
      <c r="C501" s="20"/>
      <c r="E501" s="28"/>
      <c r="F501" s="20"/>
      <c r="G501" s="19"/>
      <c r="H501" s="19"/>
      <c r="I501" s="19"/>
      <c r="J501" s="20"/>
      <c r="K501" s="20"/>
      <c r="L501" s="19"/>
      <c r="M501" s="19"/>
      <c r="N501" s="19"/>
      <c r="O501" s="19"/>
      <c r="P501" s="19"/>
      <c r="Q501" s="19"/>
      <c r="R501" s="19"/>
      <c r="S501" s="19"/>
      <c r="T501" s="19"/>
      <c r="U501" s="19"/>
      <c r="V501" s="19"/>
      <c r="W501" s="19"/>
      <c r="X501" s="19"/>
    </row>
    <row r="502" spans="1:24" ht="14.25" customHeight="1" x14ac:dyDescent="0.3">
      <c r="A502" s="19"/>
      <c r="B502" s="19"/>
      <c r="C502" s="20"/>
      <c r="E502" s="28"/>
      <c r="F502" s="20"/>
      <c r="G502" s="19"/>
      <c r="H502" s="19"/>
      <c r="I502" s="19"/>
      <c r="J502" s="20"/>
      <c r="K502" s="20"/>
      <c r="L502" s="19"/>
      <c r="M502" s="19"/>
      <c r="N502" s="19"/>
      <c r="O502" s="19"/>
      <c r="P502" s="19"/>
      <c r="Q502" s="19"/>
      <c r="R502" s="19"/>
      <c r="S502" s="19"/>
      <c r="T502" s="19"/>
      <c r="U502" s="19"/>
      <c r="V502" s="19"/>
      <c r="W502" s="19"/>
      <c r="X502" s="19"/>
    </row>
    <row r="503" spans="1:24" ht="14.25" customHeight="1" x14ac:dyDescent="0.3">
      <c r="A503" s="19"/>
      <c r="B503" s="19"/>
      <c r="C503" s="20"/>
      <c r="E503" s="28"/>
      <c r="F503" s="20"/>
      <c r="G503" s="19"/>
      <c r="H503" s="19"/>
      <c r="I503" s="19"/>
      <c r="J503" s="20"/>
      <c r="K503" s="20"/>
      <c r="L503" s="19"/>
      <c r="M503" s="19"/>
      <c r="N503" s="19"/>
      <c r="O503" s="19"/>
      <c r="P503" s="19"/>
      <c r="Q503" s="19"/>
      <c r="R503" s="19"/>
      <c r="S503" s="19"/>
      <c r="T503" s="19"/>
      <c r="U503" s="19"/>
      <c r="V503" s="19"/>
      <c r="W503" s="19"/>
      <c r="X503" s="19"/>
    </row>
    <row r="504" spans="1:24" ht="14.25" customHeight="1" x14ac:dyDescent="0.3">
      <c r="A504" s="19"/>
      <c r="B504" s="19"/>
      <c r="C504" s="20"/>
      <c r="E504" s="28"/>
      <c r="F504" s="20"/>
      <c r="G504" s="19"/>
      <c r="H504" s="19"/>
      <c r="I504" s="19"/>
      <c r="J504" s="20"/>
      <c r="K504" s="20"/>
      <c r="L504" s="19"/>
      <c r="M504" s="19"/>
      <c r="N504" s="19"/>
      <c r="O504" s="19"/>
      <c r="P504" s="19"/>
      <c r="Q504" s="19"/>
      <c r="R504" s="19"/>
      <c r="S504" s="19"/>
      <c r="T504" s="19"/>
      <c r="U504" s="19"/>
      <c r="V504" s="19"/>
      <c r="W504" s="19"/>
      <c r="X504" s="19"/>
    </row>
    <row r="505" spans="1:24" ht="14.25" customHeight="1" x14ac:dyDescent="0.3">
      <c r="A505" s="19"/>
      <c r="B505" s="19"/>
      <c r="C505" s="20"/>
      <c r="E505" s="28"/>
      <c r="F505" s="20"/>
      <c r="G505" s="19"/>
      <c r="H505" s="19"/>
      <c r="I505" s="19"/>
      <c r="J505" s="20"/>
      <c r="K505" s="20"/>
      <c r="L505" s="19"/>
      <c r="M505" s="19"/>
      <c r="N505" s="19"/>
      <c r="O505" s="19"/>
      <c r="P505" s="19"/>
      <c r="Q505" s="19"/>
      <c r="R505" s="19"/>
      <c r="S505" s="19"/>
      <c r="T505" s="19"/>
      <c r="U505" s="19"/>
      <c r="V505" s="19"/>
      <c r="W505" s="19"/>
      <c r="X505" s="19"/>
    </row>
    <row r="506" spans="1:24" ht="14.25" customHeight="1" x14ac:dyDescent="0.3">
      <c r="A506" s="19"/>
      <c r="B506" s="19"/>
      <c r="C506" s="20"/>
      <c r="E506" s="28"/>
      <c r="F506" s="20"/>
      <c r="G506" s="19"/>
      <c r="H506" s="19"/>
      <c r="I506" s="19"/>
      <c r="J506" s="20"/>
      <c r="K506" s="20"/>
      <c r="L506" s="19"/>
      <c r="M506" s="19"/>
      <c r="N506" s="19"/>
      <c r="O506" s="19"/>
      <c r="P506" s="19"/>
      <c r="Q506" s="19"/>
      <c r="R506" s="19"/>
      <c r="S506" s="19"/>
      <c r="T506" s="19"/>
      <c r="U506" s="19"/>
      <c r="V506" s="19"/>
      <c r="W506" s="19"/>
      <c r="X506" s="19"/>
    </row>
    <row r="507" spans="1:24" ht="14.25" customHeight="1" x14ac:dyDescent="0.3">
      <c r="A507" s="19"/>
      <c r="B507" s="19"/>
      <c r="C507" s="20"/>
      <c r="E507" s="28"/>
      <c r="F507" s="20"/>
      <c r="G507" s="19"/>
      <c r="H507" s="19"/>
      <c r="I507" s="19"/>
      <c r="J507" s="20"/>
      <c r="K507" s="20"/>
      <c r="L507" s="19"/>
      <c r="M507" s="19"/>
      <c r="N507" s="19"/>
      <c r="O507" s="19"/>
      <c r="P507" s="19"/>
      <c r="Q507" s="19"/>
      <c r="R507" s="19"/>
      <c r="S507" s="19"/>
      <c r="T507" s="19"/>
      <c r="U507" s="19"/>
      <c r="V507" s="19"/>
      <c r="W507" s="19"/>
      <c r="X507" s="19"/>
    </row>
    <row r="508" spans="1:24" ht="14.25" customHeight="1" x14ac:dyDescent="0.3">
      <c r="A508" s="19"/>
      <c r="B508" s="19"/>
      <c r="C508" s="20"/>
      <c r="E508" s="28"/>
      <c r="F508" s="20"/>
      <c r="G508" s="19"/>
      <c r="H508" s="19"/>
      <c r="I508" s="19"/>
      <c r="J508" s="20"/>
      <c r="K508" s="20"/>
      <c r="L508" s="19"/>
      <c r="M508" s="19"/>
      <c r="N508" s="19"/>
      <c r="O508" s="19"/>
      <c r="P508" s="19"/>
      <c r="Q508" s="19"/>
      <c r="R508" s="19"/>
      <c r="S508" s="19"/>
      <c r="T508" s="19"/>
      <c r="U508" s="19"/>
      <c r="V508" s="19"/>
      <c r="W508" s="19"/>
      <c r="X508" s="19"/>
    </row>
    <row r="509" spans="1:24" ht="14.25" customHeight="1" x14ac:dyDescent="0.3">
      <c r="A509" s="19"/>
      <c r="B509" s="19"/>
      <c r="C509" s="20"/>
      <c r="E509" s="28"/>
      <c r="F509" s="20"/>
      <c r="G509" s="19"/>
      <c r="H509" s="19"/>
      <c r="I509" s="19"/>
      <c r="J509" s="20"/>
      <c r="K509" s="20"/>
      <c r="L509" s="19"/>
      <c r="M509" s="19"/>
      <c r="N509" s="19"/>
      <c r="O509" s="19"/>
      <c r="P509" s="19"/>
      <c r="Q509" s="19"/>
      <c r="R509" s="19"/>
      <c r="S509" s="19"/>
      <c r="T509" s="19"/>
      <c r="U509" s="19"/>
      <c r="V509" s="19"/>
      <c r="W509" s="19"/>
      <c r="X509" s="19"/>
    </row>
    <row r="510" spans="1:24" ht="14.25" customHeight="1" x14ac:dyDescent="0.3">
      <c r="A510" s="19"/>
      <c r="B510" s="19"/>
      <c r="C510" s="20"/>
      <c r="E510" s="28"/>
      <c r="F510" s="20"/>
      <c r="G510" s="19"/>
      <c r="H510" s="19"/>
      <c r="I510" s="19"/>
      <c r="J510" s="20"/>
      <c r="K510" s="20"/>
      <c r="L510" s="19"/>
      <c r="M510" s="19"/>
      <c r="N510" s="19"/>
      <c r="O510" s="19"/>
      <c r="P510" s="19"/>
      <c r="Q510" s="19"/>
      <c r="R510" s="19"/>
      <c r="S510" s="19"/>
      <c r="T510" s="19"/>
      <c r="U510" s="19"/>
      <c r="V510" s="19"/>
      <c r="W510" s="19"/>
      <c r="X510" s="19"/>
    </row>
    <row r="511" spans="1:24" ht="14.25" customHeight="1" x14ac:dyDescent="0.3">
      <c r="A511" s="19"/>
      <c r="B511" s="19"/>
      <c r="C511" s="20"/>
      <c r="E511" s="28"/>
      <c r="F511" s="20"/>
      <c r="G511" s="19"/>
      <c r="H511" s="19"/>
      <c r="I511" s="19"/>
      <c r="J511" s="20"/>
      <c r="K511" s="20"/>
      <c r="L511" s="19"/>
      <c r="M511" s="19"/>
      <c r="N511" s="19"/>
      <c r="O511" s="19"/>
      <c r="P511" s="19"/>
      <c r="Q511" s="19"/>
      <c r="R511" s="19"/>
      <c r="S511" s="19"/>
      <c r="T511" s="19"/>
      <c r="U511" s="19"/>
      <c r="V511" s="19"/>
      <c r="W511" s="19"/>
      <c r="X511" s="19"/>
    </row>
    <row r="512" spans="1:24" ht="14.25" customHeight="1" x14ac:dyDescent="0.3">
      <c r="A512" s="19"/>
      <c r="B512" s="19"/>
      <c r="C512" s="20"/>
      <c r="E512" s="28"/>
      <c r="F512" s="20"/>
      <c r="G512" s="19"/>
      <c r="H512" s="19"/>
      <c r="I512" s="19"/>
      <c r="J512" s="20"/>
      <c r="K512" s="20"/>
      <c r="L512" s="19"/>
      <c r="M512" s="19"/>
      <c r="N512" s="19"/>
      <c r="O512" s="19"/>
      <c r="P512" s="19"/>
      <c r="Q512" s="19"/>
      <c r="R512" s="19"/>
      <c r="S512" s="19"/>
      <c r="T512" s="19"/>
      <c r="U512" s="19"/>
      <c r="V512" s="19"/>
      <c r="W512" s="19"/>
      <c r="X512" s="19"/>
    </row>
    <row r="513" spans="1:24" ht="14.25" customHeight="1" x14ac:dyDescent="0.3">
      <c r="A513" s="19"/>
      <c r="B513" s="19"/>
      <c r="C513" s="20"/>
      <c r="E513" s="28"/>
      <c r="F513" s="20"/>
      <c r="G513" s="19"/>
      <c r="H513" s="19"/>
      <c r="I513" s="19"/>
      <c r="J513" s="20"/>
      <c r="K513" s="20"/>
      <c r="L513" s="19"/>
      <c r="M513" s="19"/>
      <c r="N513" s="19"/>
      <c r="O513" s="19"/>
      <c r="P513" s="19"/>
      <c r="Q513" s="19"/>
      <c r="R513" s="19"/>
      <c r="S513" s="19"/>
      <c r="T513" s="19"/>
      <c r="U513" s="19"/>
      <c r="V513" s="19"/>
      <c r="W513" s="19"/>
      <c r="X513" s="19"/>
    </row>
    <row r="514" spans="1:24" ht="14.25" customHeight="1" x14ac:dyDescent="0.3">
      <c r="A514" s="19"/>
      <c r="B514" s="19"/>
      <c r="C514" s="20"/>
      <c r="E514" s="28"/>
      <c r="F514" s="20"/>
      <c r="G514" s="19"/>
      <c r="H514" s="19"/>
      <c r="I514" s="19"/>
      <c r="J514" s="20"/>
      <c r="K514" s="20"/>
      <c r="L514" s="19"/>
      <c r="M514" s="19"/>
      <c r="N514" s="19"/>
      <c r="O514" s="19"/>
      <c r="P514" s="19"/>
      <c r="Q514" s="19"/>
      <c r="R514" s="19"/>
      <c r="S514" s="19"/>
      <c r="T514" s="19"/>
      <c r="U514" s="19"/>
      <c r="V514" s="19"/>
      <c r="W514" s="19"/>
      <c r="X514" s="19"/>
    </row>
    <row r="515" spans="1:24" ht="14.25" customHeight="1" x14ac:dyDescent="0.3">
      <c r="A515" s="19"/>
      <c r="B515" s="19"/>
      <c r="C515" s="20"/>
      <c r="E515" s="28"/>
      <c r="F515" s="20"/>
      <c r="G515" s="19"/>
      <c r="H515" s="19"/>
      <c r="I515" s="19"/>
      <c r="J515" s="20"/>
      <c r="K515" s="20"/>
      <c r="L515" s="19"/>
      <c r="M515" s="19"/>
      <c r="N515" s="19"/>
      <c r="O515" s="19"/>
      <c r="P515" s="19"/>
      <c r="Q515" s="19"/>
      <c r="R515" s="19"/>
      <c r="S515" s="19"/>
      <c r="T515" s="19"/>
      <c r="U515" s="19"/>
      <c r="V515" s="19"/>
      <c r="W515" s="19"/>
      <c r="X515" s="19"/>
    </row>
    <row r="516" spans="1:24" ht="14.25" customHeight="1" x14ac:dyDescent="0.3">
      <c r="A516" s="19"/>
      <c r="B516" s="19"/>
      <c r="C516" s="20"/>
      <c r="E516" s="28"/>
      <c r="F516" s="20"/>
      <c r="G516" s="19"/>
      <c r="H516" s="19"/>
      <c r="I516" s="19"/>
      <c r="J516" s="20"/>
      <c r="K516" s="20"/>
      <c r="L516" s="19"/>
      <c r="M516" s="19"/>
      <c r="N516" s="19"/>
      <c r="O516" s="19"/>
      <c r="P516" s="19"/>
      <c r="Q516" s="19"/>
      <c r="R516" s="19"/>
      <c r="S516" s="19"/>
      <c r="T516" s="19"/>
      <c r="U516" s="19"/>
      <c r="V516" s="19"/>
      <c r="W516" s="19"/>
      <c r="X516" s="19"/>
    </row>
    <row r="517" spans="1:24" ht="14.25" customHeight="1" x14ac:dyDescent="0.3">
      <c r="A517" s="19"/>
      <c r="B517" s="19"/>
      <c r="C517" s="20"/>
      <c r="E517" s="28"/>
      <c r="F517" s="20"/>
      <c r="G517" s="19"/>
      <c r="H517" s="19"/>
      <c r="I517" s="19"/>
      <c r="J517" s="20"/>
      <c r="K517" s="20"/>
      <c r="L517" s="19"/>
      <c r="M517" s="19"/>
      <c r="N517" s="19"/>
      <c r="O517" s="19"/>
      <c r="P517" s="19"/>
      <c r="Q517" s="19"/>
      <c r="R517" s="19"/>
      <c r="S517" s="19"/>
      <c r="T517" s="19"/>
      <c r="U517" s="19"/>
      <c r="V517" s="19"/>
      <c r="W517" s="19"/>
      <c r="X517" s="19"/>
    </row>
    <row r="518" spans="1:24" ht="14.25" customHeight="1" x14ac:dyDescent="0.3">
      <c r="A518" s="19"/>
      <c r="B518" s="19"/>
      <c r="C518" s="20"/>
      <c r="E518" s="28"/>
      <c r="F518" s="20"/>
      <c r="G518" s="19"/>
      <c r="H518" s="19"/>
      <c r="I518" s="19"/>
      <c r="J518" s="20"/>
      <c r="K518" s="20"/>
      <c r="L518" s="19"/>
      <c r="M518" s="19"/>
      <c r="N518" s="19"/>
      <c r="O518" s="19"/>
      <c r="P518" s="19"/>
      <c r="Q518" s="19"/>
      <c r="R518" s="19"/>
      <c r="S518" s="19"/>
      <c r="T518" s="19"/>
      <c r="U518" s="19"/>
      <c r="V518" s="19"/>
      <c r="W518" s="19"/>
      <c r="X518" s="19"/>
    </row>
    <row r="519" spans="1:24" ht="14.25" customHeight="1" x14ac:dyDescent="0.3">
      <c r="A519" s="19"/>
      <c r="B519" s="19"/>
      <c r="C519" s="20"/>
      <c r="E519" s="28"/>
      <c r="F519" s="20"/>
      <c r="G519" s="19"/>
      <c r="H519" s="19"/>
      <c r="I519" s="19"/>
      <c r="J519" s="20"/>
      <c r="K519" s="20"/>
      <c r="L519" s="19"/>
      <c r="M519" s="19"/>
      <c r="N519" s="19"/>
      <c r="O519" s="19"/>
      <c r="P519" s="19"/>
      <c r="Q519" s="19"/>
      <c r="R519" s="19"/>
      <c r="S519" s="19"/>
      <c r="T519" s="19"/>
      <c r="U519" s="19"/>
      <c r="V519" s="19"/>
      <c r="W519" s="19"/>
      <c r="X519" s="19"/>
    </row>
    <row r="520" spans="1:24" ht="14.25" customHeight="1" x14ac:dyDescent="0.3">
      <c r="A520" s="19"/>
      <c r="B520" s="19"/>
      <c r="C520" s="20"/>
      <c r="E520" s="28"/>
      <c r="F520" s="20"/>
      <c r="G520" s="19"/>
      <c r="H520" s="19"/>
      <c r="I520" s="19"/>
      <c r="J520" s="20"/>
      <c r="K520" s="20"/>
      <c r="L520" s="19"/>
      <c r="M520" s="19"/>
      <c r="N520" s="19"/>
      <c r="O520" s="19"/>
      <c r="P520" s="19"/>
      <c r="Q520" s="19"/>
      <c r="R520" s="19"/>
      <c r="S520" s="19"/>
      <c r="T520" s="19"/>
      <c r="U520" s="19"/>
      <c r="V520" s="19"/>
      <c r="W520" s="19"/>
      <c r="X520" s="19"/>
    </row>
    <row r="521" spans="1:24" ht="14.25" customHeight="1" x14ac:dyDescent="0.3">
      <c r="A521" s="19"/>
      <c r="B521" s="19"/>
      <c r="C521" s="20"/>
      <c r="E521" s="28"/>
      <c r="F521" s="20"/>
      <c r="G521" s="19"/>
      <c r="H521" s="19"/>
      <c r="I521" s="19"/>
      <c r="J521" s="20"/>
      <c r="K521" s="20"/>
      <c r="L521" s="19"/>
      <c r="M521" s="19"/>
      <c r="N521" s="19"/>
      <c r="O521" s="19"/>
      <c r="P521" s="19"/>
      <c r="Q521" s="19"/>
      <c r="R521" s="19"/>
      <c r="S521" s="19"/>
      <c r="T521" s="19"/>
      <c r="U521" s="19"/>
      <c r="V521" s="19"/>
      <c r="W521" s="19"/>
      <c r="X521" s="19"/>
    </row>
    <row r="522" spans="1:24" ht="14.25" customHeight="1" x14ac:dyDescent="0.3">
      <c r="A522" s="19"/>
      <c r="B522" s="19"/>
      <c r="C522" s="20"/>
      <c r="E522" s="28"/>
      <c r="F522" s="20"/>
      <c r="G522" s="19"/>
      <c r="H522" s="19"/>
      <c r="I522" s="19"/>
      <c r="J522" s="20"/>
      <c r="K522" s="20"/>
      <c r="L522" s="19"/>
      <c r="M522" s="19"/>
      <c r="N522" s="19"/>
      <c r="O522" s="19"/>
      <c r="P522" s="19"/>
      <c r="Q522" s="19"/>
      <c r="R522" s="19"/>
      <c r="S522" s="19"/>
      <c r="T522" s="19"/>
      <c r="U522" s="19"/>
      <c r="V522" s="19"/>
      <c r="W522" s="19"/>
      <c r="X522" s="19"/>
    </row>
    <row r="523" spans="1:24" ht="14.25" customHeight="1" x14ac:dyDescent="0.3">
      <c r="A523" s="19"/>
      <c r="B523" s="19"/>
      <c r="C523" s="20"/>
      <c r="E523" s="28"/>
      <c r="F523" s="20"/>
      <c r="G523" s="19"/>
      <c r="H523" s="19"/>
      <c r="I523" s="19"/>
      <c r="J523" s="20"/>
      <c r="K523" s="20"/>
      <c r="L523" s="19"/>
      <c r="M523" s="19"/>
      <c r="N523" s="19"/>
      <c r="O523" s="19"/>
      <c r="P523" s="19"/>
      <c r="Q523" s="19"/>
      <c r="R523" s="19"/>
      <c r="S523" s="19"/>
      <c r="T523" s="19"/>
      <c r="U523" s="19"/>
      <c r="V523" s="19"/>
      <c r="W523" s="19"/>
      <c r="X523" s="19"/>
    </row>
    <row r="524" spans="1:24" ht="14.25" customHeight="1" x14ac:dyDescent="0.3">
      <c r="A524" s="19"/>
      <c r="B524" s="19"/>
      <c r="C524" s="20"/>
      <c r="E524" s="28"/>
      <c r="F524" s="20"/>
      <c r="G524" s="19"/>
      <c r="H524" s="19"/>
      <c r="I524" s="19"/>
      <c r="J524" s="20"/>
      <c r="K524" s="20"/>
      <c r="L524" s="19"/>
      <c r="M524" s="19"/>
      <c r="N524" s="19"/>
      <c r="O524" s="19"/>
      <c r="P524" s="19"/>
      <c r="Q524" s="19"/>
      <c r="R524" s="19"/>
      <c r="S524" s="19"/>
      <c r="T524" s="19"/>
      <c r="U524" s="19"/>
      <c r="V524" s="19"/>
      <c r="W524" s="19"/>
      <c r="X524" s="19"/>
    </row>
    <row r="525" spans="1:24" ht="14.25" customHeight="1" x14ac:dyDescent="0.3">
      <c r="A525" s="19"/>
      <c r="B525" s="19"/>
      <c r="C525" s="20"/>
      <c r="E525" s="28"/>
      <c r="F525" s="20"/>
      <c r="G525" s="19"/>
      <c r="H525" s="19"/>
      <c r="I525" s="19"/>
      <c r="J525" s="20"/>
      <c r="K525" s="20"/>
      <c r="L525" s="19"/>
      <c r="M525" s="19"/>
      <c r="N525" s="19"/>
      <c r="O525" s="19"/>
      <c r="P525" s="19"/>
      <c r="Q525" s="19"/>
      <c r="R525" s="19"/>
      <c r="S525" s="19"/>
      <c r="T525" s="19"/>
      <c r="U525" s="19"/>
      <c r="V525" s="19"/>
      <c r="W525" s="19"/>
      <c r="X525" s="19"/>
    </row>
    <row r="526" spans="1:24" ht="14.25" customHeight="1" x14ac:dyDescent="0.3">
      <c r="A526" s="19"/>
      <c r="B526" s="19"/>
      <c r="C526" s="20"/>
      <c r="E526" s="28"/>
      <c r="F526" s="20"/>
      <c r="G526" s="19"/>
      <c r="H526" s="19"/>
      <c r="I526" s="19"/>
      <c r="J526" s="20"/>
      <c r="K526" s="20"/>
      <c r="L526" s="19"/>
      <c r="M526" s="19"/>
      <c r="N526" s="19"/>
      <c r="O526" s="19"/>
      <c r="P526" s="19"/>
      <c r="Q526" s="19"/>
      <c r="R526" s="19"/>
      <c r="S526" s="19"/>
      <c r="T526" s="19"/>
      <c r="U526" s="19"/>
      <c r="V526" s="19"/>
      <c r="W526" s="19"/>
      <c r="X526" s="19"/>
    </row>
    <row r="527" spans="1:24" ht="14.25" customHeight="1" x14ac:dyDescent="0.3">
      <c r="A527" s="19"/>
      <c r="B527" s="19"/>
      <c r="C527" s="20"/>
      <c r="E527" s="28"/>
      <c r="F527" s="20"/>
      <c r="G527" s="19"/>
      <c r="H527" s="19"/>
      <c r="I527" s="19"/>
      <c r="J527" s="20"/>
      <c r="K527" s="20"/>
      <c r="L527" s="19"/>
      <c r="M527" s="19"/>
      <c r="N527" s="19"/>
      <c r="O527" s="19"/>
      <c r="P527" s="19"/>
      <c r="Q527" s="19"/>
      <c r="R527" s="19"/>
      <c r="S527" s="19"/>
      <c r="T527" s="19"/>
      <c r="U527" s="19"/>
      <c r="V527" s="19"/>
      <c r="W527" s="19"/>
      <c r="X527" s="19"/>
    </row>
    <row r="528" spans="1:24" ht="14.25" customHeight="1" x14ac:dyDescent="0.3">
      <c r="A528" s="19"/>
      <c r="B528" s="19"/>
      <c r="C528" s="20"/>
      <c r="E528" s="28"/>
      <c r="F528" s="20"/>
      <c r="G528" s="19"/>
      <c r="H528" s="19"/>
      <c r="I528" s="19"/>
      <c r="J528" s="20"/>
      <c r="K528" s="20"/>
      <c r="L528" s="19"/>
      <c r="M528" s="19"/>
      <c r="N528" s="19"/>
      <c r="O528" s="19"/>
      <c r="P528" s="19"/>
      <c r="Q528" s="19"/>
      <c r="R528" s="19"/>
      <c r="S528" s="19"/>
      <c r="T528" s="19"/>
      <c r="U528" s="19"/>
      <c r="V528" s="19"/>
      <c r="W528" s="19"/>
      <c r="X528" s="19"/>
    </row>
    <row r="529" spans="1:24" ht="14.25" customHeight="1" x14ac:dyDescent="0.3">
      <c r="A529" s="19"/>
      <c r="B529" s="19"/>
      <c r="C529" s="20"/>
      <c r="E529" s="28"/>
      <c r="F529" s="20"/>
      <c r="G529" s="19"/>
      <c r="H529" s="19"/>
      <c r="I529" s="19"/>
      <c r="J529" s="20"/>
      <c r="K529" s="20"/>
      <c r="L529" s="19"/>
      <c r="M529" s="19"/>
      <c r="N529" s="19"/>
      <c r="O529" s="19"/>
      <c r="P529" s="19"/>
      <c r="Q529" s="19"/>
      <c r="R529" s="19"/>
      <c r="S529" s="19"/>
      <c r="T529" s="19"/>
      <c r="U529" s="19"/>
      <c r="V529" s="19"/>
      <c r="W529" s="19"/>
      <c r="X529" s="19"/>
    </row>
    <row r="530" spans="1:24" ht="14.25" customHeight="1" x14ac:dyDescent="0.3">
      <c r="A530" s="19"/>
      <c r="B530" s="19"/>
      <c r="C530" s="20"/>
      <c r="E530" s="28"/>
      <c r="F530" s="20"/>
      <c r="G530" s="19"/>
      <c r="H530" s="19"/>
      <c r="I530" s="19"/>
      <c r="J530" s="20"/>
      <c r="K530" s="20"/>
      <c r="L530" s="19"/>
      <c r="M530" s="19"/>
      <c r="N530" s="19"/>
      <c r="O530" s="19"/>
      <c r="P530" s="19"/>
      <c r="Q530" s="19"/>
      <c r="R530" s="19"/>
      <c r="S530" s="19"/>
      <c r="T530" s="19"/>
      <c r="U530" s="19"/>
      <c r="V530" s="19"/>
      <c r="W530" s="19"/>
      <c r="X530" s="19"/>
    </row>
    <row r="531" spans="1:24" ht="14.25" customHeight="1" x14ac:dyDescent="0.3">
      <c r="A531" s="19"/>
      <c r="B531" s="19"/>
      <c r="C531" s="20"/>
      <c r="E531" s="28"/>
      <c r="F531" s="20"/>
      <c r="G531" s="19"/>
      <c r="H531" s="19"/>
      <c r="I531" s="19"/>
      <c r="J531" s="20"/>
      <c r="K531" s="20"/>
      <c r="L531" s="19"/>
      <c r="M531" s="19"/>
      <c r="N531" s="19"/>
      <c r="O531" s="19"/>
      <c r="P531" s="19"/>
      <c r="Q531" s="19"/>
      <c r="R531" s="19"/>
      <c r="S531" s="19"/>
      <c r="T531" s="19"/>
      <c r="U531" s="19"/>
      <c r="V531" s="19"/>
      <c r="W531" s="19"/>
      <c r="X531" s="19"/>
    </row>
    <row r="532" spans="1:24" ht="14.25" customHeight="1" x14ac:dyDescent="0.3">
      <c r="A532" s="19"/>
      <c r="B532" s="19"/>
      <c r="C532" s="20"/>
      <c r="E532" s="28"/>
      <c r="F532" s="20"/>
      <c r="G532" s="19"/>
      <c r="H532" s="19"/>
      <c r="I532" s="19"/>
      <c r="J532" s="20"/>
      <c r="K532" s="20"/>
      <c r="L532" s="19"/>
      <c r="M532" s="19"/>
      <c r="N532" s="19"/>
      <c r="O532" s="19"/>
      <c r="P532" s="19"/>
      <c r="Q532" s="19"/>
      <c r="R532" s="19"/>
      <c r="S532" s="19"/>
      <c r="T532" s="19"/>
      <c r="U532" s="19"/>
      <c r="V532" s="19"/>
      <c r="W532" s="19"/>
      <c r="X532" s="19"/>
    </row>
    <row r="533" spans="1:24" ht="14.25" customHeight="1" x14ac:dyDescent="0.3">
      <c r="A533" s="19"/>
      <c r="B533" s="19"/>
      <c r="C533" s="20"/>
      <c r="E533" s="28"/>
      <c r="F533" s="20"/>
      <c r="G533" s="19"/>
      <c r="H533" s="19"/>
      <c r="I533" s="19"/>
      <c r="J533" s="20"/>
      <c r="K533" s="20"/>
      <c r="L533" s="19"/>
      <c r="M533" s="19"/>
      <c r="N533" s="19"/>
      <c r="O533" s="19"/>
      <c r="P533" s="19"/>
      <c r="Q533" s="19"/>
      <c r="R533" s="19"/>
      <c r="S533" s="19"/>
      <c r="T533" s="19"/>
      <c r="U533" s="19"/>
      <c r="V533" s="19"/>
      <c r="W533" s="19"/>
      <c r="X533" s="19"/>
    </row>
    <row r="534" spans="1:24" ht="14.25" customHeight="1" x14ac:dyDescent="0.3">
      <c r="A534" s="19"/>
      <c r="B534" s="19"/>
      <c r="C534" s="20"/>
      <c r="E534" s="28"/>
      <c r="F534" s="20"/>
      <c r="G534" s="19"/>
      <c r="H534" s="19"/>
      <c r="I534" s="19"/>
      <c r="J534" s="20"/>
      <c r="K534" s="20"/>
      <c r="L534" s="19"/>
      <c r="M534" s="19"/>
      <c r="N534" s="19"/>
      <c r="O534" s="19"/>
      <c r="P534" s="19"/>
      <c r="Q534" s="19"/>
      <c r="R534" s="19"/>
      <c r="S534" s="19"/>
      <c r="T534" s="19"/>
      <c r="U534" s="19"/>
      <c r="V534" s="19"/>
      <c r="W534" s="19"/>
      <c r="X534" s="19"/>
    </row>
    <row r="535" spans="1:24" ht="14.25" customHeight="1" x14ac:dyDescent="0.3">
      <c r="A535" s="19"/>
      <c r="B535" s="19"/>
      <c r="C535" s="20"/>
      <c r="E535" s="28"/>
      <c r="F535" s="20"/>
      <c r="G535" s="19"/>
      <c r="H535" s="19"/>
      <c r="I535" s="19"/>
      <c r="J535" s="20"/>
      <c r="K535" s="20"/>
      <c r="L535" s="19"/>
      <c r="M535" s="19"/>
      <c r="N535" s="19"/>
      <c r="O535" s="19"/>
      <c r="P535" s="19"/>
      <c r="Q535" s="19"/>
      <c r="R535" s="19"/>
      <c r="S535" s="19"/>
      <c r="T535" s="19"/>
      <c r="U535" s="19"/>
      <c r="V535" s="19"/>
      <c r="W535" s="19"/>
      <c r="X535" s="19"/>
    </row>
    <row r="536" spans="1:24" ht="14.25" customHeight="1" x14ac:dyDescent="0.3">
      <c r="A536" s="19"/>
      <c r="B536" s="19"/>
      <c r="C536" s="20"/>
      <c r="E536" s="28"/>
      <c r="F536" s="20"/>
      <c r="G536" s="19"/>
      <c r="H536" s="19"/>
      <c r="I536" s="19"/>
      <c r="J536" s="20"/>
      <c r="K536" s="20"/>
      <c r="L536" s="19"/>
      <c r="M536" s="19"/>
      <c r="N536" s="19"/>
      <c r="O536" s="19"/>
      <c r="P536" s="19"/>
      <c r="Q536" s="19"/>
      <c r="R536" s="19"/>
      <c r="S536" s="19"/>
      <c r="T536" s="19"/>
      <c r="U536" s="19"/>
      <c r="V536" s="19"/>
      <c r="W536" s="19"/>
      <c r="X536" s="19"/>
    </row>
    <row r="537" spans="1:24" ht="14.25" customHeight="1" x14ac:dyDescent="0.3">
      <c r="A537" s="19"/>
      <c r="B537" s="19"/>
      <c r="C537" s="20"/>
      <c r="E537" s="28"/>
      <c r="F537" s="20"/>
      <c r="G537" s="19"/>
      <c r="H537" s="19"/>
      <c r="I537" s="19"/>
      <c r="J537" s="20"/>
      <c r="K537" s="20"/>
      <c r="L537" s="19"/>
      <c r="M537" s="19"/>
      <c r="N537" s="19"/>
      <c r="O537" s="19"/>
      <c r="P537" s="19"/>
      <c r="Q537" s="19"/>
      <c r="R537" s="19"/>
      <c r="S537" s="19"/>
      <c r="T537" s="19"/>
      <c r="U537" s="19"/>
      <c r="V537" s="19"/>
      <c r="W537" s="19"/>
      <c r="X537" s="19"/>
    </row>
    <row r="538" spans="1:24" ht="14.25" customHeight="1" x14ac:dyDescent="0.3">
      <c r="A538" s="19"/>
      <c r="B538" s="19"/>
      <c r="C538" s="20"/>
      <c r="E538" s="28"/>
      <c r="F538" s="20"/>
      <c r="G538" s="19"/>
      <c r="H538" s="19"/>
      <c r="I538" s="19"/>
      <c r="J538" s="20"/>
      <c r="K538" s="20"/>
      <c r="L538" s="19"/>
      <c r="M538" s="19"/>
      <c r="N538" s="19"/>
      <c r="O538" s="19"/>
      <c r="P538" s="19"/>
      <c r="Q538" s="19"/>
      <c r="R538" s="19"/>
      <c r="S538" s="19"/>
      <c r="T538" s="19"/>
      <c r="U538" s="19"/>
      <c r="V538" s="19"/>
      <c r="W538" s="19"/>
      <c r="X538" s="19"/>
    </row>
    <row r="539" spans="1:24" ht="14.25" customHeight="1" x14ac:dyDescent="0.3">
      <c r="A539" s="19"/>
      <c r="B539" s="19"/>
      <c r="C539" s="20"/>
      <c r="E539" s="28"/>
      <c r="F539" s="20"/>
      <c r="G539" s="19"/>
      <c r="H539" s="19"/>
      <c r="I539" s="19"/>
      <c r="J539" s="20"/>
      <c r="K539" s="20"/>
      <c r="L539" s="19"/>
      <c r="M539" s="19"/>
      <c r="N539" s="19"/>
      <c r="O539" s="19"/>
      <c r="P539" s="19"/>
      <c r="Q539" s="19"/>
      <c r="R539" s="19"/>
      <c r="S539" s="19"/>
      <c r="T539" s="19"/>
      <c r="U539" s="19"/>
      <c r="V539" s="19"/>
      <c r="W539" s="19"/>
      <c r="X539" s="19"/>
    </row>
    <row r="540" spans="1:24" ht="14.25" customHeight="1" x14ac:dyDescent="0.3">
      <c r="A540" s="19"/>
      <c r="B540" s="19"/>
      <c r="C540" s="20"/>
      <c r="E540" s="28"/>
      <c r="F540" s="20"/>
      <c r="G540" s="19"/>
      <c r="H540" s="19"/>
      <c r="I540" s="19"/>
      <c r="J540" s="20"/>
      <c r="K540" s="20"/>
      <c r="L540" s="19"/>
      <c r="M540" s="19"/>
      <c r="N540" s="19"/>
      <c r="O540" s="19"/>
      <c r="P540" s="19"/>
      <c r="Q540" s="19"/>
      <c r="R540" s="19"/>
      <c r="S540" s="19"/>
      <c r="T540" s="19"/>
      <c r="U540" s="19"/>
      <c r="V540" s="19"/>
      <c r="W540" s="19"/>
      <c r="X540" s="19"/>
    </row>
    <row r="541" spans="1:24" ht="14.25" customHeight="1" x14ac:dyDescent="0.3">
      <c r="A541" s="19"/>
      <c r="B541" s="19"/>
      <c r="C541" s="20"/>
      <c r="E541" s="28"/>
      <c r="F541" s="20"/>
      <c r="G541" s="19"/>
      <c r="H541" s="19"/>
      <c r="I541" s="19"/>
      <c r="J541" s="20"/>
      <c r="K541" s="20"/>
      <c r="L541" s="19"/>
      <c r="M541" s="19"/>
      <c r="N541" s="19"/>
      <c r="O541" s="19"/>
      <c r="P541" s="19"/>
      <c r="Q541" s="19"/>
      <c r="R541" s="19"/>
      <c r="S541" s="19"/>
      <c r="T541" s="19"/>
      <c r="U541" s="19"/>
      <c r="V541" s="19"/>
      <c r="W541" s="19"/>
      <c r="X541" s="19"/>
    </row>
    <row r="542" spans="1:24" ht="14.25" customHeight="1" x14ac:dyDescent="0.3">
      <c r="A542" s="19"/>
      <c r="B542" s="19"/>
      <c r="C542" s="20"/>
      <c r="E542" s="28"/>
      <c r="F542" s="20"/>
      <c r="G542" s="19"/>
      <c r="H542" s="19"/>
      <c r="I542" s="19"/>
      <c r="J542" s="20"/>
      <c r="K542" s="20"/>
      <c r="L542" s="19"/>
      <c r="M542" s="19"/>
      <c r="N542" s="19"/>
      <c r="O542" s="19"/>
      <c r="P542" s="19"/>
      <c r="Q542" s="19"/>
      <c r="R542" s="19"/>
      <c r="S542" s="19"/>
      <c r="T542" s="19"/>
      <c r="U542" s="19"/>
      <c r="V542" s="19"/>
      <c r="W542" s="19"/>
      <c r="X542" s="19"/>
    </row>
    <row r="543" spans="1:24" ht="14.25" customHeight="1" x14ac:dyDescent="0.3">
      <c r="A543" s="19"/>
      <c r="B543" s="19"/>
      <c r="C543" s="20"/>
      <c r="E543" s="28"/>
      <c r="F543" s="20"/>
      <c r="G543" s="19"/>
      <c r="H543" s="19"/>
      <c r="I543" s="19"/>
      <c r="J543" s="20"/>
      <c r="K543" s="20"/>
      <c r="L543" s="19"/>
      <c r="M543" s="19"/>
      <c r="N543" s="19"/>
      <c r="O543" s="19"/>
      <c r="P543" s="19"/>
      <c r="Q543" s="19"/>
      <c r="R543" s="19"/>
      <c r="S543" s="19"/>
      <c r="T543" s="19"/>
      <c r="U543" s="19"/>
      <c r="V543" s="19"/>
      <c r="W543" s="19"/>
      <c r="X543" s="19"/>
    </row>
    <row r="544" spans="1:24" ht="14.25" customHeight="1" x14ac:dyDescent="0.3">
      <c r="A544" s="19"/>
      <c r="B544" s="19"/>
      <c r="C544" s="20"/>
      <c r="E544" s="28"/>
      <c r="F544" s="20"/>
      <c r="G544" s="19"/>
      <c r="H544" s="19"/>
      <c r="I544" s="19"/>
      <c r="J544" s="20"/>
      <c r="K544" s="20"/>
      <c r="L544" s="19"/>
      <c r="M544" s="19"/>
      <c r="N544" s="19"/>
      <c r="O544" s="19"/>
      <c r="P544" s="19"/>
      <c r="Q544" s="19"/>
      <c r="R544" s="19"/>
      <c r="S544" s="19"/>
      <c r="T544" s="19"/>
      <c r="U544" s="19"/>
      <c r="V544" s="19"/>
      <c r="W544" s="19"/>
      <c r="X544" s="19"/>
    </row>
    <row r="545" spans="1:24" ht="14.25" customHeight="1" x14ac:dyDescent="0.3">
      <c r="A545" s="19"/>
      <c r="B545" s="19"/>
      <c r="C545" s="20"/>
      <c r="E545" s="28"/>
      <c r="F545" s="20"/>
      <c r="G545" s="19"/>
      <c r="H545" s="19"/>
      <c r="I545" s="19"/>
      <c r="J545" s="20"/>
      <c r="K545" s="20"/>
      <c r="L545" s="19"/>
      <c r="M545" s="19"/>
      <c r="N545" s="19"/>
      <c r="O545" s="19"/>
      <c r="P545" s="19"/>
      <c r="Q545" s="19"/>
      <c r="R545" s="19"/>
      <c r="S545" s="19"/>
      <c r="T545" s="19"/>
      <c r="U545" s="19"/>
      <c r="V545" s="19"/>
      <c r="W545" s="19"/>
      <c r="X545" s="19"/>
    </row>
    <row r="546" spans="1:24" ht="14.25" customHeight="1" x14ac:dyDescent="0.3">
      <c r="A546" s="19"/>
      <c r="B546" s="19"/>
      <c r="C546" s="20"/>
      <c r="E546" s="28"/>
      <c r="F546" s="20"/>
      <c r="G546" s="19"/>
      <c r="H546" s="19"/>
      <c r="I546" s="19"/>
      <c r="J546" s="20"/>
      <c r="K546" s="20"/>
      <c r="L546" s="19"/>
      <c r="M546" s="19"/>
      <c r="N546" s="19"/>
      <c r="O546" s="19"/>
      <c r="P546" s="19"/>
      <c r="Q546" s="19"/>
      <c r="R546" s="19"/>
      <c r="S546" s="19"/>
      <c r="T546" s="19"/>
      <c r="U546" s="19"/>
      <c r="V546" s="19"/>
      <c r="W546" s="19"/>
      <c r="X546" s="19"/>
    </row>
    <row r="547" spans="1:24" ht="14.25" customHeight="1" x14ac:dyDescent="0.3">
      <c r="A547" s="19"/>
      <c r="B547" s="19"/>
      <c r="C547" s="20"/>
      <c r="E547" s="28"/>
      <c r="F547" s="20"/>
      <c r="G547" s="19"/>
      <c r="H547" s="19"/>
      <c r="I547" s="19"/>
      <c r="J547" s="20"/>
      <c r="K547" s="20"/>
      <c r="L547" s="19"/>
      <c r="M547" s="19"/>
      <c r="N547" s="19"/>
      <c r="O547" s="19"/>
      <c r="P547" s="19"/>
      <c r="Q547" s="19"/>
      <c r="R547" s="19"/>
      <c r="S547" s="19"/>
      <c r="T547" s="19"/>
      <c r="U547" s="19"/>
      <c r="V547" s="19"/>
      <c r="W547" s="19"/>
      <c r="X547" s="19"/>
    </row>
    <row r="548" spans="1:24" ht="14.25" customHeight="1" x14ac:dyDescent="0.3">
      <c r="A548" s="19"/>
      <c r="B548" s="19"/>
      <c r="C548" s="20"/>
      <c r="E548" s="28"/>
      <c r="F548" s="20"/>
      <c r="G548" s="19"/>
      <c r="H548" s="19"/>
      <c r="I548" s="19"/>
      <c r="J548" s="20"/>
      <c r="K548" s="20"/>
      <c r="L548" s="19"/>
      <c r="M548" s="19"/>
      <c r="N548" s="19"/>
      <c r="O548" s="19"/>
      <c r="P548" s="19"/>
      <c r="Q548" s="19"/>
      <c r="R548" s="19"/>
      <c r="S548" s="19"/>
      <c r="T548" s="19"/>
      <c r="U548" s="19"/>
      <c r="V548" s="19"/>
      <c r="W548" s="19"/>
      <c r="X548" s="19"/>
    </row>
    <row r="549" spans="1:24" ht="14.25" customHeight="1" x14ac:dyDescent="0.3">
      <c r="A549" s="19"/>
      <c r="B549" s="19"/>
      <c r="C549" s="20"/>
      <c r="E549" s="28"/>
      <c r="F549" s="20"/>
      <c r="G549" s="19"/>
      <c r="H549" s="19"/>
      <c r="I549" s="19"/>
      <c r="J549" s="20"/>
      <c r="K549" s="20"/>
      <c r="L549" s="19"/>
      <c r="M549" s="19"/>
      <c r="N549" s="19"/>
      <c r="O549" s="19"/>
      <c r="P549" s="19"/>
      <c r="Q549" s="19"/>
      <c r="R549" s="19"/>
      <c r="S549" s="19"/>
      <c r="T549" s="19"/>
      <c r="U549" s="19"/>
      <c r="V549" s="19"/>
      <c r="W549" s="19"/>
      <c r="X549" s="19"/>
    </row>
    <row r="550" spans="1:24" ht="14.25" customHeight="1" x14ac:dyDescent="0.3">
      <c r="A550" s="19"/>
      <c r="B550" s="19"/>
      <c r="C550" s="20"/>
      <c r="E550" s="28"/>
      <c r="F550" s="20"/>
      <c r="G550" s="19"/>
      <c r="H550" s="19"/>
      <c r="I550" s="19"/>
      <c r="J550" s="20"/>
      <c r="K550" s="20"/>
      <c r="L550" s="19"/>
      <c r="M550" s="19"/>
      <c r="N550" s="19"/>
      <c r="O550" s="19"/>
      <c r="P550" s="19"/>
      <c r="Q550" s="19"/>
      <c r="R550" s="19"/>
      <c r="S550" s="19"/>
      <c r="T550" s="19"/>
      <c r="U550" s="19"/>
      <c r="V550" s="19"/>
      <c r="W550" s="19"/>
      <c r="X550" s="19"/>
    </row>
    <row r="551" spans="1:24" ht="14.25" customHeight="1" x14ac:dyDescent="0.3">
      <c r="A551" s="19"/>
      <c r="B551" s="19"/>
      <c r="C551" s="20"/>
      <c r="E551" s="28"/>
      <c r="F551" s="20"/>
      <c r="G551" s="19"/>
      <c r="H551" s="19"/>
      <c r="I551" s="19"/>
      <c r="J551" s="20"/>
      <c r="K551" s="20"/>
      <c r="L551" s="19"/>
      <c r="M551" s="19"/>
      <c r="N551" s="19"/>
      <c r="O551" s="19"/>
      <c r="P551" s="19"/>
      <c r="Q551" s="19"/>
      <c r="R551" s="19"/>
      <c r="S551" s="19"/>
      <c r="T551" s="19"/>
      <c r="U551" s="19"/>
      <c r="V551" s="19"/>
      <c r="W551" s="19"/>
      <c r="X551" s="19"/>
    </row>
    <row r="552" spans="1:24" ht="14.25" customHeight="1" x14ac:dyDescent="0.3">
      <c r="A552" s="19"/>
      <c r="B552" s="19"/>
      <c r="C552" s="20"/>
      <c r="E552" s="28"/>
      <c r="F552" s="20"/>
      <c r="G552" s="19"/>
      <c r="H552" s="19"/>
      <c r="I552" s="19"/>
      <c r="J552" s="20"/>
      <c r="K552" s="20"/>
      <c r="L552" s="19"/>
      <c r="M552" s="19"/>
      <c r="N552" s="19"/>
      <c r="O552" s="19"/>
      <c r="P552" s="19"/>
      <c r="Q552" s="19"/>
      <c r="R552" s="19"/>
      <c r="S552" s="19"/>
      <c r="T552" s="19"/>
      <c r="U552" s="19"/>
      <c r="V552" s="19"/>
      <c r="W552" s="19"/>
      <c r="X552" s="19"/>
    </row>
    <row r="553" spans="1:24" ht="14.25" customHeight="1" x14ac:dyDescent="0.3">
      <c r="A553" s="19"/>
      <c r="B553" s="19"/>
      <c r="C553" s="20"/>
      <c r="E553" s="28"/>
      <c r="F553" s="20"/>
      <c r="G553" s="19"/>
      <c r="H553" s="19"/>
      <c r="I553" s="19"/>
      <c r="J553" s="20"/>
      <c r="K553" s="20"/>
      <c r="L553" s="19"/>
      <c r="M553" s="19"/>
      <c r="N553" s="19"/>
      <c r="O553" s="19"/>
      <c r="P553" s="19"/>
      <c r="Q553" s="19"/>
      <c r="R553" s="19"/>
      <c r="S553" s="19"/>
      <c r="T553" s="19"/>
      <c r="U553" s="19"/>
      <c r="V553" s="19"/>
      <c r="W553" s="19"/>
      <c r="X553" s="19"/>
    </row>
    <row r="554" spans="1:24" ht="14.25" customHeight="1" x14ac:dyDescent="0.3">
      <c r="A554" s="19"/>
      <c r="B554" s="19"/>
      <c r="C554" s="20"/>
      <c r="E554" s="28"/>
      <c r="F554" s="20"/>
      <c r="G554" s="19"/>
      <c r="H554" s="19"/>
      <c r="I554" s="19"/>
      <c r="J554" s="20"/>
      <c r="K554" s="20"/>
      <c r="L554" s="19"/>
      <c r="M554" s="19"/>
      <c r="N554" s="19"/>
      <c r="O554" s="19"/>
      <c r="P554" s="19"/>
      <c r="Q554" s="19"/>
      <c r="R554" s="19"/>
      <c r="S554" s="19"/>
      <c r="T554" s="19"/>
      <c r="U554" s="19"/>
      <c r="V554" s="19"/>
      <c r="W554" s="19"/>
      <c r="X554" s="19"/>
    </row>
    <row r="555" spans="1:24" ht="14.25" customHeight="1" x14ac:dyDescent="0.3">
      <c r="A555" s="19"/>
      <c r="B555" s="19"/>
      <c r="C555" s="20"/>
      <c r="E555" s="28"/>
      <c r="F555" s="20"/>
      <c r="G555" s="19"/>
      <c r="H555" s="19"/>
      <c r="I555" s="19"/>
      <c r="J555" s="20"/>
      <c r="K555" s="20"/>
      <c r="L555" s="19"/>
      <c r="M555" s="19"/>
      <c r="N555" s="19"/>
      <c r="O555" s="19"/>
      <c r="P555" s="19"/>
      <c r="Q555" s="19"/>
      <c r="R555" s="19"/>
      <c r="S555" s="19"/>
      <c r="T555" s="19"/>
      <c r="U555" s="19"/>
      <c r="V555" s="19"/>
      <c r="W555" s="19"/>
      <c r="X555" s="19"/>
    </row>
    <row r="556" spans="1:24" ht="14.25" customHeight="1" x14ac:dyDescent="0.3">
      <c r="A556" s="19"/>
      <c r="B556" s="19"/>
      <c r="C556" s="20"/>
      <c r="E556" s="28"/>
      <c r="F556" s="20"/>
      <c r="G556" s="19"/>
      <c r="H556" s="19"/>
      <c r="I556" s="19"/>
      <c r="J556" s="20"/>
      <c r="K556" s="20"/>
      <c r="L556" s="19"/>
      <c r="M556" s="19"/>
      <c r="N556" s="19"/>
      <c r="O556" s="19"/>
      <c r="P556" s="19"/>
      <c r="Q556" s="19"/>
      <c r="R556" s="19"/>
      <c r="S556" s="19"/>
      <c r="T556" s="19"/>
      <c r="U556" s="19"/>
      <c r="V556" s="19"/>
      <c r="W556" s="19"/>
      <c r="X556" s="19"/>
    </row>
    <row r="557" spans="1:24" ht="14.25" customHeight="1" x14ac:dyDescent="0.3">
      <c r="A557" s="19"/>
      <c r="B557" s="19"/>
      <c r="C557" s="20"/>
      <c r="E557" s="28"/>
      <c r="F557" s="20"/>
      <c r="G557" s="19"/>
      <c r="H557" s="19"/>
      <c r="I557" s="19"/>
      <c r="J557" s="20"/>
      <c r="K557" s="20"/>
      <c r="L557" s="19"/>
      <c r="M557" s="19"/>
      <c r="N557" s="19"/>
      <c r="O557" s="19"/>
      <c r="P557" s="19"/>
      <c r="Q557" s="19"/>
      <c r="R557" s="19"/>
      <c r="S557" s="19"/>
      <c r="T557" s="19"/>
      <c r="U557" s="19"/>
      <c r="V557" s="19"/>
      <c r="W557" s="19"/>
      <c r="X557" s="19"/>
    </row>
    <row r="558" spans="1:24" ht="14.25" customHeight="1" x14ac:dyDescent="0.3">
      <c r="A558" s="19"/>
      <c r="B558" s="19"/>
      <c r="C558" s="20"/>
      <c r="E558" s="28"/>
      <c r="F558" s="20"/>
      <c r="G558" s="19"/>
      <c r="H558" s="19"/>
      <c r="I558" s="19"/>
      <c r="J558" s="20"/>
      <c r="K558" s="20"/>
      <c r="L558" s="19"/>
      <c r="M558" s="19"/>
      <c r="N558" s="19"/>
      <c r="O558" s="19"/>
      <c r="P558" s="19"/>
      <c r="Q558" s="19"/>
      <c r="R558" s="19"/>
      <c r="S558" s="19"/>
      <c r="T558" s="19"/>
      <c r="U558" s="19"/>
      <c r="V558" s="19"/>
      <c r="W558" s="19"/>
      <c r="X558" s="19"/>
    </row>
    <row r="559" spans="1:24" ht="14.25" customHeight="1" x14ac:dyDescent="0.3">
      <c r="A559" s="19"/>
      <c r="B559" s="19"/>
      <c r="C559" s="20"/>
      <c r="E559" s="28"/>
      <c r="F559" s="20"/>
      <c r="G559" s="19"/>
      <c r="H559" s="19"/>
      <c r="I559" s="19"/>
      <c r="J559" s="20"/>
      <c r="K559" s="20"/>
      <c r="L559" s="19"/>
      <c r="M559" s="19"/>
      <c r="N559" s="19"/>
      <c r="O559" s="19"/>
      <c r="P559" s="19"/>
      <c r="Q559" s="19"/>
      <c r="R559" s="19"/>
      <c r="S559" s="19"/>
      <c r="T559" s="19"/>
      <c r="U559" s="19"/>
      <c r="V559" s="19"/>
      <c r="W559" s="19"/>
      <c r="X559" s="19"/>
    </row>
    <row r="560" spans="1:24" ht="14.25" customHeight="1" x14ac:dyDescent="0.3">
      <c r="A560" s="19"/>
      <c r="B560" s="19"/>
      <c r="C560" s="20"/>
      <c r="E560" s="28"/>
      <c r="F560" s="20"/>
      <c r="G560" s="19"/>
      <c r="H560" s="19"/>
      <c r="I560" s="19"/>
      <c r="J560" s="20"/>
      <c r="K560" s="20"/>
      <c r="L560" s="19"/>
      <c r="M560" s="19"/>
      <c r="N560" s="19"/>
      <c r="O560" s="19"/>
      <c r="P560" s="19"/>
      <c r="Q560" s="19"/>
      <c r="R560" s="19"/>
      <c r="S560" s="19"/>
      <c r="T560" s="19"/>
      <c r="U560" s="19"/>
      <c r="V560" s="19"/>
      <c r="W560" s="19"/>
      <c r="X560" s="19"/>
    </row>
    <row r="561" spans="1:24" ht="14.25" customHeight="1" x14ac:dyDescent="0.3">
      <c r="A561" s="19"/>
      <c r="B561" s="19"/>
      <c r="C561" s="20"/>
      <c r="E561" s="28"/>
      <c r="F561" s="20"/>
      <c r="G561" s="19"/>
      <c r="H561" s="19"/>
      <c r="I561" s="19"/>
      <c r="J561" s="20"/>
      <c r="K561" s="20"/>
      <c r="L561" s="19"/>
      <c r="M561" s="19"/>
      <c r="N561" s="19"/>
      <c r="O561" s="19"/>
      <c r="P561" s="19"/>
      <c r="Q561" s="19"/>
      <c r="R561" s="19"/>
      <c r="S561" s="19"/>
      <c r="T561" s="19"/>
      <c r="U561" s="19"/>
      <c r="V561" s="19"/>
      <c r="W561" s="19"/>
      <c r="X561" s="19"/>
    </row>
    <row r="562" spans="1:24" ht="14.25" customHeight="1" x14ac:dyDescent="0.3">
      <c r="A562" s="19"/>
      <c r="B562" s="19"/>
      <c r="C562" s="20"/>
      <c r="E562" s="28"/>
      <c r="F562" s="20"/>
      <c r="G562" s="19"/>
      <c r="H562" s="19"/>
      <c r="I562" s="19"/>
      <c r="J562" s="20"/>
      <c r="K562" s="20"/>
      <c r="L562" s="19"/>
      <c r="M562" s="19"/>
      <c r="N562" s="19"/>
      <c r="O562" s="19"/>
      <c r="P562" s="19"/>
      <c r="Q562" s="19"/>
      <c r="R562" s="19"/>
      <c r="S562" s="19"/>
      <c r="T562" s="19"/>
      <c r="U562" s="19"/>
      <c r="V562" s="19"/>
      <c r="W562" s="19"/>
      <c r="X562" s="19"/>
    </row>
    <row r="563" spans="1:24" ht="14.25" customHeight="1" x14ac:dyDescent="0.3">
      <c r="A563" s="19"/>
      <c r="B563" s="19"/>
      <c r="C563" s="20"/>
      <c r="E563" s="28"/>
      <c r="F563" s="20"/>
      <c r="G563" s="19"/>
      <c r="H563" s="19"/>
      <c r="I563" s="19"/>
      <c r="J563" s="20"/>
      <c r="K563" s="20"/>
      <c r="L563" s="19"/>
      <c r="M563" s="19"/>
      <c r="N563" s="19"/>
      <c r="O563" s="19"/>
      <c r="P563" s="19"/>
      <c r="Q563" s="19"/>
      <c r="R563" s="19"/>
      <c r="S563" s="19"/>
      <c r="T563" s="19"/>
      <c r="U563" s="19"/>
      <c r="V563" s="19"/>
      <c r="W563" s="19"/>
      <c r="X563" s="19"/>
    </row>
    <row r="564" spans="1:24" ht="14.25" customHeight="1" x14ac:dyDescent="0.3">
      <c r="A564" s="19"/>
      <c r="B564" s="19"/>
      <c r="C564" s="20"/>
      <c r="E564" s="28"/>
      <c r="F564" s="20"/>
      <c r="G564" s="19"/>
      <c r="H564" s="19"/>
      <c r="I564" s="19"/>
      <c r="J564" s="20"/>
      <c r="K564" s="20"/>
      <c r="L564" s="19"/>
      <c r="M564" s="19"/>
      <c r="N564" s="19"/>
      <c r="O564" s="19"/>
      <c r="P564" s="19"/>
      <c r="Q564" s="19"/>
      <c r="R564" s="19"/>
      <c r="S564" s="19"/>
      <c r="T564" s="19"/>
      <c r="U564" s="19"/>
      <c r="V564" s="19"/>
      <c r="W564" s="19"/>
      <c r="X564" s="19"/>
    </row>
    <row r="565" spans="1:24" ht="14.25" customHeight="1" x14ac:dyDescent="0.3">
      <c r="A565" s="19"/>
      <c r="B565" s="19"/>
      <c r="C565" s="20"/>
      <c r="E565" s="28"/>
      <c r="F565" s="20"/>
      <c r="G565" s="19"/>
      <c r="H565" s="19"/>
      <c r="I565" s="19"/>
      <c r="J565" s="20"/>
      <c r="K565" s="20"/>
      <c r="L565" s="19"/>
      <c r="M565" s="19"/>
      <c r="N565" s="19"/>
      <c r="O565" s="19"/>
      <c r="P565" s="19"/>
      <c r="Q565" s="19"/>
      <c r="R565" s="19"/>
      <c r="S565" s="19"/>
      <c r="T565" s="19"/>
      <c r="U565" s="19"/>
      <c r="V565" s="19"/>
      <c r="W565" s="19"/>
      <c r="X565" s="19"/>
    </row>
    <row r="566" spans="1:24" ht="14.25" customHeight="1" x14ac:dyDescent="0.3">
      <c r="A566" s="19"/>
      <c r="B566" s="19"/>
      <c r="C566" s="20"/>
      <c r="E566" s="28"/>
      <c r="F566" s="20"/>
      <c r="G566" s="19"/>
      <c r="H566" s="19"/>
      <c r="I566" s="19"/>
      <c r="J566" s="20"/>
      <c r="K566" s="20"/>
      <c r="L566" s="19"/>
      <c r="M566" s="19"/>
      <c r="N566" s="19"/>
      <c r="O566" s="19"/>
      <c r="P566" s="19"/>
      <c r="Q566" s="19"/>
      <c r="R566" s="19"/>
      <c r="S566" s="19"/>
      <c r="T566" s="19"/>
      <c r="U566" s="19"/>
      <c r="V566" s="19"/>
      <c r="W566" s="19"/>
      <c r="X566" s="19"/>
    </row>
    <row r="567" spans="1:24" ht="14.25" customHeight="1" x14ac:dyDescent="0.3">
      <c r="A567" s="19"/>
      <c r="B567" s="19"/>
      <c r="C567" s="20"/>
      <c r="E567" s="28"/>
      <c r="F567" s="20"/>
      <c r="G567" s="19"/>
      <c r="H567" s="19"/>
      <c r="I567" s="19"/>
      <c r="J567" s="20"/>
      <c r="K567" s="20"/>
      <c r="L567" s="19"/>
      <c r="M567" s="19"/>
      <c r="N567" s="19"/>
      <c r="O567" s="19"/>
      <c r="P567" s="19"/>
      <c r="Q567" s="19"/>
      <c r="R567" s="19"/>
      <c r="S567" s="19"/>
      <c r="T567" s="19"/>
      <c r="U567" s="19"/>
      <c r="V567" s="19"/>
      <c r="W567" s="19"/>
      <c r="X567" s="19"/>
    </row>
    <row r="568" spans="1:24" ht="14.25" customHeight="1" x14ac:dyDescent="0.3">
      <c r="A568" s="19"/>
      <c r="B568" s="19"/>
      <c r="C568" s="20"/>
      <c r="E568" s="28"/>
      <c r="F568" s="20"/>
      <c r="G568" s="19"/>
      <c r="H568" s="19"/>
      <c r="I568" s="19"/>
      <c r="J568" s="20"/>
      <c r="K568" s="20"/>
      <c r="L568" s="19"/>
      <c r="M568" s="19"/>
      <c r="N568" s="19"/>
      <c r="O568" s="19"/>
      <c r="P568" s="19"/>
      <c r="Q568" s="19"/>
      <c r="R568" s="19"/>
      <c r="S568" s="19"/>
      <c r="T568" s="19"/>
      <c r="U568" s="19"/>
      <c r="V568" s="19"/>
      <c r="W568" s="19"/>
      <c r="X568" s="19"/>
    </row>
    <row r="569" spans="1:24" ht="14.25" customHeight="1" x14ac:dyDescent="0.3">
      <c r="A569" s="19"/>
      <c r="B569" s="19"/>
      <c r="C569" s="20"/>
      <c r="E569" s="28"/>
      <c r="F569" s="20"/>
      <c r="G569" s="19"/>
      <c r="H569" s="19"/>
      <c r="I569" s="19"/>
      <c r="J569" s="20"/>
      <c r="K569" s="20"/>
      <c r="L569" s="19"/>
      <c r="M569" s="19"/>
      <c r="N569" s="19"/>
      <c r="O569" s="19"/>
      <c r="P569" s="19"/>
      <c r="Q569" s="19"/>
      <c r="R569" s="19"/>
      <c r="S569" s="19"/>
      <c r="T569" s="19"/>
      <c r="U569" s="19"/>
      <c r="V569" s="19"/>
      <c r="W569" s="19"/>
      <c r="X569" s="19"/>
    </row>
    <row r="570" spans="1:24" ht="14.25" customHeight="1" x14ac:dyDescent="0.3">
      <c r="A570" s="19"/>
      <c r="B570" s="19"/>
      <c r="C570" s="20"/>
      <c r="E570" s="28"/>
      <c r="F570" s="20"/>
      <c r="G570" s="19"/>
      <c r="H570" s="19"/>
      <c r="I570" s="19"/>
      <c r="J570" s="20"/>
      <c r="K570" s="20"/>
      <c r="L570" s="19"/>
      <c r="M570" s="19"/>
      <c r="N570" s="19"/>
      <c r="O570" s="19"/>
      <c r="P570" s="19"/>
      <c r="Q570" s="19"/>
      <c r="R570" s="19"/>
      <c r="S570" s="19"/>
      <c r="T570" s="19"/>
      <c r="U570" s="19"/>
      <c r="V570" s="19"/>
      <c r="W570" s="19"/>
      <c r="X570" s="19"/>
    </row>
    <row r="571" spans="1:24" ht="14.25" customHeight="1" x14ac:dyDescent="0.3">
      <c r="A571" s="19"/>
      <c r="B571" s="19"/>
      <c r="C571" s="20"/>
      <c r="E571" s="28"/>
      <c r="F571" s="20"/>
      <c r="G571" s="19"/>
      <c r="H571" s="19"/>
      <c r="I571" s="19"/>
      <c r="J571" s="20"/>
      <c r="K571" s="20"/>
      <c r="L571" s="19"/>
      <c r="M571" s="19"/>
      <c r="N571" s="19"/>
      <c r="O571" s="19"/>
      <c r="P571" s="19"/>
      <c r="Q571" s="19"/>
      <c r="R571" s="19"/>
      <c r="S571" s="19"/>
      <c r="T571" s="19"/>
      <c r="U571" s="19"/>
      <c r="V571" s="19"/>
      <c r="W571" s="19"/>
      <c r="X571" s="19"/>
    </row>
    <row r="572" spans="1:24" ht="14.25" customHeight="1" x14ac:dyDescent="0.3">
      <c r="A572" s="19"/>
      <c r="B572" s="19"/>
      <c r="C572" s="20"/>
      <c r="E572" s="28"/>
      <c r="F572" s="20"/>
      <c r="G572" s="19"/>
      <c r="H572" s="19"/>
      <c r="I572" s="19"/>
      <c r="J572" s="20"/>
      <c r="K572" s="20"/>
      <c r="L572" s="19"/>
      <c r="M572" s="19"/>
      <c r="N572" s="19"/>
      <c r="O572" s="19"/>
      <c r="P572" s="19"/>
      <c r="Q572" s="19"/>
      <c r="R572" s="19"/>
      <c r="S572" s="19"/>
      <c r="T572" s="19"/>
      <c r="U572" s="19"/>
      <c r="V572" s="19"/>
      <c r="W572" s="19"/>
      <c r="X572" s="19"/>
    </row>
    <row r="573" spans="1:24" ht="14.25" customHeight="1" x14ac:dyDescent="0.3">
      <c r="A573" s="19"/>
      <c r="B573" s="19"/>
      <c r="C573" s="20"/>
      <c r="E573" s="28"/>
      <c r="F573" s="20"/>
      <c r="G573" s="19"/>
      <c r="H573" s="19"/>
      <c r="I573" s="19"/>
      <c r="J573" s="20"/>
      <c r="K573" s="20"/>
      <c r="L573" s="19"/>
      <c r="M573" s="19"/>
      <c r="N573" s="19"/>
      <c r="O573" s="19"/>
      <c r="P573" s="19"/>
      <c r="Q573" s="19"/>
      <c r="R573" s="19"/>
      <c r="S573" s="19"/>
      <c r="T573" s="19"/>
      <c r="U573" s="19"/>
      <c r="V573" s="19"/>
      <c r="W573" s="19"/>
      <c r="X573" s="19"/>
    </row>
    <row r="574" spans="1:24" ht="14.25" customHeight="1" x14ac:dyDescent="0.3">
      <c r="A574" s="19"/>
      <c r="B574" s="19"/>
      <c r="C574" s="20"/>
      <c r="E574" s="28"/>
      <c r="F574" s="20"/>
      <c r="G574" s="19"/>
      <c r="H574" s="19"/>
      <c r="I574" s="19"/>
      <c r="J574" s="20"/>
      <c r="K574" s="20"/>
      <c r="L574" s="19"/>
      <c r="M574" s="19"/>
      <c r="N574" s="19"/>
      <c r="O574" s="19"/>
      <c r="P574" s="19"/>
      <c r="Q574" s="19"/>
      <c r="R574" s="19"/>
      <c r="S574" s="19"/>
      <c r="T574" s="19"/>
      <c r="U574" s="19"/>
      <c r="V574" s="19"/>
      <c r="W574" s="19"/>
      <c r="X574" s="19"/>
    </row>
    <row r="575" spans="1:24" ht="14.25" customHeight="1" x14ac:dyDescent="0.3">
      <c r="A575" s="19"/>
      <c r="B575" s="19"/>
      <c r="C575" s="20"/>
      <c r="E575" s="28"/>
      <c r="F575" s="20"/>
      <c r="G575" s="19"/>
      <c r="H575" s="19"/>
      <c r="I575" s="19"/>
      <c r="J575" s="20"/>
      <c r="K575" s="20"/>
      <c r="L575" s="19"/>
      <c r="M575" s="19"/>
      <c r="N575" s="19"/>
      <c r="O575" s="19"/>
      <c r="P575" s="19"/>
      <c r="Q575" s="19"/>
      <c r="R575" s="19"/>
      <c r="S575" s="19"/>
      <c r="T575" s="19"/>
      <c r="U575" s="19"/>
      <c r="V575" s="19"/>
      <c r="W575" s="19"/>
      <c r="X575" s="19"/>
    </row>
    <row r="576" spans="1:24" ht="14.25" customHeight="1" x14ac:dyDescent="0.3">
      <c r="A576" s="19"/>
      <c r="B576" s="19"/>
      <c r="C576" s="20"/>
      <c r="E576" s="28"/>
      <c r="F576" s="20"/>
      <c r="G576" s="19"/>
      <c r="H576" s="19"/>
      <c r="I576" s="19"/>
      <c r="J576" s="20"/>
      <c r="K576" s="20"/>
      <c r="L576" s="19"/>
      <c r="M576" s="19"/>
      <c r="N576" s="19"/>
      <c r="O576" s="19"/>
      <c r="P576" s="19"/>
      <c r="Q576" s="19"/>
      <c r="R576" s="19"/>
      <c r="S576" s="19"/>
      <c r="T576" s="19"/>
      <c r="U576" s="19"/>
      <c r="V576" s="19"/>
      <c r="W576" s="19"/>
      <c r="X576" s="19"/>
    </row>
    <row r="577" spans="1:24" ht="14.25" customHeight="1" x14ac:dyDescent="0.3">
      <c r="A577" s="19"/>
      <c r="B577" s="19"/>
      <c r="C577" s="20"/>
      <c r="E577" s="28"/>
      <c r="F577" s="20"/>
      <c r="G577" s="19"/>
      <c r="H577" s="19"/>
      <c r="I577" s="19"/>
      <c r="J577" s="20"/>
      <c r="K577" s="20"/>
      <c r="L577" s="19"/>
      <c r="M577" s="19"/>
      <c r="N577" s="19"/>
      <c r="O577" s="19"/>
      <c r="P577" s="19"/>
      <c r="Q577" s="19"/>
      <c r="R577" s="19"/>
      <c r="S577" s="19"/>
      <c r="T577" s="19"/>
      <c r="U577" s="19"/>
      <c r="V577" s="19"/>
      <c r="W577" s="19"/>
      <c r="X577" s="19"/>
    </row>
    <row r="578" spans="1:24" ht="14.25" customHeight="1" x14ac:dyDescent="0.3">
      <c r="A578" s="19"/>
      <c r="B578" s="19"/>
      <c r="C578" s="20"/>
      <c r="E578" s="28"/>
      <c r="F578" s="20"/>
      <c r="G578" s="19"/>
      <c r="H578" s="19"/>
      <c r="I578" s="19"/>
      <c r="J578" s="20"/>
      <c r="K578" s="20"/>
      <c r="L578" s="19"/>
      <c r="M578" s="19"/>
      <c r="N578" s="19"/>
      <c r="O578" s="19"/>
      <c r="P578" s="19"/>
      <c r="Q578" s="19"/>
      <c r="R578" s="19"/>
      <c r="S578" s="19"/>
      <c r="T578" s="19"/>
      <c r="U578" s="19"/>
      <c r="V578" s="19"/>
      <c r="W578" s="19"/>
      <c r="X578" s="19"/>
    </row>
    <row r="579" spans="1:24" ht="14.25" customHeight="1" x14ac:dyDescent="0.3">
      <c r="A579" s="19"/>
      <c r="B579" s="19"/>
      <c r="C579" s="20"/>
      <c r="E579" s="28"/>
      <c r="F579" s="20"/>
      <c r="G579" s="19"/>
      <c r="H579" s="19"/>
      <c r="I579" s="19"/>
      <c r="J579" s="20"/>
      <c r="K579" s="20"/>
      <c r="L579" s="19"/>
      <c r="M579" s="19"/>
      <c r="N579" s="19"/>
      <c r="O579" s="19"/>
      <c r="P579" s="19"/>
      <c r="Q579" s="19"/>
      <c r="R579" s="19"/>
      <c r="S579" s="19"/>
      <c r="T579" s="19"/>
      <c r="U579" s="19"/>
      <c r="V579" s="19"/>
      <c r="W579" s="19"/>
      <c r="X579" s="19"/>
    </row>
    <row r="580" spans="1:24" ht="14.25" customHeight="1" x14ac:dyDescent="0.3">
      <c r="A580" s="19"/>
      <c r="B580" s="19"/>
      <c r="C580" s="20"/>
      <c r="E580" s="28"/>
      <c r="F580" s="20"/>
      <c r="G580" s="19"/>
      <c r="H580" s="19"/>
      <c r="I580" s="19"/>
      <c r="J580" s="20"/>
      <c r="K580" s="20"/>
      <c r="L580" s="19"/>
      <c r="M580" s="19"/>
      <c r="N580" s="19"/>
      <c r="O580" s="19"/>
      <c r="P580" s="19"/>
      <c r="Q580" s="19"/>
      <c r="R580" s="19"/>
      <c r="S580" s="19"/>
      <c r="T580" s="19"/>
      <c r="U580" s="19"/>
      <c r="V580" s="19"/>
      <c r="W580" s="19"/>
      <c r="X580" s="19"/>
    </row>
    <row r="581" spans="1:24" ht="14.25" customHeight="1" x14ac:dyDescent="0.3">
      <c r="A581" s="19"/>
      <c r="B581" s="19"/>
      <c r="C581" s="20"/>
      <c r="E581" s="28"/>
      <c r="F581" s="20"/>
      <c r="G581" s="19"/>
      <c r="H581" s="19"/>
      <c r="I581" s="19"/>
      <c r="J581" s="20"/>
      <c r="K581" s="20"/>
      <c r="L581" s="19"/>
      <c r="M581" s="19"/>
      <c r="N581" s="19"/>
      <c r="O581" s="19"/>
      <c r="P581" s="19"/>
      <c r="Q581" s="19"/>
      <c r="R581" s="19"/>
      <c r="S581" s="19"/>
      <c r="T581" s="19"/>
      <c r="U581" s="19"/>
      <c r="V581" s="19"/>
      <c r="W581" s="19"/>
      <c r="X581" s="19"/>
    </row>
    <row r="582" spans="1:24" ht="14.25" customHeight="1" x14ac:dyDescent="0.3">
      <c r="A582" s="19"/>
      <c r="B582" s="19"/>
      <c r="C582" s="20"/>
      <c r="E582" s="28"/>
      <c r="F582" s="20"/>
      <c r="G582" s="19"/>
      <c r="H582" s="19"/>
      <c r="I582" s="19"/>
      <c r="J582" s="20"/>
      <c r="K582" s="20"/>
      <c r="L582" s="19"/>
      <c r="M582" s="19"/>
      <c r="N582" s="19"/>
      <c r="O582" s="19"/>
      <c r="P582" s="19"/>
      <c r="Q582" s="19"/>
      <c r="R582" s="19"/>
      <c r="S582" s="19"/>
      <c r="T582" s="19"/>
      <c r="U582" s="19"/>
      <c r="V582" s="19"/>
      <c r="W582" s="19"/>
      <c r="X582" s="19"/>
    </row>
    <row r="583" spans="1:24" ht="14.25" customHeight="1" x14ac:dyDescent="0.3">
      <c r="A583" s="19"/>
      <c r="B583" s="19"/>
      <c r="C583" s="20"/>
      <c r="E583" s="28"/>
      <c r="F583" s="20"/>
      <c r="G583" s="19"/>
      <c r="H583" s="19"/>
      <c r="I583" s="19"/>
      <c r="J583" s="20"/>
      <c r="K583" s="20"/>
      <c r="L583" s="19"/>
      <c r="M583" s="19"/>
      <c r="N583" s="19"/>
      <c r="O583" s="19"/>
      <c r="P583" s="19"/>
      <c r="Q583" s="19"/>
      <c r="R583" s="19"/>
      <c r="S583" s="19"/>
      <c r="T583" s="19"/>
      <c r="U583" s="19"/>
      <c r="V583" s="19"/>
      <c r="W583" s="19"/>
      <c r="X583" s="19"/>
    </row>
    <row r="584" spans="1:24" ht="14.25" customHeight="1" x14ac:dyDescent="0.3">
      <c r="A584" s="19"/>
      <c r="B584" s="19"/>
      <c r="C584" s="20"/>
      <c r="E584" s="28"/>
      <c r="F584" s="20"/>
      <c r="G584" s="19"/>
      <c r="H584" s="19"/>
      <c r="I584" s="19"/>
      <c r="J584" s="20"/>
      <c r="K584" s="20"/>
      <c r="L584" s="19"/>
      <c r="M584" s="19"/>
      <c r="N584" s="19"/>
      <c r="O584" s="19"/>
      <c r="P584" s="19"/>
      <c r="Q584" s="19"/>
      <c r="R584" s="19"/>
      <c r="S584" s="19"/>
      <c r="T584" s="19"/>
      <c r="U584" s="19"/>
      <c r="V584" s="19"/>
      <c r="W584" s="19"/>
      <c r="X584" s="19"/>
    </row>
    <row r="585" spans="1:24" ht="14.25" customHeight="1" x14ac:dyDescent="0.3">
      <c r="A585" s="19"/>
      <c r="B585" s="19"/>
      <c r="C585" s="20"/>
      <c r="E585" s="28"/>
      <c r="F585" s="20"/>
      <c r="G585" s="19"/>
      <c r="H585" s="19"/>
      <c r="I585" s="19"/>
      <c r="J585" s="20"/>
      <c r="K585" s="20"/>
      <c r="L585" s="19"/>
      <c r="M585" s="19"/>
      <c r="N585" s="19"/>
      <c r="O585" s="19"/>
      <c r="P585" s="19"/>
      <c r="Q585" s="19"/>
      <c r="R585" s="19"/>
      <c r="S585" s="19"/>
      <c r="T585" s="19"/>
      <c r="U585" s="19"/>
      <c r="V585" s="19"/>
      <c r="W585" s="19"/>
      <c r="X585" s="19"/>
    </row>
    <row r="586" spans="1:24" ht="14.25" customHeight="1" x14ac:dyDescent="0.3">
      <c r="A586" s="19"/>
      <c r="B586" s="19"/>
      <c r="C586" s="20"/>
      <c r="E586" s="28"/>
      <c r="F586" s="20"/>
      <c r="G586" s="19"/>
      <c r="H586" s="19"/>
      <c r="I586" s="19"/>
      <c r="J586" s="20"/>
      <c r="K586" s="20"/>
      <c r="L586" s="19"/>
      <c r="M586" s="19"/>
      <c r="N586" s="19"/>
      <c r="O586" s="19"/>
      <c r="P586" s="19"/>
      <c r="Q586" s="19"/>
      <c r="R586" s="19"/>
      <c r="S586" s="19"/>
      <c r="T586" s="19"/>
      <c r="U586" s="19"/>
      <c r="V586" s="19"/>
      <c r="W586" s="19"/>
      <c r="X586" s="19"/>
    </row>
    <row r="587" spans="1:24" ht="14.25" customHeight="1" x14ac:dyDescent="0.3">
      <c r="A587" s="19"/>
      <c r="B587" s="19"/>
      <c r="C587" s="20"/>
      <c r="E587" s="28"/>
      <c r="F587" s="20"/>
      <c r="G587" s="19"/>
      <c r="H587" s="19"/>
      <c r="I587" s="19"/>
      <c r="J587" s="20"/>
      <c r="K587" s="20"/>
      <c r="L587" s="19"/>
      <c r="M587" s="19"/>
      <c r="N587" s="19"/>
      <c r="O587" s="19"/>
      <c r="P587" s="19"/>
      <c r="Q587" s="19"/>
      <c r="R587" s="19"/>
      <c r="S587" s="19"/>
      <c r="T587" s="19"/>
      <c r="U587" s="19"/>
      <c r="V587" s="19"/>
      <c r="W587" s="19"/>
      <c r="X587" s="19"/>
    </row>
    <row r="588" spans="1:24" ht="14.25" customHeight="1" x14ac:dyDescent="0.3">
      <c r="A588" s="19"/>
      <c r="B588" s="19"/>
      <c r="C588" s="20"/>
      <c r="E588" s="28"/>
      <c r="F588" s="20"/>
      <c r="G588" s="19"/>
      <c r="H588" s="19"/>
      <c r="I588" s="19"/>
      <c r="J588" s="20"/>
      <c r="K588" s="20"/>
      <c r="L588" s="19"/>
      <c r="M588" s="19"/>
      <c r="N588" s="19"/>
      <c r="O588" s="19"/>
      <c r="P588" s="19"/>
      <c r="Q588" s="19"/>
      <c r="R588" s="19"/>
      <c r="S588" s="19"/>
      <c r="T588" s="19"/>
      <c r="U588" s="19"/>
      <c r="V588" s="19"/>
      <c r="W588" s="19"/>
      <c r="X588" s="19"/>
    </row>
    <row r="589" spans="1:24" ht="14.25" customHeight="1" x14ac:dyDescent="0.3">
      <c r="A589" s="19"/>
      <c r="B589" s="19"/>
      <c r="C589" s="20"/>
      <c r="E589" s="28"/>
      <c r="F589" s="20"/>
      <c r="G589" s="19"/>
      <c r="H589" s="19"/>
      <c r="I589" s="19"/>
      <c r="J589" s="20"/>
      <c r="K589" s="20"/>
      <c r="L589" s="19"/>
      <c r="M589" s="19"/>
      <c r="N589" s="19"/>
      <c r="O589" s="19"/>
      <c r="P589" s="19"/>
      <c r="Q589" s="19"/>
      <c r="R589" s="19"/>
      <c r="S589" s="19"/>
      <c r="T589" s="19"/>
      <c r="U589" s="19"/>
      <c r="V589" s="19"/>
      <c r="W589" s="19"/>
      <c r="X589" s="19"/>
    </row>
    <row r="590" spans="1:24" ht="14.25" customHeight="1" x14ac:dyDescent="0.3">
      <c r="A590" s="19"/>
      <c r="B590" s="19"/>
      <c r="C590" s="20"/>
      <c r="E590" s="28"/>
      <c r="F590" s="20"/>
      <c r="G590" s="19"/>
      <c r="H590" s="19"/>
      <c r="I590" s="19"/>
      <c r="J590" s="20"/>
      <c r="K590" s="20"/>
      <c r="L590" s="19"/>
      <c r="M590" s="19"/>
      <c r="N590" s="19"/>
      <c r="O590" s="19"/>
      <c r="P590" s="19"/>
      <c r="Q590" s="19"/>
      <c r="R590" s="19"/>
      <c r="S590" s="19"/>
      <c r="T590" s="19"/>
      <c r="U590" s="19"/>
      <c r="V590" s="19"/>
      <c r="W590" s="19"/>
      <c r="X590" s="19"/>
    </row>
    <row r="591" spans="1:24" ht="14.25" customHeight="1" x14ac:dyDescent="0.3">
      <c r="A591" s="19"/>
      <c r="B591" s="19"/>
      <c r="C591" s="20"/>
      <c r="E591" s="28"/>
      <c r="F591" s="20"/>
      <c r="G591" s="19"/>
      <c r="H591" s="19"/>
      <c r="I591" s="19"/>
      <c r="J591" s="20"/>
      <c r="K591" s="20"/>
      <c r="L591" s="19"/>
      <c r="M591" s="19"/>
      <c r="N591" s="19"/>
      <c r="O591" s="19"/>
      <c r="P591" s="19"/>
      <c r="Q591" s="19"/>
      <c r="R591" s="19"/>
      <c r="S591" s="19"/>
      <c r="T591" s="19"/>
      <c r="U591" s="19"/>
      <c r="V591" s="19"/>
      <c r="W591" s="19"/>
      <c r="X591" s="19"/>
    </row>
    <row r="592" spans="1:24" ht="14.25" customHeight="1" x14ac:dyDescent="0.3">
      <c r="A592" s="19"/>
      <c r="B592" s="19"/>
      <c r="C592" s="20"/>
      <c r="E592" s="28"/>
      <c r="F592" s="20"/>
      <c r="G592" s="19"/>
      <c r="H592" s="19"/>
      <c r="I592" s="19"/>
      <c r="J592" s="20"/>
      <c r="K592" s="20"/>
      <c r="L592" s="19"/>
      <c r="M592" s="19"/>
      <c r="N592" s="19"/>
      <c r="O592" s="19"/>
      <c r="P592" s="19"/>
      <c r="Q592" s="19"/>
      <c r="R592" s="19"/>
      <c r="S592" s="19"/>
      <c r="T592" s="19"/>
      <c r="U592" s="19"/>
      <c r="V592" s="19"/>
      <c r="W592" s="19"/>
      <c r="X592" s="19"/>
    </row>
    <row r="593" spans="1:24" ht="14.25" customHeight="1" x14ac:dyDescent="0.3">
      <c r="A593" s="19"/>
      <c r="B593" s="19"/>
      <c r="C593" s="20"/>
      <c r="E593" s="28"/>
      <c r="F593" s="20"/>
      <c r="G593" s="19"/>
      <c r="H593" s="19"/>
      <c r="I593" s="19"/>
      <c r="J593" s="20"/>
      <c r="K593" s="20"/>
      <c r="L593" s="19"/>
      <c r="M593" s="19"/>
      <c r="N593" s="19"/>
      <c r="O593" s="19"/>
      <c r="P593" s="19"/>
      <c r="Q593" s="19"/>
      <c r="R593" s="19"/>
      <c r="S593" s="19"/>
      <c r="T593" s="19"/>
      <c r="U593" s="19"/>
      <c r="V593" s="19"/>
      <c r="W593" s="19"/>
      <c r="X593" s="19"/>
    </row>
    <row r="594" spans="1:24" ht="14.25" customHeight="1" x14ac:dyDescent="0.3">
      <c r="A594" s="19"/>
      <c r="B594" s="19"/>
      <c r="C594" s="20"/>
      <c r="E594" s="28"/>
      <c r="F594" s="20"/>
      <c r="G594" s="19"/>
      <c r="H594" s="19"/>
      <c r="I594" s="19"/>
      <c r="J594" s="20"/>
      <c r="K594" s="20"/>
      <c r="L594" s="19"/>
      <c r="M594" s="19"/>
      <c r="N594" s="19"/>
      <c r="O594" s="19"/>
      <c r="P594" s="19"/>
      <c r="Q594" s="19"/>
      <c r="R594" s="19"/>
      <c r="S594" s="19"/>
      <c r="T594" s="19"/>
      <c r="U594" s="19"/>
      <c r="V594" s="19"/>
      <c r="W594" s="19"/>
      <c r="X594" s="19"/>
    </row>
    <row r="595" spans="1:24" ht="14.25" customHeight="1" x14ac:dyDescent="0.3">
      <c r="A595" s="19"/>
      <c r="B595" s="19"/>
      <c r="C595" s="20"/>
      <c r="E595" s="28"/>
      <c r="F595" s="20"/>
      <c r="G595" s="19"/>
      <c r="H595" s="19"/>
      <c r="I595" s="19"/>
      <c r="J595" s="20"/>
      <c r="K595" s="20"/>
      <c r="L595" s="19"/>
      <c r="M595" s="19"/>
      <c r="N595" s="19"/>
      <c r="O595" s="19"/>
      <c r="P595" s="19"/>
      <c r="Q595" s="19"/>
      <c r="R595" s="19"/>
      <c r="S595" s="19"/>
      <c r="T595" s="19"/>
      <c r="U595" s="19"/>
      <c r="V595" s="19"/>
      <c r="W595" s="19"/>
      <c r="X595" s="19"/>
    </row>
    <row r="596" spans="1:24" ht="14.25" customHeight="1" x14ac:dyDescent="0.3">
      <c r="A596" s="19"/>
      <c r="B596" s="19"/>
      <c r="C596" s="20"/>
      <c r="E596" s="28"/>
      <c r="F596" s="20"/>
      <c r="G596" s="19"/>
      <c r="H596" s="19"/>
      <c r="I596" s="19"/>
      <c r="J596" s="20"/>
      <c r="K596" s="20"/>
      <c r="L596" s="19"/>
      <c r="M596" s="19"/>
      <c r="N596" s="19"/>
      <c r="O596" s="19"/>
      <c r="P596" s="19"/>
      <c r="Q596" s="19"/>
      <c r="R596" s="19"/>
      <c r="S596" s="19"/>
      <c r="T596" s="19"/>
      <c r="U596" s="19"/>
      <c r="V596" s="19"/>
      <c r="W596" s="19"/>
      <c r="X596" s="19"/>
    </row>
    <row r="597" spans="1:24" ht="14.25" customHeight="1" x14ac:dyDescent="0.3">
      <c r="A597" s="19"/>
      <c r="B597" s="19"/>
      <c r="C597" s="20"/>
      <c r="E597" s="28"/>
      <c r="F597" s="20"/>
      <c r="G597" s="19"/>
      <c r="H597" s="19"/>
      <c r="I597" s="19"/>
      <c r="J597" s="20"/>
      <c r="K597" s="20"/>
      <c r="L597" s="19"/>
      <c r="M597" s="19"/>
      <c r="N597" s="19"/>
      <c r="O597" s="19"/>
      <c r="P597" s="19"/>
      <c r="Q597" s="19"/>
      <c r="R597" s="19"/>
      <c r="S597" s="19"/>
      <c r="T597" s="19"/>
      <c r="U597" s="19"/>
      <c r="V597" s="19"/>
      <c r="W597" s="19"/>
      <c r="X597" s="19"/>
    </row>
    <row r="598" spans="1:24" ht="14.25" customHeight="1" x14ac:dyDescent="0.3">
      <c r="A598" s="19"/>
      <c r="B598" s="19"/>
      <c r="C598" s="20"/>
      <c r="E598" s="28"/>
      <c r="F598" s="20"/>
      <c r="G598" s="19"/>
      <c r="H598" s="19"/>
      <c r="I598" s="19"/>
      <c r="J598" s="20"/>
      <c r="K598" s="20"/>
      <c r="L598" s="19"/>
      <c r="M598" s="19"/>
      <c r="N598" s="19"/>
      <c r="O598" s="19"/>
      <c r="P598" s="19"/>
      <c r="Q598" s="19"/>
      <c r="R598" s="19"/>
      <c r="S598" s="19"/>
      <c r="T598" s="19"/>
      <c r="U598" s="19"/>
      <c r="V598" s="19"/>
      <c r="W598" s="19"/>
      <c r="X598" s="19"/>
    </row>
    <row r="599" spans="1:24" ht="14.25" customHeight="1" x14ac:dyDescent="0.3">
      <c r="A599" s="19"/>
      <c r="B599" s="19"/>
      <c r="C599" s="20"/>
      <c r="E599" s="28"/>
      <c r="F599" s="20"/>
      <c r="G599" s="19"/>
      <c r="H599" s="19"/>
      <c r="I599" s="19"/>
      <c r="J599" s="20"/>
      <c r="K599" s="20"/>
      <c r="L599" s="19"/>
      <c r="M599" s="19"/>
      <c r="N599" s="19"/>
      <c r="O599" s="19"/>
      <c r="P599" s="19"/>
      <c r="Q599" s="19"/>
      <c r="R599" s="19"/>
      <c r="S599" s="19"/>
      <c r="T599" s="19"/>
      <c r="U599" s="19"/>
      <c r="V599" s="19"/>
      <c r="W599" s="19"/>
      <c r="X599" s="19"/>
    </row>
    <row r="600" spans="1:24" ht="14.25" customHeight="1" x14ac:dyDescent="0.3">
      <c r="A600" s="19"/>
      <c r="B600" s="19"/>
      <c r="C600" s="20"/>
      <c r="E600" s="28"/>
      <c r="F600" s="20"/>
      <c r="G600" s="19"/>
      <c r="H600" s="19"/>
      <c r="I600" s="19"/>
      <c r="J600" s="20"/>
      <c r="K600" s="20"/>
      <c r="L600" s="19"/>
      <c r="M600" s="19"/>
      <c r="N600" s="19"/>
      <c r="O600" s="19"/>
      <c r="P600" s="19"/>
      <c r="Q600" s="19"/>
      <c r="R600" s="19"/>
      <c r="S600" s="19"/>
      <c r="T600" s="19"/>
      <c r="U600" s="19"/>
      <c r="V600" s="19"/>
      <c r="W600" s="19"/>
      <c r="X600" s="19"/>
    </row>
    <row r="601" spans="1:24" ht="14.25" customHeight="1" x14ac:dyDescent="0.3">
      <c r="A601" s="19"/>
      <c r="B601" s="19"/>
      <c r="C601" s="20"/>
      <c r="E601" s="28"/>
      <c r="F601" s="20"/>
      <c r="G601" s="19"/>
      <c r="H601" s="19"/>
      <c r="I601" s="19"/>
      <c r="J601" s="20"/>
      <c r="K601" s="20"/>
      <c r="L601" s="19"/>
      <c r="M601" s="19"/>
      <c r="N601" s="19"/>
      <c r="O601" s="19"/>
      <c r="P601" s="19"/>
      <c r="Q601" s="19"/>
      <c r="R601" s="19"/>
      <c r="S601" s="19"/>
      <c r="T601" s="19"/>
      <c r="U601" s="19"/>
      <c r="V601" s="19"/>
      <c r="W601" s="19"/>
      <c r="X601" s="19"/>
    </row>
    <row r="602" spans="1:24" ht="14.25" customHeight="1" x14ac:dyDescent="0.3">
      <c r="A602" s="19"/>
      <c r="B602" s="19"/>
      <c r="C602" s="20"/>
      <c r="E602" s="28"/>
      <c r="F602" s="20"/>
      <c r="G602" s="19"/>
      <c r="H602" s="19"/>
      <c r="I602" s="19"/>
      <c r="J602" s="20"/>
      <c r="K602" s="20"/>
      <c r="L602" s="19"/>
      <c r="M602" s="19"/>
      <c r="N602" s="19"/>
      <c r="O602" s="19"/>
      <c r="P602" s="19"/>
      <c r="Q602" s="19"/>
      <c r="R602" s="19"/>
      <c r="S602" s="19"/>
      <c r="T602" s="19"/>
      <c r="U602" s="19"/>
      <c r="V602" s="19"/>
      <c r="W602" s="19"/>
      <c r="X602" s="19"/>
    </row>
    <row r="603" spans="1:24" ht="14.25" customHeight="1" x14ac:dyDescent="0.3">
      <c r="A603" s="19"/>
      <c r="B603" s="19"/>
      <c r="C603" s="20"/>
      <c r="E603" s="28"/>
      <c r="F603" s="20"/>
      <c r="G603" s="19"/>
      <c r="H603" s="19"/>
      <c r="I603" s="19"/>
      <c r="J603" s="20"/>
      <c r="K603" s="20"/>
      <c r="L603" s="19"/>
      <c r="M603" s="19"/>
      <c r="N603" s="19"/>
      <c r="O603" s="19"/>
      <c r="P603" s="19"/>
      <c r="Q603" s="19"/>
      <c r="R603" s="19"/>
      <c r="S603" s="19"/>
      <c r="T603" s="19"/>
      <c r="U603" s="19"/>
      <c r="V603" s="19"/>
      <c r="W603" s="19"/>
      <c r="X603" s="19"/>
    </row>
    <row r="604" spans="1:24" ht="14.25" customHeight="1" x14ac:dyDescent="0.3">
      <c r="A604" s="19"/>
      <c r="B604" s="19"/>
      <c r="C604" s="20"/>
      <c r="E604" s="28"/>
      <c r="F604" s="20"/>
      <c r="G604" s="19"/>
      <c r="H604" s="19"/>
      <c r="I604" s="19"/>
      <c r="J604" s="20"/>
      <c r="K604" s="20"/>
      <c r="L604" s="19"/>
      <c r="M604" s="19"/>
      <c r="N604" s="19"/>
      <c r="O604" s="19"/>
      <c r="P604" s="19"/>
      <c r="Q604" s="19"/>
      <c r="R604" s="19"/>
      <c r="S604" s="19"/>
      <c r="T604" s="19"/>
      <c r="U604" s="19"/>
      <c r="V604" s="19"/>
      <c r="W604" s="19"/>
      <c r="X604" s="19"/>
    </row>
    <row r="605" spans="1:24" ht="14.25" customHeight="1" x14ac:dyDescent="0.3">
      <c r="A605" s="19"/>
      <c r="B605" s="19"/>
      <c r="C605" s="20"/>
      <c r="E605" s="28"/>
      <c r="F605" s="20"/>
      <c r="G605" s="19"/>
      <c r="H605" s="19"/>
      <c r="I605" s="19"/>
      <c r="J605" s="20"/>
      <c r="K605" s="20"/>
      <c r="L605" s="19"/>
      <c r="M605" s="19"/>
      <c r="N605" s="19"/>
      <c r="O605" s="19"/>
      <c r="P605" s="19"/>
      <c r="Q605" s="19"/>
      <c r="R605" s="19"/>
      <c r="S605" s="19"/>
      <c r="T605" s="19"/>
      <c r="U605" s="19"/>
      <c r="V605" s="19"/>
      <c r="W605" s="19"/>
      <c r="X605" s="19"/>
    </row>
    <row r="606" spans="1:24" ht="14.25" customHeight="1" x14ac:dyDescent="0.3">
      <c r="A606" s="19"/>
      <c r="B606" s="19"/>
      <c r="C606" s="20"/>
      <c r="E606" s="28"/>
      <c r="F606" s="20"/>
      <c r="G606" s="19"/>
      <c r="H606" s="19"/>
      <c r="I606" s="19"/>
      <c r="J606" s="20"/>
      <c r="K606" s="20"/>
      <c r="L606" s="19"/>
      <c r="M606" s="19"/>
      <c r="N606" s="19"/>
      <c r="O606" s="19"/>
      <c r="P606" s="19"/>
      <c r="Q606" s="19"/>
      <c r="R606" s="19"/>
      <c r="S606" s="19"/>
      <c r="T606" s="19"/>
      <c r="U606" s="19"/>
      <c r="V606" s="19"/>
      <c r="W606" s="19"/>
      <c r="X606" s="19"/>
    </row>
    <row r="607" spans="1:24" ht="14.25" customHeight="1" x14ac:dyDescent="0.3">
      <c r="A607" s="19"/>
      <c r="B607" s="19"/>
      <c r="C607" s="20"/>
      <c r="E607" s="28"/>
      <c r="F607" s="20"/>
      <c r="G607" s="19"/>
      <c r="H607" s="19"/>
      <c r="I607" s="19"/>
      <c r="J607" s="20"/>
      <c r="K607" s="20"/>
      <c r="L607" s="19"/>
      <c r="M607" s="19"/>
      <c r="N607" s="19"/>
      <c r="O607" s="19"/>
      <c r="P607" s="19"/>
      <c r="Q607" s="19"/>
      <c r="R607" s="19"/>
      <c r="S607" s="19"/>
      <c r="T607" s="19"/>
      <c r="U607" s="19"/>
      <c r="V607" s="19"/>
      <c r="W607" s="19"/>
      <c r="X607" s="19"/>
    </row>
    <row r="608" spans="1:24" ht="14.25" customHeight="1" x14ac:dyDescent="0.3">
      <c r="A608" s="19"/>
      <c r="B608" s="19"/>
      <c r="C608" s="20"/>
      <c r="E608" s="28"/>
      <c r="F608" s="20"/>
      <c r="G608" s="19"/>
      <c r="H608" s="19"/>
      <c r="I608" s="19"/>
      <c r="J608" s="20"/>
      <c r="K608" s="20"/>
      <c r="L608" s="19"/>
      <c r="M608" s="19"/>
      <c r="N608" s="19"/>
      <c r="O608" s="19"/>
      <c r="P608" s="19"/>
      <c r="Q608" s="19"/>
      <c r="R608" s="19"/>
      <c r="S608" s="19"/>
      <c r="T608" s="19"/>
      <c r="U608" s="19"/>
      <c r="V608" s="19"/>
      <c r="W608" s="19"/>
      <c r="X608" s="19"/>
    </row>
    <row r="609" spans="1:24" ht="14.25" customHeight="1" x14ac:dyDescent="0.3">
      <c r="A609" s="19"/>
      <c r="B609" s="19"/>
      <c r="C609" s="20"/>
      <c r="E609" s="28"/>
      <c r="F609" s="20"/>
      <c r="G609" s="19"/>
      <c r="H609" s="19"/>
      <c r="I609" s="19"/>
      <c r="J609" s="20"/>
      <c r="K609" s="20"/>
      <c r="L609" s="19"/>
      <c r="M609" s="19"/>
      <c r="N609" s="19"/>
      <c r="O609" s="19"/>
      <c r="P609" s="19"/>
      <c r="Q609" s="19"/>
      <c r="R609" s="19"/>
      <c r="S609" s="19"/>
      <c r="T609" s="19"/>
      <c r="U609" s="19"/>
      <c r="V609" s="19"/>
      <c r="W609" s="19"/>
      <c r="X609" s="19"/>
    </row>
    <row r="610" spans="1:24" ht="14.25" customHeight="1" x14ac:dyDescent="0.3">
      <c r="A610" s="19"/>
      <c r="B610" s="19"/>
      <c r="C610" s="20"/>
      <c r="E610" s="28"/>
      <c r="F610" s="20"/>
      <c r="G610" s="19"/>
      <c r="H610" s="19"/>
      <c r="I610" s="19"/>
      <c r="J610" s="20"/>
      <c r="K610" s="20"/>
      <c r="L610" s="19"/>
      <c r="M610" s="19"/>
      <c r="N610" s="19"/>
      <c r="O610" s="19"/>
      <c r="P610" s="19"/>
      <c r="Q610" s="19"/>
      <c r="R610" s="19"/>
      <c r="S610" s="19"/>
      <c r="T610" s="19"/>
      <c r="U610" s="19"/>
      <c r="V610" s="19"/>
      <c r="W610" s="19"/>
      <c r="X610" s="19"/>
    </row>
    <row r="611" spans="1:24" ht="14.25" customHeight="1" x14ac:dyDescent="0.3">
      <c r="A611" s="19"/>
      <c r="B611" s="19"/>
      <c r="C611" s="20"/>
      <c r="E611" s="28"/>
      <c r="F611" s="20"/>
      <c r="G611" s="19"/>
      <c r="H611" s="19"/>
      <c r="I611" s="19"/>
      <c r="J611" s="20"/>
      <c r="K611" s="20"/>
      <c r="L611" s="19"/>
      <c r="M611" s="19"/>
      <c r="N611" s="19"/>
      <c r="O611" s="19"/>
      <c r="P611" s="19"/>
      <c r="Q611" s="19"/>
      <c r="R611" s="19"/>
      <c r="S611" s="19"/>
      <c r="T611" s="19"/>
      <c r="U611" s="19"/>
      <c r="V611" s="19"/>
      <c r="W611" s="19"/>
      <c r="X611" s="19"/>
    </row>
    <row r="612" spans="1:24" ht="14.25" customHeight="1" x14ac:dyDescent="0.3">
      <c r="A612" s="19"/>
      <c r="B612" s="19"/>
      <c r="C612" s="20"/>
      <c r="E612" s="28"/>
      <c r="F612" s="20"/>
      <c r="G612" s="19"/>
      <c r="H612" s="19"/>
      <c r="I612" s="19"/>
      <c r="J612" s="20"/>
      <c r="K612" s="20"/>
      <c r="L612" s="19"/>
      <c r="M612" s="19"/>
      <c r="N612" s="19"/>
      <c r="O612" s="19"/>
      <c r="P612" s="19"/>
      <c r="Q612" s="19"/>
      <c r="R612" s="19"/>
      <c r="S612" s="19"/>
      <c r="T612" s="19"/>
      <c r="U612" s="19"/>
      <c r="V612" s="19"/>
      <c r="W612" s="19"/>
      <c r="X612" s="19"/>
    </row>
    <row r="613" spans="1:24" ht="14.25" customHeight="1" x14ac:dyDescent="0.3">
      <c r="A613" s="19"/>
      <c r="B613" s="19"/>
      <c r="C613" s="20"/>
      <c r="E613" s="28"/>
      <c r="F613" s="20"/>
      <c r="G613" s="19"/>
      <c r="H613" s="19"/>
      <c r="I613" s="19"/>
      <c r="J613" s="20"/>
      <c r="K613" s="20"/>
      <c r="L613" s="19"/>
      <c r="M613" s="19"/>
      <c r="N613" s="19"/>
      <c r="O613" s="19"/>
      <c r="P613" s="19"/>
      <c r="Q613" s="19"/>
      <c r="R613" s="19"/>
      <c r="S613" s="19"/>
      <c r="T613" s="19"/>
      <c r="U613" s="19"/>
      <c r="V613" s="19"/>
      <c r="W613" s="19"/>
      <c r="X613" s="19"/>
    </row>
    <row r="614" spans="1:24" ht="14.25" customHeight="1" x14ac:dyDescent="0.3">
      <c r="A614" s="19"/>
      <c r="B614" s="19"/>
      <c r="C614" s="20"/>
      <c r="E614" s="28"/>
      <c r="F614" s="20"/>
      <c r="G614" s="19"/>
      <c r="H614" s="19"/>
      <c r="I614" s="19"/>
      <c r="J614" s="20"/>
      <c r="K614" s="20"/>
      <c r="L614" s="19"/>
      <c r="M614" s="19"/>
      <c r="N614" s="19"/>
      <c r="O614" s="19"/>
      <c r="P614" s="19"/>
      <c r="Q614" s="19"/>
      <c r="R614" s="19"/>
      <c r="S614" s="19"/>
      <c r="T614" s="19"/>
      <c r="U614" s="19"/>
      <c r="V614" s="19"/>
      <c r="W614" s="19"/>
      <c r="X614" s="19"/>
    </row>
    <row r="615" spans="1:24" ht="14.25" customHeight="1" x14ac:dyDescent="0.3">
      <c r="A615" s="19"/>
      <c r="B615" s="19"/>
      <c r="C615" s="20"/>
      <c r="E615" s="28"/>
      <c r="F615" s="20"/>
      <c r="G615" s="19"/>
      <c r="H615" s="19"/>
      <c r="I615" s="19"/>
      <c r="J615" s="20"/>
      <c r="K615" s="20"/>
      <c r="L615" s="19"/>
      <c r="M615" s="19"/>
      <c r="N615" s="19"/>
      <c r="O615" s="19"/>
      <c r="P615" s="19"/>
      <c r="Q615" s="19"/>
      <c r="R615" s="19"/>
      <c r="S615" s="19"/>
      <c r="T615" s="19"/>
      <c r="U615" s="19"/>
      <c r="V615" s="19"/>
      <c r="W615" s="19"/>
      <c r="X615" s="19"/>
    </row>
    <row r="616" spans="1:24" ht="14.25" customHeight="1" x14ac:dyDescent="0.3">
      <c r="A616" s="19"/>
      <c r="B616" s="19"/>
      <c r="C616" s="20"/>
      <c r="E616" s="28"/>
      <c r="F616" s="20"/>
      <c r="G616" s="19"/>
      <c r="H616" s="19"/>
      <c r="I616" s="19"/>
      <c r="J616" s="20"/>
      <c r="K616" s="20"/>
      <c r="L616" s="19"/>
      <c r="M616" s="19"/>
      <c r="N616" s="19"/>
      <c r="O616" s="19"/>
      <c r="P616" s="19"/>
      <c r="Q616" s="19"/>
      <c r="R616" s="19"/>
      <c r="S616" s="19"/>
      <c r="T616" s="19"/>
      <c r="U616" s="19"/>
      <c r="V616" s="19"/>
      <c r="W616" s="19"/>
      <c r="X616" s="19"/>
    </row>
    <row r="617" spans="1:24" ht="14.25" customHeight="1" x14ac:dyDescent="0.3">
      <c r="A617" s="19"/>
      <c r="B617" s="19"/>
      <c r="C617" s="20"/>
      <c r="E617" s="28"/>
      <c r="F617" s="20"/>
      <c r="G617" s="19"/>
      <c r="H617" s="19"/>
      <c r="I617" s="19"/>
      <c r="J617" s="20"/>
      <c r="K617" s="20"/>
      <c r="L617" s="19"/>
      <c r="M617" s="19"/>
      <c r="N617" s="19"/>
      <c r="O617" s="19"/>
      <c r="P617" s="19"/>
      <c r="Q617" s="19"/>
      <c r="R617" s="19"/>
      <c r="S617" s="19"/>
      <c r="T617" s="19"/>
      <c r="U617" s="19"/>
      <c r="V617" s="19"/>
      <c r="W617" s="19"/>
      <c r="X617" s="19"/>
    </row>
    <row r="618" spans="1:24" ht="14.25" customHeight="1" x14ac:dyDescent="0.3">
      <c r="A618" s="19"/>
      <c r="B618" s="19"/>
      <c r="C618" s="20"/>
      <c r="E618" s="28"/>
      <c r="F618" s="20"/>
      <c r="G618" s="19"/>
      <c r="H618" s="19"/>
      <c r="I618" s="19"/>
      <c r="J618" s="20"/>
      <c r="K618" s="20"/>
      <c r="L618" s="19"/>
      <c r="M618" s="19"/>
      <c r="N618" s="19"/>
      <c r="O618" s="19"/>
      <c r="P618" s="19"/>
      <c r="Q618" s="19"/>
      <c r="R618" s="19"/>
      <c r="S618" s="19"/>
      <c r="T618" s="19"/>
      <c r="U618" s="19"/>
      <c r="V618" s="19"/>
      <c r="W618" s="19"/>
      <c r="X618" s="19"/>
    </row>
    <row r="619" spans="1:24" ht="14.25" customHeight="1" x14ac:dyDescent="0.3">
      <c r="A619" s="19"/>
      <c r="B619" s="19"/>
      <c r="C619" s="20"/>
      <c r="E619" s="28"/>
      <c r="F619" s="20"/>
      <c r="G619" s="19"/>
      <c r="H619" s="19"/>
      <c r="I619" s="19"/>
      <c r="J619" s="20"/>
      <c r="K619" s="20"/>
      <c r="L619" s="19"/>
      <c r="M619" s="19"/>
      <c r="N619" s="19"/>
      <c r="O619" s="19"/>
      <c r="P619" s="19"/>
      <c r="Q619" s="19"/>
      <c r="R619" s="19"/>
      <c r="S619" s="19"/>
      <c r="T619" s="19"/>
      <c r="U619" s="19"/>
      <c r="V619" s="19"/>
      <c r="W619" s="19"/>
      <c r="X619" s="19"/>
    </row>
    <row r="620" spans="1:24" ht="14.25" customHeight="1" x14ac:dyDescent="0.3">
      <c r="A620" s="19"/>
      <c r="B620" s="19"/>
      <c r="C620" s="20"/>
      <c r="E620" s="28"/>
      <c r="F620" s="20"/>
      <c r="G620" s="19"/>
      <c r="H620" s="19"/>
      <c r="I620" s="19"/>
      <c r="J620" s="20"/>
      <c r="K620" s="20"/>
      <c r="L620" s="19"/>
      <c r="M620" s="19"/>
      <c r="N620" s="19"/>
      <c r="O620" s="19"/>
      <c r="P620" s="19"/>
      <c r="Q620" s="19"/>
      <c r="R620" s="19"/>
      <c r="S620" s="19"/>
      <c r="T620" s="19"/>
      <c r="U620" s="19"/>
      <c r="V620" s="19"/>
      <c r="W620" s="19"/>
      <c r="X620" s="19"/>
    </row>
    <row r="621" spans="1:24" ht="14.25" customHeight="1" x14ac:dyDescent="0.3">
      <c r="A621" s="19"/>
      <c r="B621" s="19"/>
      <c r="C621" s="20"/>
      <c r="E621" s="28"/>
      <c r="F621" s="20"/>
      <c r="G621" s="19"/>
      <c r="H621" s="19"/>
      <c r="I621" s="19"/>
      <c r="J621" s="20"/>
      <c r="K621" s="20"/>
      <c r="L621" s="19"/>
      <c r="M621" s="19"/>
      <c r="N621" s="19"/>
      <c r="O621" s="19"/>
      <c r="P621" s="19"/>
      <c r="Q621" s="19"/>
      <c r="R621" s="19"/>
      <c r="S621" s="19"/>
      <c r="T621" s="19"/>
      <c r="U621" s="19"/>
      <c r="V621" s="19"/>
      <c r="W621" s="19"/>
      <c r="X621" s="19"/>
    </row>
    <row r="622" spans="1:24" ht="14.25" customHeight="1" x14ac:dyDescent="0.3">
      <c r="A622" s="19"/>
      <c r="B622" s="19"/>
      <c r="C622" s="20"/>
      <c r="E622" s="28"/>
      <c r="F622" s="20"/>
      <c r="G622" s="19"/>
      <c r="H622" s="19"/>
      <c r="I622" s="19"/>
      <c r="J622" s="20"/>
      <c r="K622" s="20"/>
      <c r="L622" s="19"/>
      <c r="M622" s="19"/>
      <c r="N622" s="19"/>
      <c r="O622" s="19"/>
      <c r="P622" s="19"/>
      <c r="Q622" s="19"/>
      <c r="R622" s="19"/>
      <c r="S622" s="19"/>
      <c r="T622" s="19"/>
      <c r="U622" s="19"/>
      <c r="V622" s="19"/>
      <c r="W622" s="19"/>
      <c r="X622" s="19"/>
    </row>
    <row r="623" spans="1:24" ht="14.25" customHeight="1" x14ac:dyDescent="0.3">
      <c r="A623" s="19"/>
      <c r="B623" s="19"/>
      <c r="C623" s="20"/>
      <c r="E623" s="28"/>
      <c r="F623" s="20"/>
      <c r="G623" s="19"/>
      <c r="H623" s="19"/>
      <c r="I623" s="19"/>
      <c r="J623" s="20"/>
      <c r="K623" s="20"/>
      <c r="L623" s="19"/>
      <c r="M623" s="19"/>
      <c r="N623" s="19"/>
      <c r="O623" s="19"/>
      <c r="P623" s="19"/>
      <c r="Q623" s="19"/>
      <c r="R623" s="19"/>
      <c r="S623" s="19"/>
      <c r="T623" s="19"/>
      <c r="U623" s="19"/>
      <c r="V623" s="19"/>
      <c r="W623" s="19"/>
      <c r="X623" s="19"/>
    </row>
    <row r="624" spans="1:24" ht="14.25" customHeight="1" x14ac:dyDescent="0.3">
      <c r="A624" s="19"/>
      <c r="B624" s="19"/>
      <c r="C624" s="20"/>
      <c r="E624" s="28"/>
      <c r="F624" s="20"/>
      <c r="G624" s="19"/>
      <c r="H624" s="19"/>
      <c r="I624" s="19"/>
      <c r="J624" s="20"/>
      <c r="K624" s="20"/>
      <c r="L624" s="19"/>
      <c r="M624" s="19"/>
      <c r="N624" s="19"/>
      <c r="O624" s="19"/>
      <c r="P624" s="19"/>
      <c r="Q624" s="19"/>
      <c r="R624" s="19"/>
      <c r="S624" s="19"/>
      <c r="T624" s="19"/>
      <c r="U624" s="19"/>
      <c r="V624" s="19"/>
      <c r="W624" s="19"/>
      <c r="X624" s="19"/>
    </row>
    <row r="625" spans="1:24" ht="14.25" customHeight="1" x14ac:dyDescent="0.3">
      <c r="A625" s="19"/>
      <c r="B625" s="19"/>
      <c r="C625" s="20"/>
      <c r="E625" s="28"/>
      <c r="F625" s="20"/>
      <c r="G625" s="19"/>
      <c r="H625" s="19"/>
      <c r="I625" s="19"/>
      <c r="J625" s="20"/>
      <c r="K625" s="20"/>
      <c r="L625" s="19"/>
      <c r="M625" s="19"/>
      <c r="N625" s="19"/>
      <c r="O625" s="19"/>
      <c r="P625" s="19"/>
      <c r="Q625" s="19"/>
      <c r="R625" s="19"/>
      <c r="S625" s="19"/>
      <c r="T625" s="19"/>
      <c r="U625" s="19"/>
      <c r="V625" s="19"/>
      <c r="W625" s="19"/>
      <c r="X625" s="19"/>
    </row>
    <row r="626" spans="1:24" ht="14.25" customHeight="1" x14ac:dyDescent="0.3">
      <c r="A626" s="19"/>
      <c r="B626" s="19"/>
      <c r="C626" s="20"/>
      <c r="E626" s="28"/>
      <c r="F626" s="20"/>
      <c r="G626" s="19"/>
      <c r="H626" s="19"/>
      <c r="I626" s="19"/>
      <c r="J626" s="20"/>
      <c r="K626" s="20"/>
      <c r="L626" s="19"/>
      <c r="M626" s="19"/>
      <c r="N626" s="19"/>
      <c r="O626" s="19"/>
      <c r="P626" s="19"/>
      <c r="Q626" s="19"/>
      <c r="R626" s="19"/>
      <c r="S626" s="19"/>
      <c r="T626" s="19"/>
      <c r="U626" s="19"/>
      <c r="V626" s="19"/>
      <c r="W626" s="19"/>
      <c r="X626" s="19"/>
    </row>
    <row r="627" spans="1:24" ht="14.25" customHeight="1" x14ac:dyDescent="0.3">
      <c r="A627" s="19"/>
      <c r="B627" s="19"/>
      <c r="C627" s="20"/>
      <c r="E627" s="28"/>
      <c r="F627" s="20"/>
      <c r="G627" s="19"/>
      <c r="H627" s="19"/>
      <c r="I627" s="19"/>
      <c r="J627" s="20"/>
      <c r="K627" s="20"/>
      <c r="L627" s="19"/>
      <c r="M627" s="19"/>
      <c r="N627" s="19"/>
      <c r="O627" s="19"/>
      <c r="P627" s="19"/>
      <c r="Q627" s="19"/>
      <c r="R627" s="19"/>
      <c r="S627" s="19"/>
      <c r="T627" s="19"/>
      <c r="U627" s="19"/>
      <c r="V627" s="19"/>
      <c r="W627" s="19"/>
      <c r="X627" s="19"/>
    </row>
    <row r="628" spans="1:24" ht="14.25" customHeight="1" x14ac:dyDescent="0.3">
      <c r="A628" s="19"/>
      <c r="B628" s="19"/>
      <c r="C628" s="20"/>
      <c r="E628" s="28"/>
      <c r="F628" s="20"/>
      <c r="G628" s="19"/>
      <c r="H628" s="19"/>
      <c r="I628" s="19"/>
      <c r="J628" s="20"/>
      <c r="K628" s="20"/>
      <c r="L628" s="19"/>
      <c r="M628" s="19"/>
      <c r="N628" s="19"/>
      <c r="O628" s="19"/>
      <c r="P628" s="19"/>
      <c r="Q628" s="19"/>
      <c r="R628" s="19"/>
      <c r="S628" s="19"/>
      <c r="T628" s="19"/>
      <c r="U628" s="19"/>
      <c r="V628" s="19"/>
      <c r="W628" s="19"/>
      <c r="X628" s="19"/>
    </row>
    <row r="629" spans="1:24" ht="14.25" customHeight="1" x14ac:dyDescent="0.3">
      <c r="A629" s="19"/>
      <c r="B629" s="19"/>
      <c r="C629" s="20"/>
      <c r="E629" s="28"/>
      <c r="F629" s="20"/>
      <c r="G629" s="19"/>
      <c r="H629" s="19"/>
      <c r="I629" s="19"/>
      <c r="J629" s="20"/>
      <c r="K629" s="20"/>
      <c r="L629" s="19"/>
      <c r="M629" s="19"/>
      <c r="N629" s="19"/>
      <c r="O629" s="19"/>
      <c r="P629" s="19"/>
      <c r="Q629" s="19"/>
      <c r="R629" s="19"/>
      <c r="S629" s="19"/>
      <c r="T629" s="19"/>
      <c r="U629" s="19"/>
      <c r="V629" s="19"/>
      <c r="W629" s="19"/>
      <c r="X629" s="19"/>
    </row>
    <row r="630" spans="1:24" ht="14.25" customHeight="1" x14ac:dyDescent="0.3">
      <c r="A630" s="19"/>
      <c r="B630" s="19"/>
      <c r="C630" s="20"/>
      <c r="E630" s="28"/>
      <c r="F630" s="20"/>
      <c r="G630" s="19"/>
      <c r="H630" s="19"/>
      <c r="I630" s="19"/>
      <c r="J630" s="20"/>
      <c r="K630" s="20"/>
      <c r="L630" s="19"/>
      <c r="M630" s="19"/>
      <c r="N630" s="19"/>
      <c r="O630" s="19"/>
      <c r="P630" s="19"/>
      <c r="Q630" s="19"/>
      <c r="R630" s="19"/>
      <c r="S630" s="19"/>
      <c r="T630" s="19"/>
      <c r="U630" s="19"/>
      <c r="V630" s="19"/>
      <c r="W630" s="19"/>
      <c r="X630" s="19"/>
    </row>
    <row r="631" spans="1:24" ht="14.25" customHeight="1" x14ac:dyDescent="0.3">
      <c r="A631" s="19"/>
      <c r="B631" s="19"/>
      <c r="C631" s="20"/>
      <c r="E631" s="28"/>
      <c r="F631" s="20"/>
      <c r="G631" s="19"/>
      <c r="H631" s="19"/>
      <c r="I631" s="19"/>
      <c r="J631" s="20"/>
      <c r="K631" s="20"/>
      <c r="L631" s="19"/>
      <c r="M631" s="19"/>
      <c r="N631" s="19"/>
      <c r="O631" s="19"/>
      <c r="P631" s="19"/>
      <c r="Q631" s="19"/>
      <c r="R631" s="19"/>
      <c r="S631" s="19"/>
      <c r="T631" s="19"/>
      <c r="U631" s="19"/>
      <c r="V631" s="19"/>
      <c r="W631" s="19"/>
      <c r="X631" s="19"/>
    </row>
    <row r="632" spans="1:24" ht="14.25" customHeight="1" x14ac:dyDescent="0.3">
      <c r="A632" s="19"/>
      <c r="B632" s="19"/>
      <c r="C632" s="20"/>
      <c r="E632" s="28"/>
      <c r="F632" s="20"/>
      <c r="G632" s="19"/>
      <c r="H632" s="19"/>
      <c r="I632" s="19"/>
      <c r="J632" s="20"/>
      <c r="K632" s="20"/>
      <c r="L632" s="19"/>
      <c r="M632" s="19"/>
      <c r="N632" s="19"/>
      <c r="O632" s="19"/>
      <c r="P632" s="19"/>
      <c r="Q632" s="19"/>
      <c r="R632" s="19"/>
      <c r="S632" s="19"/>
      <c r="T632" s="19"/>
      <c r="U632" s="19"/>
      <c r="V632" s="19"/>
      <c r="W632" s="19"/>
      <c r="X632" s="19"/>
    </row>
    <row r="633" spans="1:24" ht="14.25" customHeight="1" x14ac:dyDescent="0.3">
      <c r="A633" s="19"/>
      <c r="B633" s="19"/>
      <c r="C633" s="20"/>
      <c r="E633" s="28"/>
      <c r="F633" s="20"/>
      <c r="G633" s="19"/>
      <c r="H633" s="19"/>
      <c r="I633" s="19"/>
      <c r="J633" s="20"/>
      <c r="K633" s="20"/>
      <c r="L633" s="19"/>
      <c r="M633" s="19"/>
      <c r="N633" s="19"/>
      <c r="O633" s="19"/>
      <c r="P633" s="19"/>
      <c r="Q633" s="19"/>
      <c r="R633" s="19"/>
      <c r="S633" s="19"/>
      <c r="T633" s="19"/>
      <c r="U633" s="19"/>
      <c r="V633" s="19"/>
      <c r="W633" s="19"/>
      <c r="X633" s="19"/>
    </row>
    <row r="634" spans="1:24" ht="14.25" customHeight="1" x14ac:dyDescent="0.3">
      <c r="A634" s="19"/>
      <c r="B634" s="19"/>
      <c r="C634" s="20"/>
      <c r="E634" s="28"/>
      <c r="F634" s="20"/>
      <c r="G634" s="19"/>
      <c r="H634" s="19"/>
      <c r="I634" s="19"/>
      <c r="J634" s="20"/>
      <c r="K634" s="20"/>
      <c r="L634" s="19"/>
      <c r="M634" s="19"/>
      <c r="N634" s="19"/>
      <c r="O634" s="19"/>
      <c r="P634" s="19"/>
      <c r="Q634" s="19"/>
      <c r="R634" s="19"/>
      <c r="S634" s="19"/>
      <c r="T634" s="19"/>
      <c r="U634" s="19"/>
      <c r="V634" s="19"/>
      <c r="W634" s="19"/>
      <c r="X634" s="19"/>
    </row>
    <row r="635" spans="1:24" ht="14.25" customHeight="1" x14ac:dyDescent="0.3">
      <c r="A635" s="19"/>
      <c r="B635" s="19"/>
      <c r="C635" s="20"/>
      <c r="E635" s="28"/>
      <c r="F635" s="20"/>
      <c r="G635" s="19"/>
      <c r="H635" s="19"/>
      <c r="I635" s="19"/>
      <c r="J635" s="20"/>
      <c r="K635" s="20"/>
      <c r="L635" s="19"/>
      <c r="M635" s="19"/>
      <c r="N635" s="19"/>
      <c r="O635" s="19"/>
      <c r="P635" s="19"/>
      <c r="Q635" s="19"/>
      <c r="R635" s="19"/>
      <c r="S635" s="19"/>
      <c r="T635" s="19"/>
      <c r="U635" s="19"/>
      <c r="V635" s="19"/>
      <c r="W635" s="19"/>
      <c r="X635" s="19"/>
    </row>
    <row r="636" spans="1:24" ht="14.25" customHeight="1" x14ac:dyDescent="0.3">
      <c r="A636" s="19"/>
      <c r="B636" s="19"/>
      <c r="C636" s="20"/>
      <c r="E636" s="28"/>
      <c r="F636" s="20"/>
      <c r="G636" s="19"/>
      <c r="H636" s="19"/>
      <c r="I636" s="19"/>
      <c r="J636" s="20"/>
      <c r="K636" s="20"/>
      <c r="L636" s="19"/>
      <c r="M636" s="19"/>
      <c r="N636" s="19"/>
      <c r="O636" s="19"/>
      <c r="P636" s="19"/>
      <c r="Q636" s="19"/>
      <c r="R636" s="19"/>
      <c r="S636" s="19"/>
      <c r="T636" s="19"/>
      <c r="U636" s="19"/>
      <c r="V636" s="19"/>
      <c r="W636" s="19"/>
      <c r="X636" s="19"/>
    </row>
    <row r="637" spans="1:24" ht="14.25" customHeight="1" x14ac:dyDescent="0.3">
      <c r="A637" s="19"/>
      <c r="B637" s="19"/>
      <c r="C637" s="20"/>
      <c r="E637" s="28"/>
      <c r="F637" s="20"/>
      <c r="G637" s="19"/>
      <c r="H637" s="19"/>
      <c r="I637" s="19"/>
      <c r="J637" s="20"/>
      <c r="K637" s="20"/>
      <c r="L637" s="19"/>
      <c r="M637" s="19"/>
      <c r="N637" s="19"/>
      <c r="O637" s="19"/>
      <c r="P637" s="19"/>
      <c r="Q637" s="19"/>
      <c r="R637" s="19"/>
      <c r="S637" s="19"/>
      <c r="T637" s="19"/>
      <c r="U637" s="19"/>
      <c r="V637" s="19"/>
      <c r="W637" s="19"/>
      <c r="X637" s="19"/>
    </row>
    <row r="638" spans="1:24" ht="14.25" customHeight="1" x14ac:dyDescent="0.3">
      <c r="A638" s="19"/>
      <c r="B638" s="19"/>
      <c r="C638" s="20"/>
      <c r="E638" s="28"/>
      <c r="F638" s="20"/>
      <c r="G638" s="19"/>
      <c r="H638" s="19"/>
      <c r="I638" s="19"/>
      <c r="J638" s="20"/>
      <c r="K638" s="20"/>
      <c r="L638" s="19"/>
      <c r="M638" s="19"/>
      <c r="N638" s="19"/>
      <c r="O638" s="19"/>
      <c r="P638" s="19"/>
      <c r="Q638" s="19"/>
      <c r="R638" s="19"/>
      <c r="S638" s="19"/>
      <c r="T638" s="19"/>
      <c r="U638" s="19"/>
      <c r="V638" s="19"/>
      <c r="W638" s="19"/>
      <c r="X638" s="19"/>
    </row>
    <row r="639" spans="1:24" ht="14.25" customHeight="1" x14ac:dyDescent="0.3">
      <c r="A639" s="19"/>
      <c r="B639" s="19"/>
      <c r="C639" s="20"/>
      <c r="E639" s="28"/>
      <c r="F639" s="20"/>
      <c r="G639" s="19"/>
      <c r="H639" s="19"/>
      <c r="I639" s="19"/>
      <c r="J639" s="20"/>
      <c r="K639" s="20"/>
      <c r="L639" s="19"/>
      <c r="M639" s="19"/>
      <c r="N639" s="19"/>
      <c r="O639" s="19"/>
      <c r="P639" s="19"/>
      <c r="Q639" s="19"/>
      <c r="R639" s="19"/>
      <c r="S639" s="19"/>
      <c r="T639" s="19"/>
      <c r="U639" s="19"/>
      <c r="V639" s="19"/>
      <c r="W639" s="19"/>
      <c r="X639" s="19"/>
    </row>
    <row r="640" spans="1:24" ht="14.25" customHeight="1" x14ac:dyDescent="0.3">
      <c r="A640" s="19"/>
      <c r="B640" s="19"/>
      <c r="C640" s="20"/>
      <c r="E640" s="28"/>
      <c r="F640" s="20"/>
      <c r="G640" s="19"/>
      <c r="H640" s="19"/>
      <c r="I640" s="19"/>
      <c r="J640" s="20"/>
      <c r="K640" s="20"/>
      <c r="L640" s="19"/>
      <c r="M640" s="19"/>
      <c r="N640" s="19"/>
      <c r="O640" s="19"/>
      <c r="P640" s="19"/>
      <c r="Q640" s="19"/>
      <c r="R640" s="19"/>
      <c r="S640" s="19"/>
      <c r="T640" s="19"/>
      <c r="U640" s="19"/>
      <c r="V640" s="19"/>
      <c r="W640" s="19"/>
      <c r="X640" s="19"/>
    </row>
    <row r="641" spans="1:24" ht="14.25" customHeight="1" x14ac:dyDescent="0.3">
      <c r="A641" s="19"/>
      <c r="B641" s="19"/>
      <c r="C641" s="20"/>
      <c r="E641" s="28"/>
      <c r="F641" s="20"/>
      <c r="G641" s="19"/>
      <c r="H641" s="19"/>
      <c r="I641" s="19"/>
      <c r="J641" s="20"/>
      <c r="K641" s="20"/>
      <c r="L641" s="19"/>
      <c r="M641" s="19"/>
      <c r="N641" s="19"/>
      <c r="O641" s="19"/>
      <c r="P641" s="19"/>
      <c r="Q641" s="19"/>
      <c r="R641" s="19"/>
      <c r="S641" s="19"/>
      <c r="T641" s="19"/>
      <c r="U641" s="19"/>
      <c r="V641" s="19"/>
      <c r="W641" s="19"/>
      <c r="X641" s="19"/>
    </row>
    <row r="642" spans="1:24" ht="14.25" customHeight="1" x14ac:dyDescent="0.3">
      <c r="A642" s="19"/>
      <c r="B642" s="19"/>
      <c r="C642" s="20"/>
      <c r="E642" s="28"/>
      <c r="F642" s="20"/>
      <c r="G642" s="19"/>
      <c r="H642" s="19"/>
      <c r="I642" s="19"/>
      <c r="J642" s="20"/>
      <c r="K642" s="20"/>
      <c r="L642" s="19"/>
      <c r="M642" s="19"/>
      <c r="N642" s="19"/>
      <c r="O642" s="19"/>
      <c r="P642" s="19"/>
      <c r="Q642" s="19"/>
      <c r="R642" s="19"/>
      <c r="S642" s="19"/>
      <c r="T642" s="19"/>
      <c r="U642" s="19"/>
      <c r="V642" s="19"/>
      <c r="W642" s="19"/>
      <c r="X642" s="19"/>
    </row>
    <row r="643" spans="1:24" ht="14.25" customHeight="1" x14ac:dyDescent="0.3">
      <c r="A643" s="19"/>
      <c r="B643" s="19"/>
      <c r="C643" s="20"/>
      <c r="E643" s="28"/>
      <c r="F643" s="20"/>
      <c r="G643" s="19"/>
      <c r="H643" s="19"/>
      <c r="I643" s="19"/>
      <c r="J643" s="20"/>
      <c r="K643" s="20"/>
      <c r="L643" s="19"/>
      <c r="M643" s="19"/>
      <c r="N643" s="19"/>
      <c r="O643" s="19"/>
      <c r="P643" s="19"/>
      <c r="Q643" s="19"/>
      <c r="R643" s="19"/>
      <c r="S643" s="19"/>
      <c r="T643" s="19"/>
      <c r="U643" s="19"/>
      <c r="V643" s="19"/>
      <c r="W643" s="19"/>
      <c r="X643" s="19"/>
    </row>
    <row r="644" spans="1:24" ht="14.25" customHeight="1" x14ac:dyDescent="0.3">
      <c r="A644" s="19"/>
      <c r="B644" s="19"/>
      <c r="C644" s="20"/>
      <c r="E644" s="28"/>
      <c r="F644" s="20"/>
      <c r="G644" s="19"/>
      <c r="H644" s="19"/>
      <c r="I644" s="19"/>
      <c r="J644" s="20"/>
      <c r="K644" s="20"/>
      <c r="L644" s="19"/>
      <c r="M644" s="19"/>
      <c r="N644" s="19"/>
      <c r="O644" s="19"/>
      <c r="P644" s="19"/>
      <c r="Q644" s="19"/>
      <c r="R644" s="19"/>
      <c r="S644" s="19"/>
      <c r="T644" s="19"/>
      <c r="U644" s="19"/>
      <c r="V644" s="19"/>
      <c r="W644" s="19"/>
      <c r="X644" s="19"/>
    </row>
    <row r="645" spans="1:24" ht="14.25" customHeight="1" x14ac:dyDescent="0.3">
      <c r="A645" s="19"/>
      <c r="B645" s="19"/>
      <c r="C645" s="20"/>
      <c r="E645" s="28"/>
      <c r="F645" s="20"/>
      <c r="G645" s="19"/>
      <c r="H645" s="19"/>
      <c r="I645" s="19"/>
      <c r="J645" s="20"/>
      <c r="K645" s="20"/>
      <c r="L645" s="19"/>
      <c r="M645" s="19"/>
      <c r="N645" s="19"/>
      <c r="O645" s="19"/>
      <c r="P645" s="19"/>
      <c r="Q645" s="19"/>
      <c r="R645" s="19"/>
      <c r="S645" s="19"/>
      <c r="T645" s="19"/>
      <c r="U645" s="19"/>
      <c r="V645" s="19"/>
      <c r="W645" s="19"/>
      <c r="X645" s="19"/>
    </row>
    <row r="646" spans="1:24" ht="14.25" customHeight="1" x14ac:dyDescent="0.3">
      <c r="A646" s="19"/>
      <c r="B646" s="19"/>
      <c r="C646" s="20"/>
      <c r="E646" s="28"/>
      <c r="F646" s="20"/>
      <c r="G646" s="19"/>
      <c r="H646" s="19"/>
      <c r="I646" s="19"/>
      <c r="J646" s="20"/>
      <c r="K646" s="20"/>
      <c r="L646" s="19"/>
      <c r="M646" s="19"/>
      <c r="N646" s="19"/>
      <c r="O646" s="19"/>
      <c r="P646" s="19"/>
      <c r="Q646" s="19"/>
      <c r="R646" s="19"/>
      <c r="S646" s="19"/>
      <c r="T646" s="19"/>
      <c r="U646" s="19"/>
      <c r="V646" s="19"/>
      <c r="W646" s="19"/>
      <c r="X646" s="19"/>
    </row>
    <row r="647" spans="1:24" ht="14.25" customHeight="1" x14ac:dyDescent="0.3">
      <c r="A647" s="19"/>
      <c r="B647" s="19"/>
      <c r="C647" s="20"/>
      <c r="E647" s="28"/>
      <c r="F647" s="20"/>
      <c r="G647" s="19"/>
      <c r="H647" s="19"/>
      <c r="I647" s="19"/>
      <c r="J647" s="20"/>
      <c r="K647" s="20"/>
      <c r="L647" s="19"/>
      <c r="M647" s="19"/>
      <c r="N647" s="19"/>
      <c r="O647" s="19"/>
      <c r="P647" s="19"/>
      <c r="Q647" s="19"/>
      <c r="R647" s="19"/>
      <c r="S647" s="19"/>
      <c r="T647" s="19"/>
      <c r="U647" s="19"/>
      <c r="V647" s="19"/>
      <c r="W647" s="19"/>
      <c r="X647" s="19"/>
    </row>
    <row r="648" spans="1:24" ht="14.25" customHeight="1" x14ac:dyDescent="0.3">
      <c r="A648" s="19"/>
      <c r="B648" s="19"/>
      <c r="C648" s="20"/>
      <c r="E648" s="28"/>
      <c r="F648" s="20"/>
      <c r="G648" s="19"/>
      <c r="H648" s="19"/>
      <c r="I648" s="19"/>
      <c r="J648" s="20"/>
      <c r="K648" s="20"/>
      <c r="L648" s="19"/>
      <c r="M648" s="19"/>
      <c r="N648" s="19"/>
      <c r="O648" s="19"/>
      <c r="P648" s="19"/>
      <c r="Q648" s="19"/>
      <c r="R648" s="19"/>
      <c r="S648" s="19"/>
      <c r="T648" s="19"/>
      <c r="U648" s="19"/>
      <c r="V648" s="19"/>
      <c r="W648" s="19"/>
      <c r="X648" s="19"/>
    </row>
    <row r="649" spans="1:24" ht="14.25" customHeight="1" x14ac:dyDescent="0.3">
      <c r="A649" s="19"/>
      <c r="B649" s="19"/>
      <c r="C649" s="20"/>
      <c r="E649" s="28"/>
      <c r="F649" s="20"/>
      <c r="G649" s="19"/>
      <c r="H649" s="19"/>
      <c r="I649" s="19"/>
      <c r="J649" s="20"/>
      <c r="K649" s="20"/>
      <c r="L649" s="19"/>
      <c r="M649" s="19"/>
      <c r="N649" s="19"/>
      <c r="O649" s="19"/>
      <c r="P649" s="19"/>
      <c r="Q649" s="19"/>
      <c r="R649" s="19"/>
      <c r="S649" s="19"/>
      <c r="T649" s="19"/>
      <c r="U649" s="19"/>
      <c r="V649" s="19"/>
      <c r="W649" s="19"/>
      <c r="X649" s="19"/>
    </row>
    <row r="650" spans="1:24" ht="14.25" customHeight="1" x14ac:dyDescent="0.3">
      <c r="A650" s="19"/>
      <c r="B650" s="19"/>
      <c r="C650" s="20"/>
      <c r="E650" s="28"/>
      <c r="F650" s="20"/>
      <c r="G650" s="19"/>
      <c r="H650" s="19"/>
      <c r="I650" s="19"/>
      <c r="J650" s="20"/>
      <c r="K650" s="20"/>
      <c r="L650" s="19"/>
      <c r="M650" s="19"/>
      <c r="N650" s="19"/>
      <c r="O650" s="19"/>
      <c r="P650" s="19"/>
      <c r="Q650" s="19"/>
      <c r="R650" s="19"/>
      <c r="S650" s="19"/>
      <c r="T650" s="19"/>
      <c r="U650" s="19"/>
      <c r="V650" s="19"/>
      <c r="W650" s="19"/>
      <c r="X650" s="19"/>
    </row>
    <row r="651" spans="1:24" ht="14.25" customHeight="1" x14ac:dyDescent="0.3">
      <c r="A651" s="19"/>
      <c r="B651" s="19"/>
      <c r="C651" s="20"/>
      <c r="E651" s="28"/>
      <c r="F651" s="20"/>
      <c r="G651" s="19"/>
      <c r="H651" s="19"/>
      <c r="I651" s="19"/>
      <c r="J651" s="20"/>
      <c r="K651" s="20"/>
      <c r="L651" s="19"/>
      <c r="M651" s="19"/>
      <c r="N651" s="19"/>
      <c r="O651" s="19"/>
      <c r="P651" s="19"/>
      <c r="Q651" s="19"/>
      <c r="R651" s="19"/>
      <c r="S651" s="19"/>
      <c r="T651" s="19"/>
      <c r="U651" s="19"/>
      <c r="V651" s="19"/>
      <c r="W651" s="19"/>
      <c r="X651" s="19"/>
    </row>
    <row r="652" spans="1:24" ht="14.25" customHeight="1" x14ac:dyDescent="0.3">
      <c r="A652" s="19"/>
      <c r="B652" s="19"/>
      <c r="C652" s="20"/>
      <c r="E652" s="28"/>
      <c r="F652" s="20"/>
      <c r="G652" s="19"/>
      <c r="H652" s="19"/>
      <c r="I652" s="19"/>
      <c r="J652" s="20"/>
      <c r="K652" s="20"/>
      <c r="L652" s="19"/>
      <c r="M652" s="19"/>
      <c r="N652" s="19"/>
      <c r="O652" s="19"/>
      <c r="P652" s="19"/>
      <c r="Q652" s="19"/>
      <c r="R652" s="19"/>
      <c r="S652" s="19"/>
      <c r="T652" s="19"/>
      <c r="U652" s="19"/>
      <c r="V652" s="19"/>
      <c r="W652" s="19"/>
      <c r="X652" s="19"/>
    </row>
    <row r="653" spans="1:24" ht="14.25" customHeight="1" x14ac:dyDescent="0.3">
      <c r="A653" s="19"/>
      <c r="B653" s="19"/>
      <c r="C653" s="20"/>
      <c r="E653" s="28"/>
      <c r="F653" s="20"/>
      <c r="G653" s="19"/>
      <c r="H653" s="19"/>
      <c r="I653" s="19"/>
      <c r="J653" s="20"/>
      <c r="K653" s="20"/>
      <c r="L653" s="19"/>
      <c r="M653" s="19"/>
      <c r="N653" s="19"/>
      <c r="O653" s="19"/>
      <c r="P653" s="19"/>
      <c r="Q653" s="19"/>
      <c r="R653" s="19"/>
      <c r="S653" s="19"/>
      <c r="T653" s="19"/>
      <c r="U653" s="19"/>
      <c r="V653" s="19"/>
      <c r="W653" s="19"/>
      <c r="X653" s="19"/>
    </row>
    <row r="654" spans="1:24" ht="14.25" customHeight="1" x14ac:dyDescent="0.3">
      <c r="A654" s="19"/>
      <c r="B654" s="19"/>
      <c r="C654" s="20"/>
      <c r="E654" s="28"/>
      <c r="F654" s="20"/>
      <c r="G654" s="19"/>
      <c r="H654" s="19"/>
      <c r="I654" s="19"/>
      <c r="J654" s="20"/>
      <c r="K654" s="20"/>
      <c r="L654" s="19"/>
      <c r="M654" s="19"/>
      <c r="N654" s="19"/>
      <c r="O654" s="19"/>
      <c r="P654" s="19"/>
      <c r="Q654" s="19"/>
      <c r="R654" s="19"/>
      <c r="S654" s="19"/>
      <c r="T654" s="19"/>
      <c r="U654" s="19"/>
      <c r="V654" s="19"/>
      <c r="W654" s="19"/>
      <c r="X654" s="19"/>
    </row>
    <row r="655" spans="1:24" ht="14.25" customHeight="1" x14ac:dyDescent="0.3">
      <c r="A655" s="19"/>
      <c r="B655" s="19"/>
      <c r="C655" s="20"/>
      <c r="E655" s="28"/>
      <c r="F655" s="20"/>
      <c r="G655" s="19"/>
      <c r="H655" s="19"/>
      <c r="I655" s="19"/>
      <c r="J655" s="20"/>
      <c r="K655" s="20"/>
      <c r="L655" s="19"/>
      <c r="M655" s="19"/>
      <c r="N655" s="19"/>
      <c r="O655" s="19"/>
      <c r="P655" s="19"/>
      <c r="Q655" s="19"/>
      <c r="R655" s="19"/>
      <c r="S655" s="19"/>
      <c r="T655" s="19"/>
      <c r="U655" s="19"/>
      <c r="V655" s="19"/>
      <c r="W655" s="19"/>
      <c r="X655" s="19"/>
    </row>
    <row r="656" spans="1:24" ht="14.25" customHeight="1" x14ac:dyDescent="0.3">
      <c r="A656" s="19"/>
      <c r="B656" s="19"/>
      <c r="C656" s="20"/>
      <c r="E656" s="28"/>
      <c r="F656" s="20"/>
      <c r="G656" s="19"/>
      <c r="H656" s="19"/>
      <c r="I656" s="19"/>
      <c r="J656" s="20"/>
      <c r="K656" s="20"/>
      <c r="L656" s="19"/>
      <c r="M656" s="19"/>
      <c r="N656" s="19"/>
      <c r="O656" s="19"/>
      <c r="P656" s="19"/>
      <c r="Q656" s="19"/>
      <c r="R656" s="19"/>
      <c r="S656" s="19"/>
      <c r="T656" s="19"/>
      <c r="U656" s="19"/>
      <c r="V656" s="19"/>
      <c r="W656" s="19"/>
      <c r="X656" s="19"/>
    </row>
    <row r="657" spans="1:24" ht="14.25" customHeight="1" x14ac:dyDescent="0.3">
      <c r="A657" s="19"/>
      <c r="B657" s="19"/>
      <c r="C657" s="20"/>
      <c r="E657" s="28"/>
      <c r="F657" s="20"/>
      <c r="G657" s="19"/>
      <c r="H657" s="19"/>
      <c r="I657" s="19"/>
      <c r="J657" s="20"/>
      <c r="K657" s="20"/>
      <c r="L657" s="19"/>
      <c r="M657" s="19"/>
      <c r="N657" s="19"/>
      <c r="O657" s="19"/>
      <c r="P657" s="19"/>
      <c r="Q657" s="19"/>
      <c r="R657" s="19"/>
      <c r="S657" s="19"/>
      <c r="T657" s="19"/>
      <c r="U657" s="19"/>
      <c r="V657" s="19"/>
      <c r="W657" s="19"/>
      <c r="X657" s="19"/>
    </row>
    <row r="658" spans="1:24" ht="14.25" customHeight="1" x14ac:dyDescent="0.3">
      <c r="A658" s="19"/>
      <c r="B658" s="19"/>
      <c r="C658" s="20"/>
      <c r="E658" s="28"/>
      <c r="F658" s="20"/>
      <c r="G658" s="19"/>
      <c r="H658" s="19"/>
      <c r="I658" s="19"/>
      <c r="J658" s="20"/>
      <c r="K658" s="20"/>
      <c r="L658" s="19"/>
      <c r="M658" s="19"/>
      <c r="N658" s="19"/>
      <c r="O658" s="19"/>
      <c r="P658" s="19"/>
      <c r="Q658" s="19"/>
      <c r="R658" s="19"/>
      <c r="S658" s="19"/>
      <c r="T658" s="19"/>
      <c r="U658" s="19"/>
      <c r="V658" s="19"/>
      <c r="W658" s="19"/>
      <c r="X658" s="19"/>
    </row>
    <row r="659" spans="1:24" ht="14.25" customHeight="1" x14ac:dyDescent="0.3">
      <c r="A659" s="19"/>
      <c r="B659" s="19"/>
      <c r="C659" s="20"/>
      <c r="E659" s="28"/>
      <c r="F659" s="20"/>
      <c r="G659" s="19"/>
      <c r="H659" s="19"/>
      <c r="I659" s="19"/>
      <c r="J659" s="20"/>
      <c r="K659" s="20"/>
      <c r="L659" s="19"/>
      <c r="M659" s="19"/>
      <c r="N659" s="19"/>
      <c r="O659" s="19"/>
      <c r="P659" s="19"/>
      <c r="Q659" s="19"/>
      <c r="R659" s="19"/>
      <c r="S659" s="19"/>
      <c r="T659" s="19"/>
      <c r="U659" s="19"/>
      <c r="V659" s="19"/>
      <c r="W659" s="19"/>
      <c r="X659" s="19"/>
    </row>
    <row r="660" spans="1:24" ht="14.25" customHeight="1" x14ac:dyDescent="0.3">
      <c r="A660" s="19"/>
      <c r="B660" s="19"/>
      <c r="C660" s="20"/>
      <c r="E660" s="28"/>
      <c r="F660" s="20"/>
      <c r="G660" s="19"/>
      <c r="H660" s="19"/>
      <c r="I660" s="19"/>
      <c r="J660" s="20"/>
      <c r="K660" s="20"/>
      <c r="L660" s="19"/>
      <c r="M660" s="19"/>
      <c r="N660" s="19"/>
      <c r="O660" s="19"/>
      <c r="P660" s="19"/>
      <c r="Q660" s="19"/>
      <c r="R660" s="19"/>
      <c r="S660" s="19"/>
      <c r="T660" s="19"/>
      <c r="U660" s="19"/>
      <c r="V660" s="19"/>
      <c r="W660" s="19"/>
      <c r="X660" s="19"/>
    </row>
    <row r="661" spans="1:24" ht="14.25" customHeight="1" x14ac:dyDescent="0.3">
      <c r="A661" s="19"/>
      <c r="B661" s="19"/>
      <c r="C661" s="20"/>
      <c r="E661" s="28"/>
      <c r="F661" s="20"/>
      <c r="G661" s="19"/>
      <c r="H661" s="19"/>
      <c r="I661" s="19"/>
      <c r="J661" s="20"/>
      <c r="K661" s="20"/>
      <c r="L661" s="19"/>
      <c r="M661" s="19"/>
      <c r="N661" s="19"/>
      <c r="O661" s="19"/>
      <c r="P661" s="19"/>
      <c r="Q661" s="19"/>
      <c r="R661" s="19"/>
      <c r="S661" s="19"/>
      <c r="T661" s="19"/>
      <c r="U661" s="19"/>
      <c r="V661" s="19"/>
      <c r="W661" s="19"/>
      <c r="X661" s="19"/>
    </row>
    <row r="662" spans="1:24" ht="14.25" customHeight="1" x14ac:dyDescent="0.3">
      <c r="A662" s="19"/>
      <c r="B662" s="19"/>
      <c r="C662" s="20"/>
      <c r="E662" s="28"/>
      <c r="F662" s="20"/>
      <c r="G662" s="19"/>
      <c r="H662" s="19"/>
      <c r="I662" s="19"/>
      <c r="J662" s="20"/>
      <c r="K662" s="20"/>
      <c r="L662" s="19"/>
      <c r="M662" s="19"/>
      <c r="N662" s="19"/>
      <c r="O662" s="19"/>
      <c r="P662" s="19"/>
      <c r="Q662" s="19"/>
      <c r="R662" s="19"/>
      <c r="S662" s="19"/>
      <c r="T662" s="19"/>
      <c r="U662" s="19"/>
      <c r="V662" s="19"/>
      <c r="W662" s="19"/>
      <c r="X662" s="19"/>
    </row>
    <row r="663" spans="1:24" ht="14.25" customHeight="1" x14ac:dyDescent="0.3">
      <c r="A663" s="19"/>
      <c r="B663" s="19"/>
      <c r="C663" s="20"/>
      <c r="E663" s="28"/>
      <c r="F663" s="20"/>
      <c r="G663" s="19"/>
      <c r="H663" s="19"/>
      <c r="I663" s="19"/>
      <c r="J663" s="20"/>
      <c r="K663" s="20"/>
      <c r="L663" s="19"/>
      <c r="M663" s="19"/>
      <c r="N663" s="19"/>
      <c r="O663" s="19"/>
      <c r="P663" s="19"/>
      <c r="Q663" s="19"/>
      <c r="R663" s="19"/>
      <c r="S663" s="19"/>
      <c r="T663" s="19"/>
      <c r="U663" s="19"/>
      <c r="V663" s="19"/>
      <c r="W663" s="19"/>
      <c r="X663" s="19"/>
    </row>
    <row r="664" spans="1:24" ht="14.25" customHeight="1" x14ac:dyDescent="0.3">
      <c r="A664" s="19"/>
      <c r="B664" s="19"/>
      <c r="C664" s="20"/>
      <c r="E664" s="28"/>
      <c r="F664" s="20"/>
      <c r="G664" s="19"/>
      <c r="H664" s="19"/>
      <c r="I664" s="19"/>
      <c r="J664" s="20"/>
      <c r="K664" s="20"/>
      <c r="L664" s="19"/>
      <c r="M664" s="19"/>
      <c r="N664" s="19"/>
      <c r="O664" s="19"/>
      <c r="P664" s="19"/>
      <c r="Q664" s="19"/>
      <c r="R664" s="19"/>
      <c r="S664" s="19"/>
      <c r="T664" s="19"/>
      <c r="U664" s="19"/>
      <c r="V664" s="19"/>
      <c r="W664" s="19"/>
      <c r="X664" s="19"/>
    </row>
    <row r="665" spans="1:24" ht="14.25" customHeight="1" x14ac:dyDescent="0.3">
      <c r="A665" s="19"/>
      <c r="B665" s="19"/>
      <c r="C665" s="20"/>
      <c r="E665" s="28"/>
      <c r="F665" s="20"/>
      <c r="G665" s="19"/>
      <c r="H665" s="19"/>
      <c r="I665" s="19"/>
      <c r="J665" s="20"/>
      <c r="K665" s="20"/>
      <c r="L665" s="19"/>
      <c r="M665" s="19"/>
      <c r="N665" s="19"/>
      <c r="O665" s="19"/>
      <c r="P665" s="19"/>
      <c r="Q665" s="19"/>
      <c r="R665" s="19"/>
      <c r="S665" s="19"/>
      <c r="T665" s="19"/>
      <c r="U665" s="19"/>
      <c r="V665" s="19"/>
      <c r="W665" s="19"/>
      <c r="X665" s="19"/>
    </row>
    <row r="666" spans="1:24" ht="14.25" customHeight="1" x14ac:dyDescent="0.3">
      <c r="A666" s="19"/>
      <c r="B666" s="19"/>
      <c r="C666" s="20"/>
      <c r="E666" s="28"/>
      <c r="F666" s="20"/>
      <c r="G666" s="19"/>
      <c r="H666" s="19"/>
      <c r="I666" s="19"/>
      <c r="J666" s="20"/>
      <c r="K666" s="20"/>
      <c r="L666" s="19"/>
      <c r="M666" s="19"/>
      <c r="N666" s="19"/>
      <c r="O666" s="19"/>
      <c r="P666" s="19"/>
      <c r="Q666" s="19"/>
      <c r="R666" s="19"/>
      <c r="S666" s="19"/>
      <c r="T666" s="19"/>
      <c r="U666" s="19"/>
      <c r="V666" s="19"/>
      <c r="W666" s="19"/>
      <c r="X666" s="19"/>
    </row>
    <row r="667" spans="1:24" ht="14.25" customHeight="1" x14ac:dyDescent="0.3">
      <c r="A667" s="19"/>
      <c r="B667" s="19"/>
      <c r="C667" s="20"/>
      <c r="E667" s="28"/>
      <c r="F667" s="20"/>
      <c r="G667" s="19"/>
      <c r="H667" s="19"/>
      <c r="I667" s="19"/>
      <c r="J667" s="20"/>
      <c r="K667" s="20"/>
      <c r="L667" s="19"/>
      <c r="M667" s="19"/>
      <c r="N667" s="19"/>
      <c r="O667" s="19"/>
      <c r="P667" s="19"/>
      <c r="Q667" s="19"/>
      <c r="R667" s="19"/>
      <c r="S667" s="19"/>
      <c r="T667" s="19"/>
      <c r="U667" s="19"/>
      <c r="V667" s="19"/>
      <c r="W667" s="19"/>
      <c r="X667" s="19"/>
    </row>
    <row r="668" spans="1:24" ht="14.25" customHeight="1" x14ac:dyDescent="0.3">
      <c r="A668" s="19"/>
      <c r="B668" s="19"/>
      <c r="C668" s="20"/>
      <c r="E668" s="28"/>
      <c r="F668" s="20"/>
      <c r="G668" s="19"/>
      <c r="H668" s="19"/>
      <c r="I668" s="19"/>
      <c r="J668" s="20"/>
      <c r="K668" s="20"/>
      <c r="L668" s="19"/>
      <c r="M668" s="19"/>
      <c r="N668" s="19"/>
      <c r="O668" s="19"/>
      <c r="P668" s="19"/>
      <c r="Q668" s="19"/>
      <c r="R668" s="19"/>
      <c r="S668" s="19"/>
      <c r="T668" s="19"/>
      <c r="U668" s="19"/>
      <c r="V668" s="19"/>
      <c r="W668" s="19"/>
      <c r="X668" s="19"/>
    </row>
    <row r="669" spans="1:24" ht="14.25" customHeight="1" x14ac:dyDescent="0.3">
      <c r="A669" s="19"/>
      <c r="B669" s="19"/>
      <c r="C669" s="20"/>
      <c r="E669" s="28"/>
      <c r="F669" s="20"/>
      <c r="G669" s="19"/>
      <c r="H669" s="19"/>
      <c r="I669" s="19"/>
      <c r="J669" s="20"/>
      <c r="K669" s="20"/>
      <c r="L669" s="19"/>
      <c r="M669" s="19"/>
      <c r="N669" s="19"/>
      <c r="O669" s="19"/>
      <c r="P669" s="19"/>
      <c r="Q669" s="19"/>
      <c r="R669" s="19"/>
      <c r="S669" s="19"/>
      <c r="T669" s="19"/>
      <c r="U669" s="19"/>
      <c r="V669" s="19"/>
      <c r="W669" s="19"/>
      <c r="X669" s="19"/>
    </row>
    <row r="670" spans="1:24" ht="14.25" customHeight="1" x14ac:dyDescent="0.3">
      <c r="A670" s="19"/>
      <c r="B670" s="19"/>
      <c r="C670" s="20"/>
      <c r="E670" s="28"/>
      <c r="F670" s="20"/>
      <c r="G670" s="19"/>
      <c r="H670" s="19"/>
      <c r="I670" s="19"/>
      <c r="J670" s="20"/>
      <c r="K670" s="20"/>
      <c r="L670" s="19"/>
      <c r="M670" s="19"/>
      <c r="N670" s="19"/>
      <c r="O670" s="19"/>
      <c r="P670" s="19"/>
      <c r="Q670" s="19"/>
      <c r="R670" s="19"/>
      <c r="S670" s="19"/>
      <c r="T670" s="19"/>
      <c r="U670" s="19"/>
      <c r="V670" s="19"/>
      <c r="W670" s="19"/>
      <c r="X670" s="19"/>
    </row>
    <row r="671" spans="1:24" ht="14.25" customHeight="1" x14ac:dyDescent="0.3">
      <c r="A671" s="19"/>
      <c r="B671" s="19"/>
      <c r="C671" s="20"/>
      <c r="E671" s="28"/>
      <c r="F671" s="20"/>
      <c r="G671" s="19"/>
      <c r="H671" s="19"/>
      <c r="I671" s="19"/>
      <c r="J671" s="20"/>
      <c r="K671" s="20"/>
      <c r="L671" s="19"/>
      <c r="M671" s="19"/>
      <c r="N671" s="19"/>
      <c r="O671" s="19"/>
      <c r="P671" s="19"/>
      <c r="Q671" s="19"/>
      <c r="R671" s="19"/>
      <c r="S671" s="19"/>
      <c r="T671" s="19"/>
      <c r="U671" s="19"/>
      <c r="V671" s="19"/>
      <c r="W671" s="19"/>
      <c r="X671" s="19"/>
    </row>
    <row r="672" spans="1:24" ht="14.25" customHeight="1" x14ac:dyDescent="0.3">
      <c r="A672" s="19"/>
      <c r="B672" s="19"/>
      <c r="C672" s="20"/>
      <c r="E672" s="28"/>
      <c r="F672" s="20"/>
      <c r="G672" s="19"/>
      <c r="H672" s="19"/>
      <c r="I672" s="19"/>
      <c r="J672" s="20"/>
      <c r="K672" s="20"/>
      <c r="L672" s="19"/>
      <c r="M672" s="19"/>
      <c r="N672" s="19"/>
      <c r="O672" s="19"/>
      <c r="P672" s="19"/>
      <c r="Q672" s="19"/>
      <c r="R672" s="19"/>
      <c r="S672" s="19"/>
      <c r="T672" s="19"/>
      <c r="U672" s="19"/>
      <c r="V672" s="19"/>
      <c r="W672" s="19"/>
      <c r="X672" s="19"/>
    </row>
    <row r="673" spans="1:24" ht="14.25" customHeight="1" x14ac:dyDescent="0.3">
      <c r="A673" s="19"/>
      <c r="B673" s="19"/>
      <c r="C673" s="20"/>
      <c r="E673" s="28"/>
      <c r="F673" s="20"/>
      <c r="G673" s="19"/>
      <c r="H673" s="19"/>
      <c r="I673" s="19"/>
      <c r="J673" s="20"/>
      <c r="K673" s="20"/>
      <c r="L673" s="19"/>
      <c r="M673" s="19"/>
      <c r="N673" s="19"/>
      <c r="O673" s="19"/>
      <c r="P673" s="19"/>
      <c r="Q673" s="19"/>
      <c r="R673" s="19"/>
      <c r="S673" s="19"/>
      <c r="T673" s="19"/>
      <c r="U673" s="19"/>
      <c r="V673" s="19"/>
      <c r="W673" s="19"/>
      <c r="X673" s="19"/>
    </row>
    <row r="674" spans="1:24" ht="14.25" customHeight="1" x14ac:dyDescent="0.3">
      <c r="A674" s="19"/>
      <c r="B674" s="19"/>
      <c r="C674" s="20"/>
      <c r="E674" s="28"/>
      <c r="F674" s="20"/>
      <c r="G674" s="19"/>
      <c r="H674" s="19"/>
      <c r="I674" s="19"/>
      <c r="J674" s="20"/>
      <c r="K674" s="20"/>
      <c r="L674" s="19"/>
      <c r="M674" s="19"/>
      <c r="N674" s="19"/>
      <c r="O674" s="19"/>
      <c r="P674" s="19"/>
      <c r="Q674" s="19"/>
      <c r="R674" s="19"/>
      <c r="S674" s="19"/>
      <c r="T674" s="19"/>
      <c r="U674" s="19"/>
      <c r="V674" s="19"/>
      <c r="W674" s="19"/>
      <c r="X674" s="19"/>
    </row>
    <row r="675" spans="1:24" ht="14.25" customHeight="1" x14ac:dyDescent="0.3">
      <c r="A675" s="19"/>
      <c r="B675" s="19"/>
      <c r="C675" s="20"/>
      <c r="E675" s="28"/>
      <c r="F675" s="20"/>
      <c r="G675" s="19"/>
      <c r="H675" s="19"/>
      <c r="I675" s="19"/>
      <c r="J675" s="20"/>
      <c r="K675" s="20"/>
      <c r="L675" s="19"/>
      <c r="M675" s="19"/>
      <c r="N675" s="19"/>
      <c r="O675" s="19"/>
      <c r="P675" s="19"/>
      <c r="Q675" s="19"/>
      <c r="R675" s="19"/>
      <c r="S675" s="19"/>
      <c r="T675" s="19"/>
      <c r="U675" s="19"/>
      <c r="V675" s="19"/>
      <c r="W675" s="19"/>
      <c r="X675" s="19"/>
    </row>
    <row r="676" spans="1:24" ht="14.25" customHeight="1" x14ac:dyDescent="0.3">
      <c r="A676" s="19"/>
      <c r="B676" s="19"/>
      <c r="C676" s="20"/>
      <c r="E676" s="28"/>
      <c r="F676" s="20"/>
      <c r="G676" s="19"/>
      <c r="H676" s="19"/>
      <c r="I676" s="19"/>
      <c r="J676" s="20"/>
      <c r="K676" s="20"/>
      <c r="L676" s="19"/>
      <c r="M676" s="19"/>
      <c r="N676" s="19"/>
      <c r="O676" s="19"/>
      <c r="P676" s="19"/>
      <c r="Q676" s="19"/>
      <c r="R676" s="19"/>
      <c r="S676" s="19"/>
      <c r="T676" s="19"/>
      <c r="U676" s="19"/>
      <c r="V676" s="19"/>
      <c r="W676" s="19"/>
      <c r="X676" s="19"/>
    </row>
    <row r="677" spans="1:24" ht="14.25" customHeight="1" x14ac:dyDescent="0.3">
      <c r="A677" s="19"/>
      <c r="B677" s="19"/>
      <c r="C677" s="20"/>
      <c r="E677" s="28"/>
      <c r="F677" s="20"/>
      <c r="G677" s="19"/>
      <c r="H677" s="19"/>
      <c r="I677" s="19"/>
      <c r="J677" s="20"/>
      <c r="K677" s="20"/>
      <c r="L677" s="19"/>
      <c r="M677" s="19"/>
      <c r="N677" s="19"/>
      <c r="O677" s="19"/>
      <c r="P677" s="19"/>
      <c r="Q677" s="19"/>
      <c r="R677" s="19"/>
      <c r="S677" s="19"/>
      <c r="T677" s="19"/>
      <c r="U677" s="19"/>
      <c r="V677" s="19"/>
      <c r="W677" s="19"/>
      <c r="X677" s="19"/>
    </row>
    <row r="678" spans="1:24" ht="14.25" customHeight="1" x14ac:dyDescent="0.3">
      <c r="A678" s="19"/>
      <c r="B678" s="19"/>
      <c r="C678" s="20"/>
      <c r="E678" s="28"/>
      <c r="F678" s="20"/>
      <c r="G678" s="19"/>
      <c r="H678" s="19"/>
      <c r="I678" s="19"/>
      <c r="J678" s="20"/>
      <c r="K678" s="20"/>
      <c r="L678" s="19"/>
      <c r="M678" s="19"/>
      <c r="N678" s="19"/>
      <c r="O678" s="19"/>
      <c r="P678" s="19"/>
      <c r="Q678" s="19"/>
      <c r="R678" s="19"/>
      <c r="S678" s="19"/>
      <c r="T678" s="19"/>
      <c r="U678" s="19"/>
      <c r="V678" s="19"/>
      <c r="W678" s="19"/>
      <c r="X678" s="19"/>
    </row>
    <row r="679" spans="1:24" ht="14.25" customHeight="1" x14ac:dyDescent="0.3">
      <c r="A679" s="19"/>
      <c r="B679" s="19"/>
      <c r="C679" s="20"/>
      <c r="E679" s="28"/>
      <c r="F679" s="20"/>
      <c r="G679" s="19"/>
      <c r="H679" s="19"/>
      <c r="I679" s="19"/>
      <c r="J679" s="20"/>
      <c r="K679" s="20"/>
      <c r="L679" s="19"/>
      <c r="M679" s="19"/>
      <c r="N679" s="19"/>
      <c r="O679" s="19"/>
      <c r="P679" s="19"/>
      <c r="Q679" s="19"/>
      <c r="R679" s="19"/>
      <c r="S679" s="19"/>
      <c r="T679" s="19"/>
      <c r="U679" s="19"/>
      <c r="V679" s="19"/>
      <c r="W679" s="19"/>
      <c r="X679" s="19"/>
    </row>
    <row r="680" spans="1:24" ht="14.25" customHeight="1" x14ac:dyDescent="0.3">
      <c r="A680" s="19"/>
      <c r="B680" s="19"/>
      <c r="C680" s="20"/>
      <c r="E680" s="28"/>
      <c r="F680" s="20"/>
      <c r="G680" s="19"/>
      <c r="H680" s="19"/>
      <c r="I680" s="19"/>
      <c r="J680" s="20"/>
      <c r="K680" s="20"/>
      <c r="L680" s="19"/>
      <c r="M680" s="19"/>
      <c r="N680" s="19"/>
      <c r="O680" s="19"/>
      <c r="P680" s="19"/>
      <c r="Q680" s="19"/>
      <c r="R680" s="19"/>
      <c r="S680" s="19"/>
      <c r="T680" s="19"/>
      <c r="U680" s="19"/>
      <c r="V680" s="19"/>
      <c r="W680" s="19"/>
      <c r="X680" s="19"/>
    </row>
    <row r="681" spans="1:24" ht="14.25" customHeight="1" x14ac:dyDescent="0.3">
      <c r="A681" s="19"/>
      <c r="B681" s="19"/>
      <c r="C681" s="20"/>
      <c r="E681" s="28"/>
      <c r="F681" s="20"/>
      <c r="G681" s="19"/>
      <c r="H681" s="19"/>
      <c r="I681" s="19"/>
      <c r="J681" s="20"/>
      <c r="K681" s="20"/>
      <c r="L681" s="19"/>
      <c r="M681" s="19"/>
      <c r="N681" s="19"/>
      <c r="O681" s="19"/>
      <c r="P681" s="19"/>
      <c r="Q681" s="19"/>
      <c r="R681" s="19"/>
      <c r="S681" s="19"/>
      <c r="T681" s="19"/>
      <c r="U681" s="19"/>
      <c r="V681" s="19"/>
      <c r="W681" s="19"/>
      <c r="X681" s="19"/>
    </row>
    <row r="682" spans="1:24" ht="14.25" customHeight="1" x14ac:dyDescent="0.3">
      <c r="A682" s="19"/>
      <c r="B682" s="19"/>
      <c r="C682" s="20"/>
      <c r="E682" s="28"/>
      <c r="F682" s="20"/>
      <c r="G682" s="19"/>
      <c r="H682" s="19"/>
      <c r="I682" s="19"/>
      <c r="J682" s="20"/>
      <c r="K682" s="20"/>
      <c r="L682" s="19"/>
      <c r="M682" s="19"/>
      <c r="N682" s="19"/>
      <c r="O682" s="19"/>
      <c r="P682" s="19"/>
      <c r="Q682" s="19"/>
      <c r="R682" s="19"/>
      <c r="S682" s="19"/>
      <c r="T682" s="19"/>
      <c r="U682" s="19"/>
      <c r="V682" s="19"/>
      <c r="W682" s="19"/>
      <c r="X682" s="19"/>
    </row>
    <row r="683" spans="1:24" ht="14.25" customHeight="1" x14ac:dyDescent="0.3">
      <c r="A683" s="19"/>
      <c r="B683" s="19"/>
      <c r="C683" s="20"/>
      <c r="E683" s="28"/>
      <c r="F683" s="20"/>
      <c r="G683" s="19"/>
      <c r="H683" s="19"/>
      <c r="I683" s="19"/>
      <c r="J683" s="20"/>
      <c r="K683" s="20"/>
      <c r="L683" s="19"/>
      <c r="M683" s="19"/>
      <c r="N683" s="19"/>
      <c r="O683" s="19"/>
      <c r="P683" s="19"/>
      <c r="Q683" s="19"/>
      <c r="R683" s="19"/>
      <c r="S683" s="19"/>
      <c r="T683" s="19"/>
      <c r="U683" s="19"/>
      <c r="V683" s="19"/>
      <c r="W683" s="19"/>
      <c r="X683" s="19"/>
    </row>
    <row r="684" spans="1:24" ht="14.25" customHeight="1" x14ac:dyDescent="0.3">
      <c r="A684" s="19"/>
      <c r="B684" s="19"/>
      <c r="C684" s="20"/>
      <c r="E684" s="28"/>
      <c r="F684" s="20"/>
      <c r="G684" s="19"/>
      <c r="H684" s="19"/>
      <c r="I684" s="19"/>
      <c r="J684" s="20"/>
      <c r="K684" s="20"/>
      <c r="L684" s="19"/>
      <c r="M684" s="19"/>
      <c r="N684" s="19"/>
      <c r="O684" s="19"/>
      <c r="P684" s="19"/>
      <c r="Q684" s="19"/>
      <c r="R684" s="19"/>
      <c r="S684" s="19"/>
      <c r="T684" s="19"/>
      <c r="U684" s="19"/>
      <c r="V684" s="19"/>
      <c r="W684" s="19"/>
      <c r="X684" s="19"/>
    </row>
    <row r="685" spans="1:24" ht="14.25" customHeight="1" x14ac:dyDescent="0.3">
      <c r="A685" s="19"/>
      <c r="B685" s="19"/>
      <c r="C685" s="20"/>
      <c r="E685" s="28"/>
      <c r="F685" s="20"/>
      <c r="G685" s="19"/>
      <c r="H685" s="19"/>
      <c r="I685" s="19"/>
      <c r="J685" s="20"/>
      <c r="K685" s="20"/>
      <c r="L685" s="19"/>
      <c r="M685" s="19"/>
      <c r="N685" s="19"/>
      <c r="O685" s="19"/>
      <c r="P685" s="19"/>
      <c r="Q685" s="19"/>
      <c r="R685" s="19"/>
      <c r="S685" s="19"/>
      <c r="T685" s="19"/>
      <c r="U685" s="19"/>
      <c r="V685" s="19"/>
      <c r="W685" s="19"/>
      <c r="X685" s="19"/>
    </row>
    <row r="686" spans="1:24" ht="14.25" customHeight="1" x14ac:dyDescent="0.3">
      <c r="A686" s="19"/>
      <c r="B686" s="19"/>
      <c r="C686" s="20"/>
      <c r="E686" s="28"/>
      <c r="F686" s="20"/>
      <c r="G686" s="19"/>
      <c r="H686" s="19"/>
      <c r="I686" s="19"/>
      <c r="J686" s="20"/>
      <c r="K686" s="20"/>
      <c r="L686" s="19"/>
      <c r="M686" s="19"/>
      <c r="N686" s="19"/>
      <c r="O686" s="19"/>
      <c r="P686" s="19"/>
      <c r="Q686" s="19"/>
      <c r="R686" s="19"/>
      <c r="S686" s="19"/>
      <c r="T686" s="19"/>
      <c r="U686" s="19"/>
      <c r="V686" s="19"/>
      <c r="W686" s="19"/>
      <c r="X686" s="19"/>
    </row>
    <row r="687" spans="1:24" ht="14.25" customHeight="1" x14ac:dyDescent="0.3">
      <c r="A687" s="19"/>
      <c r="B687" s="19"/>
      <c r="C687" s="20"/>
      <c r="E687" s="28"/>
      <c r="F687" s="20"/>
      <c r="G687" s="19"/>
      <c r="H687" s="19"/>
      <c r="I687" s="19"/>
      <c r="J687" s="20"/>
      <c r="K687" s="20"/>
      <c r="L687" s="19"/>
      <c r="M687" s="19"/>
      <c r="N687" s="19"/>
      <c r="O687" s="19"/>
      <c r="P687" s="19"/>
      <c r="Q687" s="19"/>
      <c r="R687" s="19"/>
      <c r="S687" s="19"/>
      <c r="T687" s="19"/>
      <c r="U687" s="19"/>
      <c r="V687" s="19"/>
      <c r="W687" s="19"/>
      <c r="X687" s="19"/>
    </row>
    <row r="688" spans="1:24" ht="14.25" customHeight="1" x14ac:dyDescent="0.3">
      <c r="A688" s="19"/>
      <c r="B688" s="19"/>
      <c r="C688" s="20"/>
      <c r="E688" s="28"/>
      <c r="F688" s="20"/>
      <c r="G688" s="19"/>
      <c r="H688" s="19"/>
      <c r="I688" s="19"/>
      <c r="J688" s="20"/>
      <c r="K688" s="20"/>
      <c r="L688" s="19"/>
      <c r="M688" s="19"/>
      <c r="N688" s="19"/>
      <c r="O688" s="19"/>
      <c r="P688" s="19"/>
      <c r="Q688" s="19"/>
      <c r="R688" s="19"/>
      <c r="S688" s="19"/>
      <c r="T688" s="19"/>
      <c r="U688" s="19"/>
      <c r="V688" s="19"/>
      <c r="W688" s="19"/>
      <c r="X688" s="19"/>
    </row>
    <row r="689" spans="1:24" ht="14.25" customHeight="1" x14ac:dyDescent="0.3">
      <c r="A689" s="19"/>
      <c r="B689" s="19"/>
      <c r="C689" s="20"/>
      <c r="E689" s="28"/>
      <c r="F689" s="20"/>
      <c r="G689" s="19"/>
      <c r="H689" s="19"/>
      <c r="I689" s="19"/>
      <c r="J689" s="20"/>
      <c r="K689" s="20"/>
      <c r="L689" s="19"/>
      <c r="M689" s="19"/>
      <c r="N689" s="19"/>
      <c r="O689" s="19"/>
      <c r="P689" s="19"/>
      <c r="Q689" s="19"/>
      <c r="R689" s="19"/>
      <c r="S689" s="19"/>
      <c r="T689" s="19"/>
      <c r="U689" s="19"/>
      <c r="V689" s="19"/>
      <c r="W689" s="19"/>
      <c r="X689" s="19"/>
    </row>
    <row r="690" spans="1:24" ht="14.25" customHeight="1" x14ac:dyDescent="0.3">
      <c r="A690" s="19"/>
      <c r="B690" s="19"/>
      <c r="C690" s="20"/>
      <c r="E690" s="28"/>
      <c r="F690" s="20"/>
      <c r="G690" s="19"/>
      <c r="H690" s="19"/>
      <c r="I690" s="19"/>
      <c r="J690" s="20"/>
      <c r="K690" s="20"/>
      <c r="L690" s="19"/>
      <c r="M690" s="19"/>
      <c r="N690" s="19"/>
      <c r="O690" s="19"/>
      <c r="P690" s="19"/>
      <c r="Q690" s="19"/>
      <c r="R690" s="19"/>
      <c r="S690" s="19"/>
      <c r="T690" s="19"/>
      <c r="U690" s="19"/>
      <c r="V690" s="19"/>
      <c r="W690" s="19"/>
      <c r="X690" s="19"/>
    </row>
    <row r="691" spans="1:24" ht="14.25" customHeight="1" x14ac:dyDescent="0.3">
      <c r="A691" s="19"/>
      <c r="B691" s="19"/>
      <c r="C691" s="20"/>
      <c r="E691" s="28"/>
      <c r="F691" s="20"/>
      <c r="G691" s="19"/>
      <c r="H691" s="19"/>
      <c r="I691" s="19"/>
      <c r="J691" s="20"/>
      <c r="K691" s="20"/>
      <c r="L691" s="19"/>
      <c r="M691" s="19"/>
      <c r="N691" s="19"/>
      <c r="O691" s="19"/>
      <c r="P691" s="19"/>
      <c r="Q691" s="19"/>
      <c r="R691" s="19"/>
      <c r="S691" s="19"/>
      <c r="T691" s="19"/>
      <c r="U691" s="19"/>
      <c r="V691" s="19"/>
      <c r="W691" s="19"/>
      <c r="X691" s="19"/>
    </row>
    <row r="692" spans="1:24" ht="14.25" customHeight="1" x14ac:dyDescent="0.3">
      <c r="A692" s="19"/>
      <c r="B692" s="19"/>
      <c r="C692" s="20"/>
      <c r="E692" s="28"/>
      <c r="F692" s="20"/>
      <c r="G692" s="19"/>
      <c r="H692" s="19"/>
      <c r="I692" s="19"/>
      <c r="J692" s="20"/>
      <c r="K692" s="20"/>
      <c r="L692" s="19"/>
      <c r="M692" s="19"/>
      <c r="N692" s="19"/>
      <c r="O692" s="19"/>
      <c r="P692" s="19"/>
      <c r="Q692" s="19"/>
      <c r="R692" s="19"/>
      <c r="S692" s="19"/>
      <c r="T692" s="19"/>
      <c r="U692" s="19"/>
      <c r="V692" s="19"/>
      <c r="W692" s="19"/>
      <c r="X692" s="19"/>
    </row>
    <row r="693" spans="1:24" ht="14.25" customHeight="1" x14ac:dyDescent="0.3">
      <c r="A693" s="19"/>
      <c r="B693" s="19"/>
      <c r="C693" s="20"/>
      <c r="E693" s="28"/>
      <c r="F693" s="20"/>
      <c r="G693" s="19"/>
      <c r="H693" s="19"/>
      <c r="I693" s="19"/>
      <c r="J693" s="20"/>
      <c r="K693" s="20"/>
      <c r="L693" s="19"/>
      <c r="M693" s="19"/>
      <c r="N693" s="19"/>
      <c r="O693" s="19"/>
      <c r="P693" s="19"/>
      <c r="Q693" s="19"/>
      <c r="R693" s="19"/>
      <c r="S693" s="19"/>
      <c r="T693" s="19"/>
      <c r="U693" s="19"/>
      <c r="V693" s="19"/>
      <c r="W693" s="19"/>
      <c r="X693" s="19"/>
    </row>
    <row r="694" spans="1:24" ht="14.25" customHeight="1" x14ac:dyDescent="0.3">
      <c r="A694" s="19"/>
      <c r="B694" s="19"/>
      <c r="C694" s="20"/>
      <c r="E694" s="28"/>
      <c r="F694" s="20"/>
      <c r="G694" s="19"/>
      <c r="H694" s="19"/>
      <c r="I694" s="19"/>
      <c r="J694" s="20"/>
      <c r="K694" s="20"/>
      <c r="L694" s="19"/>
      <c r="M694" s="19"/>
      <c r="N694" s="19"/>
      <c r="O694" s="19"/>
      <c r="P694" s="19"/>
      <c r="Q694" s="19"/>
      <c r="R694" s="19"/>
      <c r="S694" s="19"/>
      <c r="T694" s="19"/>
      <c r="U694" s="19"/>
      <c r="V694" s="19"/>
      <c r="W694" s="19"/>
      <c r="X694" s="19"/>
    </row>
    <row r="695" spans="1:24" ht="14.25" customHeight="1" x14ac:dyDescent="0.3">
      <c r="A695" s="19"/>
      <c r="B695" s="19"/>
      <c r="C695" s="20"/>
      <c r="E695" s="28"/>
      <c r="F695" s="20"/>
      <c r="G695" s="19"/>
      <c r="H695" s="19"/>
      <c r="I695" s="19"/>
      <c r="J695" s="20"/>
      <c r="K695" s="20"/>
      <c r="L695" s="19"/>
      <c r="M695" s="19"/>
      <c r="N695" s="19"/>
      <c r="O695" s="19"/>
      <c r="P695" s="19"/>
      <c r="Q695" s="19"/>
      <c r="R695" s="19"/>
      <c r="S695" s="19"/>
      <c r="T695" s="19"/>
      <c r="U695" s="19"/>
      <c r="V695" s="19"/>
      <c r="W695" s="19"/>
      <c r="X695" s="19"/>
    </row>
    <row r="696" spans="1:24" ht="14.25" customHeight="1" x14ac:dyDescent="0.3">
      <c r="A696" s="19"/>
      <c r="B696" s="19"/>
      <c r="C696" s="20"/>
      <c r="E696" s="28"/>
      <c r="F696" s="20"/>
      <c r="G696" s="19"/>
      <c r="H696" s="19"/>
      <c r="I696" s="19"/>
      <c r="J696" s="20"/>
      <c r="K696" s="20"/>
      <c r="L696" s="19"/>
      <c r="M696" s="19"/>
      <c r="N696" s="19"/>
      <c r="O696" s="19"/>
      <c r="P696" s="19"/>
      <c r="Q696" s="19"/>
      <c r="R696" s="19"/>
      <c r="S696" s="19"/>
      <c r="T696" s="19"/>
      <c r="U696" s="19"/>
      <c r="V696" s="19"/>
      <c r="W696" s="19"/>
      <c r="X696" s="19"/>
    </row>
    <row r="697" spans="1:24" ht="14.25" customHeight="1" x14ac:dyDescent="0.3">
      <c r="A697" s="19"/>
      <c r="B697" s="19"/>
      <c r="C697" s="20"/>
      <c r="E697" s="28"/>
      <c r="F697" s="20"/>
      <c r="G697" s="19"/>
      <c r="H697" s="19"/>
      <c r="I697" s="19"/>
      <c r="J697" s="20"/>
      <c r="K697" s="20"/>
      <c r="L697" s="19"/>
      <c r="M697" s="19"/>
      <c r="N697" s="19"/>
      <c r="O697" s="19"/>
      <c r="P697" s="19"/>
      <c r="Q697" s="19"/>
      <c r="R697" s="19"/>
      <c r="S697" s="19"/>
      <c r="T697" s="19"/>
      <c r="U697" s="19"/>
      <c r="V697" s="19"/>
      <c r="W697" s="19"/>
      <c r="X697" s="19"/>
    </row>
    <row r="698" spans="1:24" ht="14.25" customHeight="1" x14ac:dyDescent="0.3">
      <c r="A698" s="19"/>
      <c r="B698" s="19"/>
      <c r="C698" s="20"/>
      <c r="E698" s="28"/>
      <c r="F698" s="20"/>
      <c r="G698" s="19"/>
      <c r="H698" s="19"/>
      <c r="I698" s="19"/>
      <c r="J698" s="20"/>
      <c r="K698" s="20"/>
      <c r="L698" s="19"/>
      <c r="M698" s="19"/>
      <c r="N698" s="19"/>
      <c r="O698" s="19"/>
      <c r="P698" s="19"/>
      <c r="Q698" s="19"/>
      <c r="R698" s="19"/>
      <c r="S698" s="19"/>
      <c r="T698" s="19"/>
      <c r="U698" s="19"/>
      <c r="V698" s="19"/>
      <c r="W698" s="19"/>
      <c r="X698" s="19"/>
    </row>
    <row r="699" spans="1:24" ht="14.25" customHeight="1" x14ac:dyDescent="0.3">
      <c r="A699" s="19"/>
      <c r="B699" s="19"/>
      <c r="C699" s="20"/>
      <c r="E699" s="28"/>
      <c r="F699" s="20"/>
      <c r="G699" s="19"/>
      <c r="H699" s="19"/>
      <c r="I699" s="19"/>
      <c r="J699" s="20"/>
      <c r="K699" s="20"/>
      <c r="L699" s="19"/>
      <c r="M699" s="19"/>
      <c r="N699" s="19"/>
      <c r="O699" s="19"/>
      <c r="P699" s="19"/>
      <c r="Q699" s="19"/>
      <c r="R699" s="19"/>
      <c r="S699" s="19"/>
      <c r="T699" s="19"/>
      <c r="U699" s="19"/>
      <c r="V699" s="19"/>
      <c r="W699" s="19"/>
      <c r="X699" s="19"/>
    </row>
    <row r="700" spans="1:24" ht="14.25" customHeight="1" x14ac:dyDescent="0.3">
      <c r="A700" s="19"/>
      <c r="B700" s="19"/>
      <c r="C700" s="20"/>
      <c r="E700" s="28"/>
      <c r="F700" s="20"/>
      <c r="G700" s="19"/>
      <c r="H700" s="19"/>
      <c r="I700" s="19"/>
      <c r="J700" s="20"/>
      <c r="K700" s="20"/>
      <c r="L700" s="19"/>
      <c r="M700" s="19"/>
      <c r="N700" s="19"/>
      <c r="O700" s="19"/>
      <c r="P700" s="19"/>
      <c r="Q700" s="19"/>
      <c r="R700" s="19"/>
      <c r="S700" s="19"/>
      <c r="T700" s="19"/>
      <c r="U700" s="19"/>
      <c r="V700" s="19"/>
      <c r="W700" s="19"/>
      <c r="X700" s="19"/>
    </row>
    <row r="701" spans="1:24" ht="14.25" customHeight="1" x14ac:dyDescent="0.3">
      <c r="A701" s="19"/>
      <c r="B701" s="19"/>
      <c r="C701" s="20"/>
      <c r="E701" s="28"/>
      <c r="F701" s="20"/>
      <c r="G701" s="19"/>
      <c r="H701" s="19"/>
      <c r="I701" s="19"/>
      <c r="J701" s="20"/>
      <c r="K701" s="20"/>
      <c r="L701" s="19"/>
      <c r="M701" s="19"/>
      <c r="N701" s="19"/>
      <c r="O701" s="19"/>
      <c r="P701" s="19"/>
      <c r="Q701" s="19"/>
      <c r="R701" s="19"/>
      <c r="S701" s="19"/>
      <c r="T701" s="19"/>
      <c r="U701" s="19"/>
      <c r="V701" s="19"/>
      <c r="W701" s="19"/>
      <c r="X701" s="19"/>
    </row>
    <row r="702" spans="1:24" ht="14.25" customHeight="1" x14ac:dyDescent="0.3">
      <c r="A702" s="19"/>
      <c r="B702" s="19"/>
      <c r="C702" s="20"/>
      <c r="E702" s="28"/>
      <c r="F702" s="20"/>
      <c r="G702" s="19"/>
      <c r="H702" s="19"/>
      <c r="I702" s="19"/>
      <c r="J702" s="20"/>
      <c r="K702" s="20"/>
      <c r="L702" s="19"/>
      <c r="M702" s="19"/>
      <c r="N702" s="19"/>
      <c r="O702" s="19"/>
      <c r="P702" s="19"/>
      <c r="Q702" s="19"/>
      <c r="R702" s="19"/>
      <c r="S702" s="19"/>
      <c r="T702" s="19"/>
      <c r="U702" s="19"/>
      <c r="V702" s="19"/>
      <c r="W702" s="19"/>
      <c r="X702" s="19"/>
    </row>
    <row r="703" spans="1:24" ht="14.25" customHeight="1" x14ac:dyDescent="0.3">
      <c r="A703" s="19"/>
      <c r="B703" s="19"/>
      <c r="C703" s="20"/>
      <c r="E703" s="28"/>
      <c r="F703" s="20"/>
      <c r="G703" s="19"/>
      <c r="H703" s="19"/>
      <c r="I703" s="19"/>
      <c r="J703" s="20"/>
      <c r="K703" s="20"/>
      <c r="L703" s="19"/>
      <c r="M703" s="19"/>
      <c r="N703" s="19"/>
      <c r="O703" s="19"/>
      <c r="P703" s="19"/>
      <c r="Q703" s="19"/>
      <c r="R703" s="19"/>
      <c r="S703" s="19"/>
      <c r="T703" s="19"/>
      <c r="U703" s="19"/>
      <c r="V703" s="19"/>
      <c r="W703" s="19"/>
      <c r="X703" s="19"/>
    </row>
    <row r="704" spans="1:24" ht="14.25" customHeight="1" x14ac:dyDescent="0.3">
      <c r="A704" s="19"/>
      <c r="B704" s="19"/>
      <c r="C704" s="20"/>
      <c r="E704" s="28"/>
      <c r="F704" s="20"/>
      <c r="G704" s="19"/>
      <c r="H704" s="19"/>
      <c r="I704" s="19"/>
      <c r="J704" s="20"/>
      <c r="K704" s="20"/>
      <c r="L704" s="19"/>
      <c r="M704" s="19"/>
      <c r="N704" s="19"/>
      <c r="O704" s="19"/>
      <c r="P704" s="19"/>
      <c r="Q704" s="19"/>
      <c r="R704" s="19"/>
      <c r="S704" s="19"/>
      <c r="T704" s="19"/>
      <c r="U704" s="19"/>
      <c r="V704" s="19"/>
      <c r="W704" s="19"/>
      <c r="X704" s="19"/>
    </row>
    <row r="705" spans="1:24" ht="14.25" customHeight="1" x14ac:dyDescent="0.3">
      <c r="A705" s="19"/>
      <c r="B705" s="19"/>
      <c r="C705" s="20"/>
      <c r="E705" s="28"/>
      <c r="F705" s="20"/>
      <c r="G705" s="19"/>
      <c r="H705" s="19"/>
      <c r="I705" s="19"/>
      <c r="J705" s="20"/>
      <c r="K705" s="20"/>
      <c r="L705" s="19"/>
      <c r="M705" s="19"/>
      <c r="N705" s="19"/>
      <c r="O705" s="19"/>
      <c r="P705" s="19"/>
      <c r="Q705" s="19"/>
      <c r="R705" s="19"/>
      <c r="S705" s="19"/>
      <c r="T705" s="19"/>
      <c r="U705" s="19"/>
      <c r="V705" s="19"/>
      <c r="W705" s="19"/>
      <c r="X705" s="19"/>
    </row>
    <row r="706" spans="1:24" ht="14.25" customHeight="1" x14ac:dyDescent="0.3">
      <c r="A706" s="19"/>
      <c r="B706" s="19"/>
      <c r="C706" s="20"/>
      <c r="E706" s="28"/>
      <c r="F706" s="20"/>
      <c r="G706" s="19"/>
      <c r="H706" s="19"/>
      <c r="I706" s="19"/>
      <c r="J706" s="20"/>
      <c r="K706" s="20"/>
      <c r="L706" s="19"/>
      <c r="M706" s="19"/>
      <c r="N706" s="19"/>
      <c r="O706" s="19"/>
      <c r="P706" s="19"/>
      <c r="Q706" s="19"/>
      <c r="R706" s="19"/>
      <c r="S706" s="19"/>
      <c r="T706" s="19"/>
      <c r="U706" s="19"/>
      <c r="V706" s="19"/>
      <c r="W706" s="19"/>
      <c r="X706" s="19"/>
    </row>
    <row r="707" spans="1:24" ht="14.25" customHeight="1" x14ac:dyDescent="0.3">
      <c r="A707" s="19"/>
      <c r="B707" s="19"/>
      <c r="C707" s="20"/>
      <c r="E707" s="28"/>
      <c r="F707" s="20"/>
      <c r="G707" s="19"/>
      <c r="H707" s="19"/>
      <c r="I707" s="19"/>
      <c r="J707" s="20"/>
      <c r="K707" s="20"/>
      <c r="L707" s="19"/>
      <c r="M707" s="19"/>
      <c r="N707" s="19"/>
      <c r="O707" s="19"/>
      <c r="P707" s="19"/>
      <c r="Q707" s="19"/>
      <c r="R707" s="19"/>
      <c r="S707" s="19"/>
      <c r="T707" s="19"/>
      <c r="U707" s="19"/>
      <c r="V707" s="19"/>
      <c r="W707" s="19"/>
      <c r="X707" s="19"/>
    </row>
    <row r="708" spans="1:24" ht="14.25" customHeight="1" x14ac:dyDescent="0.3">
      <c r="A708" s="19"/>
      <c r="B708" s="19"/>
      <c r="C708" s="20"/>
      <c r="E708" s="28"/>
      <c r="F708" s="20"/>
      <c r="G708" s="19"/>
      <c r="H708" s="19"/>
      <c r="I708" s="19"/>
      <c r="J708" s="20"/>
      <c r="K708" s="20"/>
      <c r="L708" s="19"/>
      <c r="M708" s="19"/>
      <c r="N708" s="19"/>
      <c r="O708" s="19"/>
      <c r="P708" s="19"/>
      <c r="Q708" s="19"/>
      <c r="R708" s="19"/>
      <c r="S708" s="19"/>
      <c r="T708" s="19"/>
      <c r="U708" s="19"/>
      <c r="V708" s="19"/>
      <c r="W708" s="19"/>
      <c r="X708" s="19"/>
    </row>
    <row r="709" spans="1:24" ht="14.25" customHeight="1" x14ac:dyDescent="0.3">
      <c r="A709" s="19"/>
      <c r="B709" s="19"/>
      <c r="C709" s="20"/>
      <c r="E709" s="28"/>
      <c r="F709" s="20"/>
      <c r="G709" s="19"/>
      <c r="H709" s="19"/>
      <c r="I709" s="19"/>
      <c r="J709" s="20"/>
      <c r="K709" s="20"/>
      <c r="L709" s="19"/>
      <c r="M709" s="19"/>
      <c r="N709" s="19"/>
      <c r="O709" s="19"/>
      <c r="P709" s="19"/>
      <c r="Q709" s="19"/>
      <c r="R709" s="19"/>
      <c r="S709" s="19"/>
      <c r="T709" s="19"/>
      <c r="U709" s="19"/>
      <c r="V709" s="19"/>
      <c r="W709" s="19"/>
      <c r="X709" s="19"/>
    </row>
    <row r="710" spans="1:24" ht="14.25" customHeight="1" x14ac:dyDescent="0.3">
      <c r="A710" s="19"/>
      <c r="B710" s="19"/>
      <c r="C710" s="20"/>
      <c r="E710" s="28"/>
      <c r="F710" s="20"/>
      <c r="G710" s="19"/>
      <c r="H710" s="19"/>
      <c r="I710" s="19"/>
      <c r="J710" s="20"/>
      <c r="K710" s="20"/>
      <c r="L710" s="19"/>
      <c r="M710" s="19"/>
      <c r="N710" s="19"/>
      <c r="O710" s="19"/>
      <c r="P710" s="19"/>
      <c r="Q710" s="19"/>
      <c r="R710" s="19"/>
      <c r="S710" s="19"/>
      <c r="T710" s="19"/>
      <c r="U710" s="19"/>
      <c r="V710" s="19"/>
      <c r="W710" s="19"/>
      <c r="X710" s="19"/>
    </row>
    <row r="711" spans="1:24" ht="14.25" customHeight="1" x14ac:dyDescent="0.3">
      <c r="A711" s="19"/>
      <c r="B711" s="19"/>
      <c r="C711" s="20"/>
      <c r="E711" s="28"/>
      <c r="F711" s="20"/>
      <c r="G711" s="19"/>
      <c r="H711" s="19"/>
      <c r="I711" s="19"/>
      <c r="J711" s="20"/>
      <c r="K711" s="20"/>
      <c r="L711" s="19"/>
      <c r="M711" s="19"/>
      <c r="N711" s="19"/>
      <c r="O711" s="19"/>
      <c r="P711" s="19"/>
      <c r="Q711" s="19"/>
      <c r="R711" s="19"/>
      <c r="S711" s="19"/>
      <c r="T711" s="19"/>
      <c r="U711" s="19"/>
      <c r="V711" s="19"/>
      <c r="W711" s="19"/>
      <c r="X711" s="19"/>
    </row>
    <row r="712" spans="1:24" ht="14.25" customHeight="1" x14ac:dyDescent="0.3">
      <c r="A712" s="19"/>
      <c r="B712" s="19"/>
      <c r="C712" s="20"/>
      <c r="E712" s="28"/>
      <c r="F712" s="20"/>
      <c r="G712" s="19"/>
      <c r="H712" s="19"/>
      <c r="I712" s="19"/>
      <c r="J712" s="20"/>
      <c r="K712" s="20"/>
      <c r="L712" s="19"/>
      <c r="M712" s="19"/>
      <c r="N712" s="19"/>
      <c r="O712" s="19"/>
      <c r="P712" s="19"/>
      <c r="Q712" s="19"/>
      <c r="R712" s="19"/>
      <c r="S712" s="19"/>
      <c r="T712" s="19"/>
      <c r="U712" s="19"/>
      <c r="V712" s="19"/>
      <c r="W712" s="19"/>
      <c r="X712" s="19"/>
    </row>
    <row r="713" spans="1:24" ht="14.25" customHeight="1" x14ac:dyDescent="0.3">
      <c r="A713" s="19"/>
      <c r="B713" s="19"/>
      <c r="C713" s="20"/>
      <c r="E713" s="28"/>
      <c r="F713" s="20"/>
      <c r="G713" s="19"/>
      <c r="H713" s="19"/>
      <c r="I713" s="19"/>
      <c r="J713" s="20"/>
      <c r="K713" s="20"/>
      <c r="L713" s="19"/>
      <c r="M713" s="19"/>
      <c r="N713" s="19"/>
      <c r="O713" s="19"/>
      <c r="P713" s="19"/>
      <c r="Q713" s="19"/>
      <c r="R713" s="19"/>
      <c r="S713" s="19"/>
      <c r="T713" s="19"/>
      <c r="U713" s="19"/>
      <c r="V713" s="19"/>
      <c r="W713" s="19"/>
      <c r="X713" s="19"/>
    </row>
    <row r="714" spans="1:24" ht="14.25" customHeight="1" x14ac:dyDescent="0.3">
      <c r="A714" s="19"/>
      <c r="B714" s="19"/>
      <c r="C714" s="20"/>
      <c r="E714" s="28"/>
      <c r="F714" s="20"/>
      <c r="G714" s="19"/>
      <c r="H714" s="19"/>
      <c r="I714" s="19"/>
      <c r="J714" s="20"/>
      <c r="K714" s="20"/>
      <c r="L714" s="19"/>
      <c r="M714" s="19"/>
      <c r="N714" s="19"/>
      <c r="O714" s="19"/>
      <c r="P714" s="19"/>
      <c r="Q714" s="19"/>
      <c r="R714" s="19"/>
      <c r="S714" s="19"/>
      <c r="T714" s="19"/>
      <c r="U714" s="19"/>
      <c r="V714" s="19"/>
      <c r="W714" s="19"/>
      <c r="X714" s="19"/>
    </row>
    <row r="715" spans="1:24" ht="14.25" customHeight="1" x14ac:dyDescent="0.3">
      <c r="A715" s="19"/>
      <c r="B715" s="19"/>
      <c r="C715" s="20"/>
      <c r="E715" s="28"/>
      <c r="F715" s="20"/>
      <c r="G715" s="19"/>
      <c r="H715" s="19"/>
      <c r="I715" s="19"/>
      <c r="J715" s="20"/>
      <c r="K715" s="20"/>
      <c r="L715" s="19"/>
      <c r="M715" s="19"/>
      <c r="N715" s="19"/>
      <c r="O715" s="19"/>
      <c r="P715" s="19"/>
      <c r="Q715" s="19"/>
      <c r="R715" s="19"/>
      <c r="S715" s="19"/>
      <c r="T715" s="19"/>
      <c r="U715" s="19"/>
      <c r="V715" s="19"/>
      <c r="W715" s="19"/>
      <c r="X715" s="19"/>
    </row>
    <row r="716" spans="1:24" ht="14.25" customHeight="1" x14ac:dyDescent="0.3">
      <c r="A716" s="19"/>
      <c r="B716" s="19"/>
      <c r="C716" s="20"/>
      <c r="E716" s="28"/>
      <c r="F716" s="20"/>
      <c r="G716" s="19"/>
      <c r="H716" s="19"/>
      <c r="I716" s="19"/>
      <c r="J716" s="20"/>
      <c r="K716" s="20"/>
      <c r="L716" s="19"/>
      <c r="M716" s="19"/>
      <c r="N716" s="19"/>
      <c r="O716" s="19"/>
      <c r="P716" s="19"/>
      <c r="Q716" s="19"/>
      <c r="R716" s="19"/>
      <c r="S716" s="19"/>
      <c r="T716" s="19"/>
      <c r="U716" s="19"/>
      <c r="V716" s="19"/>
      <c r="W716" s="19"/>
      <c r="X716" s="19"/>
    </row>
    <row r="717" spans="1:24" ht="14.25" customHeight="1" x14ac:dyDescent="0.3">
      <c r="A717" s="19"/>
      <c r="B717" s="19"/>
      <c r="C717" s="20"/>
      <c r="E717" s="28"/>
      <c r="F717" s="20"/>
      <c r="G717" s="19"/>
      <c r="H717" s="19"/>
      <c r="I717" s="19"/>
      <c r="J717" s="20"/>
      <c r="K717" s="20"/>
      <c r="L717" s="19"/>
      <c r="M717" s="19"/>
      <c r="N717" s="19"/>
      <c r="O717" s="19"/>
      <c r="P717" s="19"/>
      <c r="Q717" s="19"/>
      <c r="R717" s="19"/>
      <c r="S717" s="19"/>
      <c r="T717" s="19"/>
      <c r="U717" s="19"/>
      <c r="V717" s="19"/>
      <c r="W717" s="19"/>
      <c r="X717" s="19"/>
    </row>
    <row r="718" spans="1:24" ht="14.25" customHeight="1" x14ac:dyDescent="0.3">
      <c r="A718" s="19"/>
      <c r="B718" s="19"/>
      <c r="C718" s="20"/>
      <c r="E718" s="28"/>
      <c r="F718" s="20"/>
      <c r="G718" s="19"/>
      <c r="H718" s="19"/>
      <c r="I718" s="19"/>
      <c r="J718" s="20"/>
      <c r="K718" s="20"/>
      <c r="L718" s="19"/>
      <c r="M718" s="19"/>
      <c r="N718" s="19"/>
      <c r="O718" s="19"/>
      <c r="P718" s="19"/>
      <c r="Q718" s="19"/>
      <c r="R718" s="19"/>
      <c r="S718" s="19"/>
      <c r="T718" s="19"/>
      <c r="U718" s="19"/>
      <c r="V718" s="19"/>
      <c r="W718" s="19"/>
      <c r="X718" s="19"/>
    </row>
    <row r="719" spans="1:24" ht="14.25" customHeight="1" x14ac:dyDescent="0.3">
      <c r="A719" s="19"/>
      <c r="B719" s="19"/>
      <c r="C719" s="20"/>
      <c r="E719" s="28"/>
      <c r="F719" s="20"/>
      <c r="G719" s="19"/>
      <c r="H719" s="19"/>
      <c r="I719" s="19"/>
      <c r="J719" s="20"/>
      <c r="K719" s="20"/>
      <c r="L719" s="19"/>
      <c r="M719" s="19"/>
      <c r="N719" s="19"/>
      <c r="O719" s="19"/>
      <c r="P719" s="19"/>
      <c r="Q719" s="19"/>
      <c r="R719" s="19"/>
      <c r="S719" s="19"/>
      <c r="T719" s="19"/>
      <c r="U719" s="19"/>
      <c r="V719" s="19"/>
      <c r="W719" s="19"/>
      <c r="X719" s="19"/>
    </row>
    <row r="720" spans="1:24" ht="14.25" customHeight="1" x14ac:dyDescent="0.3">
      <c r="A720" s="19"/>
      <c r="B720" s="19"/>
      <c r="C720" s="20"/>
      <c r="E720" s="28"/>
      <c r="F720" s="20"/>
      <c r="G720" s="19"/>
      <c r="H720" s="19"/>
      <c r="I720" s="19"/>
      <c r="J720" s="20"/>
      <c r="K720" s="20"/>
      <c r="L720" s="19"/>
      <c r="M720" s="19"/>
      <c r="N720" s="19"/>
      <c r="O720" s="19"/>
      <c r="P720" s="19"/>
      <c r="Q720" s="19"/>
      <c r="R720" s="19"/>
      <c r="S720" s="19"/>
      <c r="T720" s="19"/>
      <c r="U720" s="19"/>
      <c r="V720" s="19"/>
      <c r="W720" s="19"/>
      <c r="X720" s="19"/>
    </row>
    <row r="721" spans="1:24" ht="14.25" customHeight="1" x14ac:dyDescent="0.3">
      <c r="A721" s="19"/>
      <c r="B721" s="19"/>
      <c r="C721" s="20"/>
      <c r="E721" s="28"/>
      <c r="F721" s="20"/>
      <c r="G721" s="19"/>
      <c r="H721" s="19"/>
      <c r="I721" s="19"/>
      <c r="J721" s="20"/>
      <c r="K721" s="20"/>
      <c r="L721" s="19"/>
      <c r="M721" s="19"/>
      <c r="N721" s="19"/>
      <c r="O721" s="19"/>
      <c r="P721" s="19"/>
      <c r="Q721" s="19"/>
      <c r="R721" s="19"/>
      <c r="S721" s="19"/>
      <c r="T721" s="19"/>
      <c r="U721" s="19"/>
      <c r="V721" s="19"/>
      <c r="W721" s="19"/>
      <c r="X721" s="19"/>
    </row>
    <row r="722" spans="1:24" ht="14.25" customHeight="1" x14ac:dyDescent="0.3">
      <c r="A722" s="19"/>
      <c r="B722" s="19"/>
      <c r="C722" s="20"/>
      <c r="E722" s="28"/>
      <c r="F722" s="20"/>
      <c r="G722" s="19"/>
      <c r="H722" s="19"/>
      <c r="I722" s="19"/>
      <c r="J722" s="20"/>
      <c r="K722" s="20"/>
      <c r="L722" s="19"/>
      <c r="M722" s="19"/>
      <c r="N722" s="19"/>
      <c r="O722" s="19"/>
      <c r="P722" s="19"/>
      <c r="Q722" s="19"/>
      <c r="R722" s="19"/>
      <c r="S722" s="19"/>
      <c r="T722" s="19"/>
      <c r="U722" s="19"/>
      <c r="V722" s="19"/>
      <c r="W722" s="19"/>
      <c r="X722" s="19"/>
    </row>
    <row r="723" spans="1:24" ht="14.25" customHeight="1" x14ac:dyDescent="0.3">
      <c r="A723" s="19"/>
      <c r="B723" s="19"/>
      <c r="C723" s="20"/>
      <c r="E723" s="28"/>
      <c r="F723" s="20"/>
      <c r="G723" s="19"/>
      <c r="H723" s="19"/>
      <c r="I723" s="19"/>
      <c r="J723" s="20"/>
      <c r="K723" s="20"/>
      <c r="L723" s="19"/>
      <c r="M723" s="19"/>
      <c r="N723" s="19"/>
      <c r="O723" s="19"/>
      <c r="P723" s="19"/>
      <c r="Q723" s="19"/>
      <c r="R723" s="19"/>
      <c r="S723" s="19"/>
      <c r="T723" s="19"/>
      <c r="U723" s="19"/>
      <c r="V723" s="19"/>
      <c r="W723" s="19"/>
      <c r="X723" s="19"/>
    </row>
    <row r="724" spans="1:24" ht="14.25" customHeight="1" x14ac:dyDescent="0.3">
      <c r="A724" s="19"/>
      <c r="B724" s="19"/>
      <c r="C724" s="20"/>
      <c r="E724" s="28"/>
      <c r="F724" s="20"/>
      <c r="G724" s="19"/>
      <c r="H724" s="19"/>
      <c r="I724" s="19"/>
      <c r="J724" s="20"/>
      <c r="K724" s="20"/>
      <c r="L724" s="19"/>
      <c r="M724" s="19"/>
      <c r="N724" s="19"/>
      <c r="O724" s="19"/>
      <c r="P724" s="19"/>
      <c r="Q724" s="19"/>
      <c r="R724" s="19"/>
      <c r="S724" s="19"/>
      <c r="T724" s="19"/>
      <c r="U724" s="19"/>
      <c r="V724" s="19"/>
      <c r="W724" s="19"/>
      <c r="X724" s="19"/>
    </row>
    <row r="725" spans="1:24" ht="14.25" customHeight="1" x14ac:dyDescent="0.3">
      <c r="A725" s="19"/>
      <c r="B725" s="19"/>
      <c r="C725" s="20"/>
      <c r="E725" s="28"/>
      <c r="F725" s="20"/>
      <c r="G725" s="19"/>
      <c r="H725" s="19"/>
      <c r="I725" s="19"/>
      <c r="J725" s="20"/>
      <c r="K725" s="20"/>
      <c r="L725" s="19"/>
      <c r="M725" s="19"/>
      <c r="N725" s="19"/>
      <c r="O725" s="19"/>
      <c r="P725" s="19"/>
      <c r="Q725" s="19"/>
      <c r="R725" s="19"/>
      <c r="S725" s="19"/>
      <c r="T725" s="19"/>
      <c r="U725" s="19"/>
      <c r="V725" s="19"/>
      <c r="W725" s="19"/>
      <c r="X725" s="19"/>
    </row>
    <row r="726" spans="1:24" ht="14.25" customHeight="1" x14ac:dyDescent="0.3">
      <c r="A726" s="19"/>
      <c r="B726" s="19"/>
      <c r="C726" s="20"/>
      <c r="E726" s="28"/>
      <c r="F726" s="20"/>
      <c r="G726" s="19"/>
      <c r="H726" s="19"/>
      <c r="I726" s="19"/>
      <c r="J726" s="20"/>
      <c r="K726" s="20"/>
      <c r="L726" s="19"/>
      <c r="M726" s="19"/>
      <c r="N726" s="19"/>
      <c r="O726" s="19"/>
      <c r="P726" s="19"/>
      <c r="Q726" s="19"/>
      <c r="R726" s="19"/>
      <c r="S726" s="19"/>
      <c r="T726" s="19"/>
      <c r="U726" s="19"/>
      <c r="V726" s="19"/>
      <c r="W726" s="19"/>
      <c r="X726" s="19"/>
    </row>
    <row r="727" spans="1:24" ht="14.25" customHeight="1" x14ac:dyDescent="0.3">
      <c r="A727" s="19"/>
      <c r="B727" s="19"/>
      <c r="C727" s="20"/>
      <c r="E727" s="28"/>
      <c r="F727" s="20"/>
      <c r="G727" s="19"/>
      <c r="H727" s="19"/>
      <c r="I727" s="19"/>
      <c r="J727" s="20"/>
      <c r="K727" s="20"/>
      <c r="L727" s="19"/>
      <c r="M727" s="19"/>
      <c r="N727" s="19"/>
      <c r="O727" s="19"/>
      <c r="P727" s="19"/>
      <c r="Q727" s="19"/>
      <c r="R727" s="19"/>
      <c r="S727" s="19"/>
      <c r="T727" s="19"/>
      <c r="U727" s="19"/>
      <c r="V727" s="19"/>
      <c r="W727" s="19"/>
      <c r="X727" s="19"/>
    </row>
    <row r="728" spans="1:24" ht="14.25" customHeight="1" x14ac:dyDescent="0.3">
      <c r="A728" s="19"/>
      <c r="B728" s="19"/>
      <c r="C728" s="20"/>
      <c r="E728" s="28"/>
      <c r="F728" s="20"/>
      <c r="G728" s="19"/>
      <c r="H728" s="19"/>
      <c r="I728" s="19"/>
      <c r="J728" s="20"/>
      <c r="K728" s="20"/>
      <c r="L728" s="19"/>
      <c r="M728" s="19"/>
      <c r="N728" s="19"/>
      <c r="O728" s="19"/>
      <c r="P728" s="19"/>
      <c r="Q728" s="19"/>
      <c r="R728" s="19"/>
      <c r="S728" s="19"/>
      <c r="T728" s="19"/>
      <c r="U728" s="19"/>
      <c r="V728" s="19"/>
      <c r="W728" s="19"/>
      <c r="X728" s="19"/>
    </row>
    <row r="729" spans="1:24" ht="14.25" customHeight="1" x14ac:dyDescent="0.3">
      <c r="A729" s="19"/>
      <c r="B729" s="19"/>
      <c r="C729" s="20"/>
      <c r="E729" s="28"/>
      <c r="F729" s="20"/>
      <c r="G729" s="19"/>
      <c r="H729" s="19"/>
      <c r="I729" s="19"/>
      <c r="J729" s="20"/>
      <c r="K729" s="20"/>
      <c r="L729" s="19"/>
      <c r="M729" s="19"/>
      <c r="N729" s="19"/>
      <c r="O729" s="19"/>
      <c r="P729" s="19"/>
      <c r="Q729" s="19"/>
      <c r="R729" s="19"/>
      <c r="S729" s="19"/>
      <c r="T729" s="19"/>
      <c r="U729" s="19"/>
      <c r="V729" s="19"/>
      <c r="W729" s="19"/>
      <c r="X729" s="19"/>
    </row>
    <row r="730" spans="1:24" ht="14.25" customHeight="1" x14ac:dyDescent="0.3">
      <c r="A730" s="19"/>
      <c r="B730" s="19"/>
      <c r="C730" s="20"/>
      <c r="E730" s="28"/>
      <c r="F730" s="20"/>
      <c r="G730" s="19"/>
      <c r="H730" s="19"/>
      <c r="I730" s="19"/>
      <c r="J730" s="20"/>
      <c r="K730" s="20"/>
      <c r="L730" s="19"/>
      <c r="M730" s="19"/>
      <c r="N730" s="19"/>
      <c r="O730" s="19"/>
      <c r="P730" s="19"/>
      <c r="Q730" s="19"/>
      <c r="R730" s="19"/>
      <c r="S730" s="19"/>
      <c r="T730" s="19"/>
      <c r="U730" s="19"/>
      <c r="V730" s="19"/>
      <c r="W730" s="19"/>
      <c r="X730" s="19"/>
    </row>
    <row r="731" spans="1:24" ht="14.25" customHeight="1" x14ac:dyDescent="0.3">
      <c r="A731" s="19"/>
      <c r="B731" s="19"/>
      <c r="C731" s="20"/>
      <c r="E731" s="28"/>
      <c r="F731" s="20"/>
      <c r="G731" s="19"/>
      <c r="H731" s="19"/>
      <c r="I731" s="19"/>
      <c r="J731" s="20"/>
      <c r="K731" s="20"/>
      <c r="L731" s="19"/>
      <c r="M731" s="19"/>
      <c r="N731" s="19"/>
      <c r="O731" s="19"/>
      <c r="P731" s="19"/>
      <c r="Q731" s="19"/>
      <c r="R731" s="19"/>
      <c r="S731" s="19"/>
      <c r="T731" s="19"/>
      <c r="U731" s="19"/>
      <c r="V731" s="19"/>
      <c r="W731" s="19"/>
      <c r="X731" s="19"/>
    </row>
    <row r="732" spans="1:24" ht="14.25" customHeight="1" x14ac:dyDescent="0.3">
      <c r="A732" s="19"/>
      <c r="B732" s="19"/>
      <c r="C732" s="20"/>
      <c r="E732" s="28"/>
      <c r="F732" s="20"/>
      <c r="G732" s="19"/>
      <c r="H732" s="19"/>
      <c r="I732" s="19"/>
      <c r="J732" s="20"/>
      <c r="K732" s="20"/>
      <c r="L732" s="19"/>
      <c r="M732" s="19"/>
      <c r="N732" s="19"/>
      <c r="O732" s="19"/>
      <c r="P732" s="19"/>
      <c r="Q732" s="19"/>
      <c r="R732" s="19"/>
      <c r="S732" s="19"/>
      <c r="T732" s="19"/>
      <c r="U732" s="19"/>
      <c r="V732" s="19"/>
      <c r="W732" s="19"/>
      <c r="X732" s="19"/>
    </row>
    <row r="733" spans="1:24" ht="14.25" customHeight="1" x14ac:dyDescent="0.3">
      <c r="A733" s="19"/>
      <c r="B733" s="19"/>
      <c r="C733" s="20"/>
      <c r="E733" s="28"/>
      <c r="F733" s="20"/>
      <c r="G733" s="19"/>
      <c r="H733" s="19"/>
      <c r="I733" s="19"/>
      <c r="J733" s="20"/>
      <c r="K733" s="20"/>
      <c r="L733" s="19"/>
      <c r="M733" s="19"/>
      <c r="N733" s="19"/>
      <c r="O733" s="19"/>
      <c r="P733" s="19"/>
      <c r="Q733" s="19"/>
      <c r="R733" s="19"/>
      <c r="S733" s="19"/>
      <c r="T733" s="19"/>
      <c r="U733" s="19"/>
      <c r="V733" s="19"/>
      <c r="W733" s="19"/>
      <c r="X733" s="19"/>
    </row>
    <row r="734" spans="1:24" ht="14.25" customHeight="1" x14ac:dyDescent="0.3">
      <c r="A734" s="19"/>
      <c r="B734" s="19"/>
      <c r="C734" s="20"/>
      <c r="E734" s="28"/>
      <c r="F734" s="20"/>
      <c r="G734" s="19"/>
      <c r="H734" s="19"/>
      <c r="I734" s="19"/>
      <c r="J734" s="20"/>
      <c r="K734" s="20"/>
      <c r="L734" s="19"/>
      <c r="M734" s="19"/>
      <c r="N734" s="19"/>
      <c r="O734" s="19"/>
      <c r="P734" s="19"/>
      <c r="Q734" s="19"/>
      <c r="R734" s="19"/>
      <c r="S734" s="19"/>
      <c r="T734" s="19"/>
      <c r="U734" s="19"/>
      <c r="V734" s="19"/>
      <c r="W734" s="19"/>
      <c r="X734" s="19"/>
    </row>
    <row r="735" spans="1:24" ht="14.25" customHeight="1" x14ac:dyDescent="0.3">
      <c r="A735" s="19"/>
      <c r="B735" s="19"/>
      <c r="C735" s="20"/>
      <c r="E735" s="28"/>
      <c r="F735" s="20"/>
      <c r="G735" s="19"/>
      <c r="H735" s="19"/>
      <c r="I735" s="19"/>
      <c r="J735" s="20"/>
      <c r="K735" s="20"/>
      <c r="L735" s="19"/>
      <c r="M735" s="19"/>
      <c r="N735" s="19"/>
      <c r="O735" s="19"/>
      <c r="P735" s="19"/>
      <c r="Q735" s="19"/>
      <c r="R735" s="19"/>
      <c r="S735" s="19"/>
      <c r="T735" s="19"/>
      <c r="U735" s="19"/>
      <c r="V735" s="19"/>
      <c r="W735" s="19"/>
      <c r="X735" s="19"/>
    </row>
    <row r="736" spans="1:24" ht="14.25" customHeight="1" x14ac:dyDescent="0.3">
      <c r="A736" s="19"/>
      <c r="B736" s="19"/>
      <c r="C736" s="20"/>
      <c r="E736" s="28"/>
      <c r="F736" s="20"/>
      <c r="G736" s="19"/>
      <c r="H736" s="19"/>
      <c r="I736" s="19"/>
      <c r="J736" s="20"/>
      <c r="K736" s="20"/>
      <c r="L736" s="19"/>
      <c r="M736" s="19"/>
      <c r="N736" s="19"/>
      <c r="O736" s="19"/>
      <c r="P736" s="19"/>
      <c r="Q736" s="19"/>
      <c r="R736" s="19"/>
      <c r="S736" s="19"/>
      <c r="T736" s="19"/>
      <c r="U736" s="19"/>
      <c r="V736" s="19"/>
      <c r="W736" s="19"/>
      <c r="X736" s="19"/>
    </row>
    <row r="737" spans="1:24" ht="14.25" customHeight="1" x14ac:dyDescent="0.3">
      <c r="A737" s="19"/>
      <c r="B737" s="19"/>
      <c r="C737" s="20"/>
      <c r="E737" s="28"/>
      <c r="F737" s="20"/>
      <c r="G737" s="19"/>
      <c r="H737" s="19"/>
      <c r="I737" s="19"/>
      <c r="J737" s="20"/>
      <c r="K737" s="20"/>
      <c r="L737" s="19"/>
      <c r="M737" s="19"/>
      <c r="N737" s="19"/>
      <c r="O737" s="19"/>
      <c r="P737" s="19"/>
      <c r="Q737" s="19"/>
      <c r="R737" s="19"/>
      <c r="S737" s="19"/>
      <c r="T737" s="19"/>
      <c r="U737" s="19"/>
      <c r="V737" s="19"/>
      <c r="W737" s="19"/>
      <c r="X737" s="19"/>
    </row>
    <row r="738" spans="1:24" ht="14.25" customHeight="1" x14ac:dyDescent="0.3">
      <c r="A738" s="19"/>
      <c r="B738" s="19"/>
      <c r="C738" s="20"/>
      <c r="E738" s="28"/>
      <c r="F738" s="20"/>
      <c r="G738" s="19"/>
      <c r="H738" s="19"/>
      <c r="I738" s="19"/>
      <c r="J738" s="20"/>
      <c r="K738" s="20"/>
      <c r="L738" s="19"/>
      <c r="M738" s="19"/>
      <c r="N738" s="19"/>
      <c r="O738" s="19"/>
      <c r="P738" s="19"/>
      <c r="Q738" s="19"/>
      <c r="R738" s="19"/>
      <c r="S738" s="19"/>
      <c r="T738" s="19"/>
      <c r="U738" s="19"/>
      <c r="V738" s="19"/>
      <c r="W738" s="19"/>
      <c r="X738" s="19"/>
    </row>
    <row r="739" spans="1:24" ht="14.25" customHeight="1" x14ac:dyDescent="0.3">
      <c r="A739" s="19"/>
      <c r="B739" s="19"/>
      <c r="C739" s="20"/>
      <c r="E739" s="28"/>
      <c r="F739" s="20"/>
      <c r="G739" s="19"/>
      <c r="H739" s="19"/>
      <c r="I739" s="19"/>
      <c r="J739" s="20"/>
      <c r="K739" s="20"/>
      <c r="L739" s="19"/>
      <c r="M739" s="19"/>
      <c r="N739" s="19"/>
      <c r="O739" s="19"/>
      <c r="P739" s="19"/>
      <c r="Q739" s="19"/>
      <c r="R739" s="19"/>
      <c r="S739" s="19"/>
      <c r="T739" s="19"/>
      <c r="U739" s="19"/>
      <c r="V739" s="19"/>
      <c r="W739" s="19"/>
      <c r="X739" s="19"/>
    </row>
    <row r="740" spans="1:24" ht="14.25" customHeight="1" x14ac:dyDescent="0.3">
      <c r="A740" s="19"/>
      <c r="B740" s="19"/>
      <c r="C740" s="20"/>
      <c r="E740" s="28"/>
      <c r="F740" s="20"/>
      <c r="G740" s="19"/>
      <c r="H740" s="19"/>
      <c r="I740" s="19"/>
      <c r="J740" s="20"/>
      <c r="K740" s="20"/>
      <c r="L740" s="19"/>
      <c r="M740" s="19"/>
      <c r="N740" s="19"/>
      <c r="O740" s="19"/>
      <c r="P740" s="19"/>
      <c r="Q740" s="19"/>
      <c r="R740" s="19"/>
      <c r="S740" s="19"/>
      <c r="T740" s="19"/>
      <c r="U740" s="19"/>
      <c r="V740" s="19"/>
      <c r="W740" s="19"/>
      <c r="X740" s="19"/>
    </row>
    <row r="741" spans="1:24" ht="14.25" customHeight="1" x14ac:dyDescent="0.3">
      <c r="A741" s="19"/>
      <c r="B741" s="19"/>
      <c r="C741" s="20"/>
      <c r="E741" s="28"/>
      <c r="F741" s="20"/>
      <c r="G741" s="19"/>
      <c r="H741" s="19"/>
      <c r="I741" s="19"/>
      <c r="J741" s="20"/>
      <c r="K741" s="20"/>
      <c r="L741" s="19"/>
      <c r="M741" s="19"/>
      <c r="N741" s="19"/>
      <c r="O741" s="19"/>
      <c r="P741" s="19"/>
      <c r="Q741" s="19"/>
      <c r="R741" s="19"/>
      <c r="S741" s="19"/>
      <c r="T741" s="19"/>
      <c r="U741" s="19"/>
      <c r="V741" s="19"/>
      <c r="W741" s="19"/>
      <c r="X741" s="19"/>
    </row>
    <row r="742" spans="1:24" ht="14.25" customHeight="1" x14ac:dyDescent="0.3">
      <c r="A742" s="19"/>
      <c r="B742" s="19"/>
      <c r="C742" s="20"/>
      <c r="E742" s="28"/>
      <c r="F742" s="20"/>
      <c r="G742" s="19"/>
      <c r="H742" s="19"/>
      <c r="I742" s="19"/>
      <c r="J742" s="20"/>
      <c r="K742" s="20"/>
      <c r="L742" s="19"/>
      <c r="M742" s="19"/>
      <c r="N742" s="19"/>
      <c r="O742" s="19"/>
      <c r="P742" s="19"/>
      <c r="Q742" s="19"/>
      <c r="R742" s="19"/>
      <c r="S742" s="19"/>
      <c r="T742" s="19"/>
      <c r="U742" s="19"/>
      <c r="V742" s="19"/>
      <c r="W742" s="19"/>
      <c r="X742" s="19"/>
    </row>
    <row r="743" spans="1:24" ht="14.25" customHeight="1" x14ac:dyDescent="0.3">
      <c r="A743" s="19"/>
      <c r="B743" s="19"/>
      <c r="C743" s="20"/>
      <c r="E743" s="28"/>
      <c r="F743" s="20"/>
      <c r="G743" s="19"/>
      <c r="H743" s="19"/>
      <c r="I743" s="19"/>
      <c r="J743" s="20"/>
      <c r="K743" s="20"/>
      <c r="L743" s="19"/>
      <c r="M743" s="19"/>
      <c r="N743" s="19"/>
      <c r="O743" s="19"/>
      <c r="P743" s="19"/>
      <c r="Q743" s="19"/>
      <c r="R743" s="19"/>
      <c r="S743" s="19"/>
      <c r="T743" s="19"/>
      <c r="U743" s="19"/>
      <c r="V743" s="19"/>
      <c r="W743" s="19"/>
      <c r="X743" s="19"/>
    </row>
    <row r="744" spans="1:24" ht="14.25" customHeight="1" x14ac:dyDescent="0.3">
      <c r="A744" s="19"/>
      <c r="B744" s="19"/>
      <c r="C744" s="20"/>
      <c r="E744" s="28"/>
      <c r="F744" s="20"/>
      <c r="G744" s="19"/>
      <c r="H744" s="19"/>
      <c r="I744" s="19"/>
      <c r="J744" s="20"/>
      <c r="K744" s="20"/>
      <c r="L744" s="19"/>
      <c r="M744" s="19"/>
      <c r="N744" s="19"/>
      <c r="O744" s="19"/>
      <c r="P744" s="19"/>
      <c r="Q744" s="19"/>
      <c r="R744" s="19"/>
      <c r="S744" s="19"/>
      <c r="T744" s="19"/>
      <c r="U744" s="19"/>
      <c r="V744" s="19"/>
      <c r="W744" s="19"/>
      <c r="X744" s="19"/>
    </row>
    <row r="745" spans="1:24" ht="14.25" customHeight="1" x14ac:dyDescent="0.3">
      <c r="A745" s="19"/>
      <c r="B745" s="19"/>
      <c r="C745" s="20"/>
      <c r="E745" s="28"/>
      <c r="F745" s="20"/>
      <c r="G745" s="19"/>
      <c r="H745" s="19"/>
      <c r="I745" s="19"/>
      <c r="J745" s="20"/>
      <c r="K745" s="20"/>
      <c r="L745" s="19"/>
      <c r="M745" s="19"/>
      <c r="N745" s="19"/>
      <c r="O745" s="19"/>
      <c r="P745" s="19"/>
      <c r="Q745" s="19"/>
      <c r="R745" s="19"/>
      <c r="S745" s="19"/>
      <c r="T745" s="19"/>
      <c r="U745" s="19"/>
      <c r="V745" s="19"/>
      <c r="W745" s="19"/>
      <c r="X745" s="19"/>
    </row>
    <row r="746" spans="1:24" ht="14.25" customHeight="1" x14ac:dyDescent="0.3">
      <c r="A746" s="19"/>
      <c r="B746" s="19"/>
      <c r="C746" s="20"/>
      <c r="E746" s="28"/>
      <c r="F746" s="20"/>
      <c r="G746" s="19"/>
      <c r="H746" s="19"/>
      <c r="I746" s="19"/>
      <c r="J746" s="20"/>
      <c r="K746" s="20"/>
      <c r="L746" s="19"/>
      <c r="M746" s="19"/>
      <c r="N746" s="19"/>
      <c r="O746" s="19"/>
      <c r="P746" s="19"/>
      <c r="Q746" s="19"/>
      <c r="R746" s="19"/>
      <c r="S746" s="19"/>
      <c r="T746" s="19"/>
      <c r="U746" s="19"/>
      <c r="V746" s="19"/>
      <c r="W746" s="19"/>
      <c r="X746" s="19"/>
    </row>
    <row r="747" spans="1:24" ht="14.25" customHeight="1" x14ac:dyDescent="0.3">
      <c r="A747" s="19"/>
      <c r="B747" s="19"/>
      <c r="C747" s="20"/>
      <c r="E747" s="28"/>
      <c r="F747" s="20"/>
      <c r="G747" s="19"/>
      <c r="H747" s="19"/>
      <c r="I747" s="19"/>
      <c r="J747" s="20"/>
      <c r="K747" s="20"/>
      <c r="L747" s="19"/>
      <c r="M747" s="19"/>
      <c r="N747" s="19"/>
      <c r="O747" s="19"/>
      <c r="P747" s="19"/>
      <c r="Q747" s="19"/>
      <c r="R747" s="19"/>
      <c r="S747" s="19"/>
      <c r="T747" s="19"/>
      <c r="U747" s="19"/>
      <c r="V747" s="19"/>
      <c r="W747" s="19"/>
      <c r="X747" s="19"/>
    </row>
    <row r="748" spans="1:24" ht="14.25" customHeight="1" x14ac:dyDescent="0.3">
      <c r="A748" s="19"/>
      <c r="B748" s="19"/>
      <c r="C748" s="20"/>
      <c r="E748" s="28"/>
      <c r="F748" s="20"/>
      <c r="G748" s="19"/>
      <c r="H748" s="19"/>
      <c r="I748" s="19"/>
      <c r="J748" s="20"/>
      <c r="K748" s="20"/>
      <c r="L748" s="19"/>
      <c r="M748" s="19"/>
      <c r="N748" s="19"/>
      <c r="O748" s="19"/>
      <c r="P748" s="19"/>
      <c r="Q748" s="19"/>
      <c r="R748" s="19"/>
      <c r="S748" s="19"/>
      <c r="T748" s="19"/>
      <c r="U748" s="19"/>
      <c r="V748" s="19"/>
      <c r="W748" s="19"/>
      <c r="X748" s="19"/>
    </row>
    <row r="749" spans="1:24" ht="14.25" customHeight="1" x14ac:dyDescent="0.3">
      <c r="A749" s="19"/>
      <c r="B749" s="19"/>
      <c r="C749" s="20"/>
      <c r="E749" s="28"/>
      <c r="F749" s="20"/>
      <c r="G749" s="19"/>
      <c r="H749" s="19"/>
      <c r="I749" s="19"/>
      <c r="J749" s="20"/>
      <c r="K749" s="20"/>
      <c r="L749" s="19"/>
      <c r="M749" s="19"/>
      <c r="N749" s="19"/>
      <c r="O749" s="19"/>
      <c r="P749" s="19"/>
      <c r="Q749" s="19"/>
      <c r="R749" s="19"/>
      <c r="S749" s="19"/>
      <c r="T749" s="19"/>
      <c r="U749" s="19"/>
      <c r="V749" s="19"/>
      <c r="W749" s="19"/>
      <c r="X749" s="19"/>
    </row>
    <row r="750" spans="1:24" ht="14.25" customHeight="1" x14ac:dyDescent="0.3">
      <c r="A750" s="19"/>
      <c r="B750" s="19"/>
      <c r="C750" s="20"/>
      <c r="E750" s="28"/>
      <c r="F750" s="20"/>
      <c r="G750" s="19"/>
      <c r="H750" s="19"/>
      <c r="I750" s="19"/>
      <c r="J750" s="20"/>
      <c r="K750" s="20"/>
      <c r="L750" s="19"/>
      <c r="M750" s="19"/>
      <c r="N750" s="19"/>
      <c r="O750" s="19"/>
      <c r="P750" s="19"/>
      <c r="Q750" s="19"/>
      <c r="R750" s="19"/>
      <c r="S750" s="19"/>
      <c r="T750" s="19"/>
      <c r="U750" s="19"/>
      <c r="V750" s="19"/>
      <c r="W750" s="19"/>
      <c r="X750" s="19"/>
    </row>
    <row r="751" spans="1:24" ht="14.25" customHeight="1" x14ac:dyDescent="0.3">
      <c r="A751" s="19"/>
      <c r="B751" s="19"/>
      <c r="C751" s="20"/>
      <c r="E751" s="28"/>
      <c r="F751" s="20"/>
      <c r="G751" s="19"/>
      <c r="H751" s="19"/>
      <c r="I751" s="19"/>
      <c r="J751" s="20"/>
      <c r="K751" s="20"/>
      <c r="L751" s="19"/>
      <c r="M751" s="19"/>
      <c r="N751" s="19"/>
      <c r="O751" s="19"/>
      <c r="P751" s="19"/>
      <c r="Q751" s="19"/>
      <c r="R751" s="19"/>
      <c r="S751" s="19"/>
      <c r="T751" s="19"/>
      <c r="U751" s="19"/>
      <c r="V751" s="19"/>
      <c r="W751" s="19"/>
      <c r="X751" s="19"/>
    </row>
    <row r="752" spans="1:24" ht="14.25" customHeight="1" x14ac:dyDescent="0.3">
      <c r="A752" s="19"/>
      <c r="B752" s="19"/>
      <c r="C752" s="20"/>
      <c r="E752" s="28"/>
      <c r="F752" s="20"/>
      <c r="G752" s="19"/>
      <c r="H752" s="19"/>
      <c r="I752" s="19"/>
      <c r="J752" s="20"/>
      <c r="K752" s="20"/>
      <c r="L752" s="19"/>
      <c r="M752" s="19"/>
      <c r="N752" s="19"/>
      <c r="O752" s="19"/>
      <c r="P752" s="19"/>
      <c r="Q752" s="19"/>
      <c r="R752" s="19"/>
      <c r="S752" s="19"/>
      <c r="T752" s="19"/>
      <c r="U752" s="19"/>
      <c r="V752" s="19"/>
      <c r="W752" s="19"/>
      <c r="X752" s="19"/>
    </row>
    <row r="753" spans="1:24" ht="14.25" customHeight="1" x14ac:dyDescent="0.3">
      <c r="A753" s="19"/>
      <c r="B753" s="19"/>
      <c r="C753" s="20"/>
      <c r="E753" s="28"/>
      <c r="F753" s="20"/>
      <c r="G753" s="19"/>
      <c r="H753" s="19"/>
      <c r="I753" s="19"/>
      <c r="J753" s="20"/>
      <c r="K753" s="20"/>
      <c r="L753" s="19"/>
      <c r="M753" s="19"/>
      <c r="N753" s="19"/>
      <c r="O753" s="19"/>
      <c r="P753" s="19"/>
      <c r="Q753" s="19"/>
      <c r="R753" s="19"/>
      <c r="S753" s="19"/>
      <c r="T753" s="19"/>
      <c r="U753" s="19"/>
      <c r="V753" s="19"/>
      <c r="W753" s="19"/>
      <c r="X753" s="19"/>
    </row>
    <row r="754" spans="1:24" ht="14.25" customHeight="1" x14ac:dyDescent="0.3">
      <c r="A754" s="19"/>
      <c r="B754" s="19"/>
      <c r="C754" s="20"/>
      <c r="E754" s="28"/>
      <c r="F754" s="20"/>
      <c r="G754" s="19"/>
      <c r="H754" s="19"/>
      <c r="I754" s="19"/>
      <c r="J754" s="20"/>
      <c r="K754" s="20"/>
      <c r="L754" s="19"/>
      <c r="M754" s="19"/>
      <c r="N754" s="19"/>
      <c r="O754" s="19"/>
      <c r="P754" s="19"/>
      <c r="Q754" s="19"/>
      <c r="R754" s="19"/>
      <c r="S754" s="19"/>
      <c r="T754" s="19"/>
      <c r="U754" s="19"/>
      <c r="V754" s="19"/>
      <c r="W754" s="19"/>
      <c r="X754" s="19"/>
    </row>
    <row r="755" spans="1:24" ht="14.25" customHeight="1" x14ac:dyDescent="0.3">
      <c r="A755" s="19"/>
      <c r="B755" s="19"/>
      <c r="C755" s="20"/>
      <c r="E755" s="28"/>
      <c r="F755" s="20"/>
      <c r="G755" s="19"/>
      <c r="H755" s="19"/>
      <c r="I755" s="19"/>
      <c r="J755" s="20"/>
      <c r="K755" s="20"/>
      <c r="L755" s="19"/>
      <c r="M755" s="19"/>
      <c r="N755" s="19"/>
      <c r="O755" s="19"/>
      <c r="P755" s="19"/>
      <c r="Q755" s="19"/>
      <c r="R755" s="19"/>
      <c r="S755" s="19"/>
      <c r="T755" s="19"/>
      <c r="U755" s="19"/>
      <c r="V755" s="19"/>
      <c r="W755" s="19"/>
      <c r="X755" s="19"/>
    </row>
    <row r="756" spans="1:24" ht="14.25" customHeight="1" x14ac:dyDescent="0.3">
      <c r="A756" s="19"/>
      <c r="B756" s="19"/>
      <c r="C756" s="20"/>
      <c r="E756" s="28"/>
      <c r="F756" s="20"/>
      <c r="G756" s="19"/>
      <c r="H756" s="19"/>
      <c r="I756" s="19"/>
      <c r="J756" s="20"/>
      <c r="K756" s="20"/>
      <c r="L756" s="19"/>
      <c r="M756" s="19"/>
      <c r="N756" s="19"/>
      <c r="O756" s="19"/>
      <c r="P756" s="19"/>
      <c r="Q756" s="19"/>
      <c r="R756" s="19"/>
      <c r="S756" s="19"/>
      <c r="T756" s="19"/>
      <c r="U756" s="19"/>
      <c r="V756" s="19"/>
      <c r="W756" s="19"/>
      <c r="X756" s="19"/>
    </row>
    <row r="757" spans="1:24" ht="14.25" customHeight="1" x14ac:dyDescent="0.3">
      <c r="A757" s="19"/>
      <c r="B757" s="19"/>
      <c r="C757" s="20"/>
      <c r="E757" s="28"/>
      <c r="F757" s="20"/>
      <c r="G757" s="19"/>
      <c r="H757" s="19"/>
      <c r="I757" s="19"/>
      <c r="J757" s="20"/>
      <c r="K757" s="20"/>
      <c r="L757" s="19"/>
      <c r="M757" s="19"/>
      <c r="N757" s="19"/>
      <c r="O757" s="19"/>
      <c r="P757" s="19"/>
      <c r="Q757" s="19"/>
      <c r="R757" s="19"/>
      <c r="S757" s="19"/>
      <c r="T757" s="19"/>
      <c r="U757" s="19"/>
      <c r="V757" s="19"/>
      <c r="W757" s="19"/>
      <c r="X757" s="19"/>
    </row>
    <row r="758" spans="1:24" ht="14.25" customHeight="1" x14ac:dyDescent="0.3">
      <c r="A758" s="19"/>
      <c r="B758" s="19"/>
      <c r="C758" s="20"/>
      <c r="E758" s="28"/>
      <c r="F758" s="20"/>
      <c r="G758" s="19"/>
      <c r="H758" s="19"/>
      <c r="I758" s="19"/>
      <c r="J758" s="20"/>
      <c r="K758" s="20"/>
      <c r="L758" s="19"/>
      <c r="M758" s="19"/>
      <c r="N758" s="19"/>
      <c r="O758" s="19"/>
      <c r="P758" s="19"/>
      <c r="Q758" s="19"/>
      <c r="R758" s="19"/>
      <c r="S758" s="19"/>
      <c r="T758" s="19"/>
      <c r="U758" s="19"/>
      <c r="V758" s="19"/>
      <c r="W758" s="19"/>
      <c r="X758" s="19"/>
    </row>
    <row r="759" spans="1:24" ht="14.25" customHeight="1" x14ac:dyDescent="0.3">
      <c r="A759" s="19"/>
      <c r="B759" s="19"/>
      <c r="C759" s="20"/>
      <c r="E759" s="28"/>
      <c r="F759" s="20"/>
      <c r="G759" s="19"/>
      <c r="H759" s="19"/>
      <c r="I759" s="19"/>
      <c r="J759" s="20"/>
      <c r="K759" s="20"/>
      <c r="L759" s="19"/>
      <c r="M759" s="19"/>
      <c r="N759" s="19"/>
      <c r="O759" s="19"/>
      <c r="P759" s="19"/>
      <c r="Q759" s="19"/>
      <c r="R759" s="19"/>
      <c r="S759" s="19"/>
      <c r="T759" s="19"/>
      <c r="U759" s="19"/>
      <c r="V759" s="19"/>
      <c r="W759" s="19"/>
      <c r="X759" s="19"/>
    </row>
    <row r="760" spans="1:24" ht="14.25" customHeight="1" x14ac:dyDescent="0.3">
      <c r="A760" s="19"/>
      <c r="B760" s="19"/>
      <c r="C760" s="20"/>
      <c r="E760" s="28"/>
      <c r="F760" s="20"/>
      <c r="G760" s="19"/>
      <c r="H760" s="19"/>
      <c r="I760" s="19"/>
      <c r="J760" s="20"/>
      <c r="K760" s="20"/>
      <c r="L760" s="19"/>
      <c r="M760" s="19"/>
      <c r="N760" s="19"/>
      <c r="O760" s="19"/>
      <c r="P760" s="19"/>
      <c r="Q760" s="19"/>
      <c r="R760" s="19"/>
      <c r="S760" s="19"/>
      <c r="T760" s="19"/>
      <c r="U760" s="19"/>
      <c r="V760" s="19"/>
      <c r="W760" s="19"/>
      <c r="X760" s="19"/>
    </row>
    <row r="761" spans="1:24" ht="14.25" customHeight="1" x14ac:dyDescent="0.3">
      <c r="A761" s="19"/>
      <c r="B761" s="19"/>
      <c r="C761" s="20"/>
      <c r="E761" s="28"/>
      <c r="F761" s="20"/>
      <c r="G761" s="19"/>
      <c r="H761" s="19"/>
      <c r="I761" s="19"/>
      <c r="J761" s="20"/>
      <c r="K761" s="20"/>
      <c r="L761" s="19"/>
      <c r="M761" s="19"/>
      <c r="N761" s="19"/>
      <c r="O761" s="19"/>
      <c r="P761" s="19"/>
      <c r="Q761" s="19"/>
      <c r="R761" s="19"/>
      <c r="S761" s="19"/>
      <c r="T761" s="19"/>
      <c r="U761" s="19"/>
      <c r="V761" s="19"/>
      <c r="W761" s="19"/>
      <c r="X761" s="19"/>
    </row>
    <row r="762" spans="1:24" ht="14.25" customHeight="1" x14ac:dyDescent="0.3">
      <c r="A762" s="19"/>
      <c r="B762" s="19"/>
      <c r="C762" s="20"/>
      <c r="E762" s="28"/>
      <c r="F762" s="20"/>
      <c r="G762" s="19"/>
      <c r="H762" s="19"/>
      <c r="I762" s="19"/>
      <c r="J762" s="20"/>
      <c r="K762" s="20"/>
      <c r="L762" s="19"/>
      <c r="M762" s="19"/>
      <c r="N762" s="19"/>
      <c r="O762" s="19"/>
      <c r="P762" s="19"/>
      <c r="Q762" s="19"/>
      <c r="R762" s="19"/>
      <c r="S762" s="19"/>
      <c r="T762" s="19"/>
      <c r="U762" s="19"/>
      <c r="V762" s="19"/>
      <c r="W762" s="19"/>
      <c r="X762" s="19"/>
    </row>
    <row r="763" spans="1:24" ht="14.25" customHeight="1" x14ac:dyDescent="0.3">
      <c r="A763" s="19"/>
      <c r="B763" s="19"/>
      <c r="C763" s="20"/>
      <c r="E763" s="28"/>
      <c r="F763" s="20"/>
      <c r="G763" s="19"/>
      <c r="H763" s="19"/>
      <c r="I763" s="19"/>
      <c r="J763" s="20"/>
      <c r="K763" s="20"/>
      <c r="L763" s="19"/>
      <c r="M763" s="19"/>
      <c r="N763" s="19"/>
      <c r="O763" s="19"/>
      <c r="P763" s="19"/>
      <c r="Q763" s="19"/>
      <c r="R763" s="19"/>
      <c r="S763" s="19"/>
      <c r="T763" s="19"/>
      <c r="U763" s="19"/>
      <c r="V763" s="19"/>
      <c r="W763" s="19"/>
      <c r="X763" s="19"/>
    </row>
    <row r="764" spans="1:24" ht="14.25" customHeight="1" x14ac:dyDescent="0.3">
      <c r="A764" s="19"/>
      <c r="B764" s="19"/>
      <c r="C764" s="20"/>
      <c r="E764" s="28"/>
      <c r="F764" s="20"/>
      <c r="G764" s="19"/>
      <c r="H764" s="19"/>
      <c r="I764" s="19"/>
      <c r="J764" s="20"/>
      <c r="K764" s="20"/>
      <c r="L764" s="19"/>
      <c r="M764" s="19"/>
      <c r="N764" s="19"/>
      <c r="O764" s="19"/>
      <c r="P764" s="19"/>
      <c r="Q764" s="19"/>
      <c r="R764" s="19"/>
      <c r="S764" s="19"/>
      <c r="T764" s="19"/>
      <c r="U764" s="19"/>
      <c r="V764" s="19"/>
      <c r="W764" s="19"/>
      <c r="X764" s="19"/>
    </row>
    <row r="765" spans="1:24" ht="14.25" customHeight="1" x14ac:dyDescent="0.3">
      <c r="A765" s="19"/>
      <c r="B765" s="19"/>
      <c r="C765" s="20"/>
      <c r="E765" s="28"/>
      <c r="F765" s="20"/>
      <c r="G765" s="19"/>
      <c r="H765" s="19"/>
      <c r="I765" s="19"/>
      <c r="J765" s="20"/>
      <c r="K765" s="20"/>
      <c r="L765" s="19"/>
      <c r="M765" s="19"/>
      <c r="N765" s="19"/>
      <c r="O765" s="19"/>
      <c r="P765" s="19"/>
      <c r="Q765" s="19"/>
      <c r="R765" s="19"/>
      <c r="S765" s="19"/>
      <c r="T765" s="19"/>
      <c r="U765" s="19"/>
      <c r="V765" s="19"/>
      <c r="W765" s="19"/>
      <c r="X765" s="19"/>
    </row>
    <row r="766" spans="1:24" ht="14.25" customHeight="1" x14ac:dyDescent="0.3">
      <c r="A766" s="19"/>
      <c r="B766" s="19"/>
      <c r="C766" s="20"/>
      <c r="E766" s="28"/>
      <c r="F766" s="20"/>
      <c r="G766" s="19"/>
      <c r="H766" s="19"/>
      <c r="I766" s="19"/>
      <c r="J766" s="20"/>
      <c r="K766" s="20"/>
      <c r="L766" s="19"/>
      <c r="M766" s="19"/>
      <c r="N766" s="19"/>
      <c r="O766" s="19"/>
      <c r="P766" s="19"/>
      <c r="Q766" s="19"/>
      <c r="R766" s="19"/>
      <c r="S766" s="19"/>
      <c r="T766" s="19"/>
      <c r="U766" s="19"/>
      <c r="V766" s="19"/>
      <c r="W766" s="19"/>
      <c r="X766" s="19"/>
    </row>
    <row r="767" spans="1:24" ht="14.25" customHeight="1" x14ac:dyDescent="0.3">
      <c r="A767" s="19"/>
      <c r="B767" s="19"/>
      <c r="C767" s="20"/>
      <c r="E767" s="28"/>
      <c r="F767" s="20"/>
      <c r="G767" s="19"/>
      <c r="H767" s="19"/>
      <c r="I767" s="19"/>
      <c r="J767" s="20"/>
      <c r="K767" s="20"/>
      <c r="L767" s="19"/>
      <c r="M767" s="19"/>
      <c r="N767" s="19"/>
      <c r="O767" s="19"/>
      <c r="P767" s="19"/>
      <c r="Q767" s="19"/>
      <c r="R767" s="19"/>
      <c r="S767" s="19"/>
      <c r="T767" s="19"/>
      <c r="U767" s="19"/>
      <c r="V767" s="19"/>
      <c r="W767" s="19"/>
      <c r="X767" s="19"/>
    </row>
    <row r="768" spans="1:24" ht="14.25" customHeight="1" x14ac:dyDescent="0.3">
      <c r="A768" s="19"/>
      <c r="B768" s="19"/>
      <c r="C768" s="20"/>
      <c r="E768" s="28"/>
      <c r="F768" s="20"/>
      <c r="G768" s="19"/>
      <c r="H768" s="19"/>
      <c r="I768" s="19"/>
      <c r="J768" s="20"/>
      <c r="K768" s="20"/>
      <c r="L768" s="19"/>
      <c r="M768" s="19"/>
      <c r="N768" s="19"/>
      <c r="O768" s="19"/>
      <c r="P768" s="19"/>
      <c r="Q768" s="19"/>
      <c r="R768" s="19"/>
      <c r="S768" s="19"/>
      <c r="T768" s="19"/>
      <c r="U768" s="19"/>
      <c r="V768" s="19"/>
      <c r="W768" s="19"/>
      <c r="X768" s="19"/>
    </row>
    <row r="769" spans="1:24" ht="14.25" customHeight="1" x14ac:dyDescent="0.3">
      <c r="A769" s="19"/>
      <c r="B769" s="19"/>
      <c r="C769" s="20"/>
      <c r="E769" s="28"/>
      <c r="F769" s="20"/>
      <c r="G769" s="19"/>
      <c r="H769" s="19"/>
      <c r="I769" s="19"/>
      <c r="J769" s="20"/>
      <c r="K769" s="20"/>
      <c r="L769" s="19"/>
      <c r="M769" s="19"/>
      <c r="N769" s="19"/>
      <c r="O769" s="19"/>
      <c r="P769" s="19"/>
      <c r="Q769" s="19"/>
      <c r="R769" s="19"/>
      <c r="S769" s="19"/>
      <c r="T769" s="19"/>
      <c r="U769" s="19"/>
      <c r="V769" s="19"/>
      <c r="W769" s="19"/>
      <c r="X769" s="19"/>
    </row>
    <row r="770" spans="1:24" ht="14.25" customHeight="1" x14ac:dyDescent="0.3">
      <c r="A770" s="19"/>
      <c r="B770" s="19"/>
      <c r="C770" s="20"/>
      <c r="E770" s="28"/>
      <c r="F770" s="20"/>
      <c r="G770" s="19"/>
      <c r="H770" s="19"/>
      <c r="I770" s="19"/>
      <c r="J770" s="20"/>
      <c r="K770" s="20"/>
      <c r="L770" s="19"/>
      <c r="M770" s="19"/>
      <c r="N770" s="19"/>
      <c r="O770" s="19"/>
      <c r="P770" s="19"/>
      <c r="Q770" s="19"/>
      <c r="R770" s="19"/>
      <c r="S770" s="19"/>
      <c r="T770" s="19"/>
      <c r="U770" s="19"/>
      <c r="V770" s="19"/>
      <c r="W770" s="19"/>
      <c r="X770" s="19"/>
    </row>
    <row r="771" spans="1:24" ht="14.25" customHeight="1" x14ac:dyDescent="0.3">
      <c r="A771" s="19"/>
      <c r="B771" s="19"/>
      <c r="C771" s="20"/>
      <c r="E771" s="28"/>
      <c r="F771" s="20"/>
      <c r="G771" s="19"/>
      <c r="H771" s="19"/>
      <c r="I771" s="19"/>
      <c r="J771" s="20"/>
      <c r="K771" s="20"/>
      <c r="L771" s="19"/>
      <c r="M771" s="19"/>
      <c r="N771" s="19"/>
      <c r="O771" s="19"/>
      <c r="P771" s="19"/>
      <c r="Q771" s="19"/>
      <c r="R771" s="19"/>
      <c r="S771" s="19"/>
      <c r="T771" s="19"/>
      <c r="U771" s="19"/>
      <c r="V771" s="19"/>
      <c r="W771" s="19"/>
      <c r="X771" s="19"/>
    </row>
    <row r="772" spans="1:24" ht="14.25" customHeight="1" x14ac:dyDescent="0.3">
      <c r="A772" s="19"/>
      <c r="B772" s="19"/>
      <c r="C772" s="20"/>
      <c r="E772" s="28"/>
      <c r="F772" s="20"/>
      <c r="G772" s="19"/>
      <c r="H772" s="19"/>
      <c r="I772" s="19"/>
      <c r="J772" s="20"/>
      <c r="K772" s="20"/>
      <c r="L772" s="19"/>
      <c r="M772" s="19"/>
      <c r="N772" s="19"/>
      <c r="O772" s="19"/>
      <c r="P772" s="19"/>
      <c r="Q772" s="19"/>
      <c r="R772" s="19"/>
      <c r="S772" s="19"/>
      <c r="T772" s="19"/>
      <c r="U772" s="19"/>
      <c r="V772" s="19"/>
      <c r="W772" s="19"/>
      <c r="X772" s="19"/>
    </row>
    <row r="773" spans="1:24" ht="14.25" customHeight="1" x14ac:dyDescent="0.3">
      <c r="A773" s="19"/>
      <c r="B773" s="19"/>
      <c r="C773" s="20"/>
      <c r="E773" s="28"/>
      <c r="F773" s="20"/>
      <c r="G773" s="19"/>
      <c r="H773" s="19"/>
      <c r="I773" s="19"/>
      <c r="J773" s="20"/>
      <c r="K773" s="20"/>
      <c r="L773" s="19"/>
      <c r="M773" s="19"/>
      <c r="N773" s="19"/>
      <c r="O773" s="19"/>
      <c r="P773" s="19"/>
      <c r="Q773" s="19"/>
      <c r="R773" s="19"/>
      <c r="S773" s="19"/>
      <c r="T773" s="19"/>
      <c r="U773" s="19"/>
      <c r="V773" s="19"/>
      <c r="W773" s="19"/>
      <c r="X773" s="19"/>
    </row>
    <row r="774" spans="1:24" ht="14.25" customHeight="1" x14ac:dyDescent="0.3">
      <c r="A774" s="19"/>
      <c r="B774" s="19"/>
      <c r="C774" s="20"/>
      <c r="E774" s="28"/>
      <c r="F774" s="20"/>
      <c r="G774" s="19"/>
      <c r="H774" s="19"/>
      <c r="I774" s="19"/>
      <c r="J774" s="20"/>
      <c r="K774" s="20"/>
      <c r="L774" s="19"/>
      <c r="M774" s="19"/>
      <c r="N774" s="19"/>
      <c r="O774" s="19"/>
      <c r="P774" s="19"/>
      <c r="Q774" s="19"/>
      <c r="R774" s="19"/>
      <c r="S774" s="19"/>
      <c r="T774" s="19"/>
      <c r="U774" s="19"/>
      <c r="V774" s="19"/>
      <c r="W774" s="19"/>
      <c r="X774" s="19"/>
    </row>
    <row r="775" spans="1:24" ht="14.25" customHeight="1" x14ac:dyDescent="0.3">
      <c r="A775" s="19"/>
      <c r="B775" s="19"/>
      <c r="C775" s="20"/>
      <c r="E775" s="28"/>
      <c r="F775" s="20"/>
      <c r="G775" s="19"/>
      <c r="H775" s="19"/>
      <c r="I775" s="19"/>
      <c r="J775" s="20"/>
      <c r="K775" s="20"/>
      <c r="L775" s="19"/>
      <c r="M775" s="19"/>
      <c r="N775" s="19"/>
      <c r="O775" s="19"/>
      <c r="P775" s="19"/>
      <c r="Q775" s="19"/>
      <c r="R775" s="19"/>
      <c r="S775" s="19"/>
      <c r="T775" s="19"/>
      <c r="U775" s="19"/>
      <c r="V775" s="19"/>
      <c r="W775" s="19"/>
      <c r="X775" s="19"/>
    </row>
    <row r="776" spans="1:24" ht="14.25" customHeight="1" x14ac:dyDescent="0.3">
      <c r="A776" s="19"/>
      <c r="B776" s="19"/>
      <c r="C776" s="20"/>
      <c r="E776" s="28"/>
      <c r="F776" s="20"/>
      <c r="G776" s="19"/>
      <c r="H776" s="19"/>
      <c r="I776" s="19"/>
      <c r="J776" s="20"/>
      <c r="K776" s="20"/>
      <c r="L776" s="19"/>
      <c r="M776" s="19"/>
      <c r="N776" s="19"/>
      <c r="O776" s="19"/>
      <c r="P776" s="19"/>
      <c r="Q776" s="19"/>
      <c r="R776" s="19"/>
      <c r="S776" s="19"/>
      <c r="T776" s="19"/>
      <c r="U776" s="19"/>
      <c r="V776" s="19"/>
      <c r="W776" s="19"/>
      <c r="X776" s="19"/>
    </row>
    <row r="777" spans="1:24" ht="14.25" customHeight="1" x14ac:dyDescent="0.3">
      <c r="A777" s="19"/>
      <c r="B777" s="19"/>
      <c r="C777" s="20"/>
      <c r="E777" s="28"/>
      <c r="F777" s="20"/>
      <c r="G777" s="19"/>
      <c r="H777" s="19"/>
      <c r="I777" s="19"/>
      <c r="J777" s="20"/>
      <c r="K777" s="20"/>
      <c r="L777" s="19"/>
      <c r="M777" s="19"/>
      <c r="N777" s="19"/>
      <c r="O777" s="19"/>
      <c r="P777" s="19"/>
      <c r="Q777" s="19"/>
      <c r="R777" s="19"/>
      <c r="S777" s="19"/>
      <c r="T777" s="19"/>
      <c r="U777" s="19"/>
      <c r="V777" s="19"/>
      <c r="W777" s="19"/>
      <c r="X777" s="19"/>
    </row>
    <row r="778" spans="1:24" ht="14.25" customHeight="1" x14ac:dyDescent="0.3">
      <c r="A778" s="19"/>
      <c r="B778" s="19"/>
      <c r="C778" s="20"/>
      <c r="E778" s="28"/>
      <c r="F778" s="20"/>
      <c r="G778" s="19"/>
      <c r="H778" s="19"/>
      <c r="I778" s="19"/>
      <c r="J778" s="20"/>
      <c r="K778" s="20"/>
      <c r="L778" s="19"/>
      <c r="M778" s="19"/>
      <c r="N778" s="19"/>
      <c r="O778" s="19"/>
      <c r="P778" s="19"/>
      <c r="Q778" s="19"/>
      <c r="R778" s="19"/>
      <c r="S778" s="19"/>
      <c r="T778" s="19"/>
      <c r="U778" s="19"/>
      <c r="V778" s="19"/>
      <c r="W778" s="19"/>
      <c r="X778" s="19"/>
    </row>
    <row r="779" spans="1:24" ht="14.25" customHeight="1" x14ac:dyDescent="0.3">
      <c r="A779" s="19"/>
      <c r="B779" s="19"/>
      <c r="C779" s="20"/>
      <c r="E779" s="28"/>
      <c r="F779" s="20"/>
      <c r="G779" s="19"/>
      <c r="H779" s="19"/>
      <c r="I779" s="19"/>
      <c r="J779" s="20"/>
      <c r="K779" s="20"/>
      <c r="L779" s="19"/>
      <c r="M779" s="19"/>
      <c r="N779" s="19"/>
      <c r="O779" s="19"/>
      <c r="P779" s="19"/>
      <c r="Q779" s="19"/>
      <c r="R779" s="19"/>
      <c r="S779" s="19"/>
      <c r="T779" s="19"/>
      <c r="U779" s="19"/>
      <c r="V779" s="19"/>
      <c r="W779" s="19"/>
      <c r="X779" s="19"/>
    </row>
    <row r="780" spans="1:24" ht="14.25" customHeight="1" x14ac:dyDescent="0.3">
      <c r="A780" s="19"/>
      <c r="B780" s="19"/>
      <c r="C780" s="20"/>
      <c r="E780" s="28"/>
      <c r="F780" s="20"/>
      <c r="G780" s="19"/>
      <c r="H780" s="19"/>
      <c r="I780" s="19"/>
      <c r="J780" s="20"/>
      <c r="K780" s="20"/>
      <c r="L780" s="19"/>
      <c r="M780" s="19"/>
      <c r="N780" s="19"/>
      <c r="O780" s="19"/>
      <c r="P780" s="19"/>
      <c r="Q780" s="19"/>
      <c r="R780" s="19"/>
      <c r="S780" s="19"/>
      <c r="T780" s="19"/>
      <c r="U780" s="19"/>
      <c r="V780" s="19"/>
      <c r="W780" s="19"/>
      <c r="X780" s="19"/>
    </row>
    <row r="781" spans="1:24" ht="14.25" customHeight="1" x14ac:dyDescent="0.3">
      <c r="A781" s="19"/>
      <c r="B781" s="19"/>
      <c r="C781" s="20"/>
      <c r="E781" s="28"/>
      <c r="F781" s="20"/>
      <c r="G781" s="19"/>
      <c r="H781" s="19"/>
      <c r="I781" s="19"/>
      <c r="J781" s="20"/>
      <c r="K781" s="20"/>
      <c r="L781" s="19"/>
      <c r="M781" s="19"/>
      <c r="N781" s="19"/>
      <c r="O781" s="19"/>
      <c r="P781" s="19"/>
      <c r="Q781" s="19"/>
      <c r="R781" s="19"/>
      <c r="S781" s="19"/>
      <c r="T781" s="19"/>
      <c r="U781" s="19"/>
      <c r="V781" s="19"/>
      <c r="W781" s="19"/>
      <c r="X781" s="19"/>
    </row>
    <row r="782" spans="1:24" ht="14.25" customHeight="1" x14ac:dyDescent="0.3">
      <c r="A782" s="19"/>
      <c r="B782" s="19"/>
      <c r="C782" s="20"/>
      <c r="E782" s="28"/>
      <c r="F782" s="20"/>
      <c r="G782" s="19"/>
      <c r="H782" s="19"/>
      <c r="I782" s="19"/>
      <c r="J782" s="20"/>
      <c r="K782" s="20"/>
      <c r="L782" s="19"/>
      <c r="M782" s="19"/>
      <c r="N782" s="19"/>
      <c r="O782" s="19"/>
      <c r="P782" s="19"/>
      <c r="Q782" s="19"/>
      <c r="R782" s="19"/>
      <c r="S782" s="19"/>
      <c r="T782" s="19"/>
      <c r="U782" s="19"/>
      <c r="V782" s="19"/>
      <c r="W782" s="19"/>
      <c r="X782" s="19"/>
    </row>
    <row r="783" spans="1:24" ht="14.25" customHeight="1" x14ac:dyDescent="0.3">
      <c r="A783" s="19"/>
      <c r="B783" s="19"/>
      <c r="C783" s="20"/>
      <c r="E783" s="28"/>
      <c r="F783" s="20"/>
      <c r="G783" s="19"/>
      <c r="H783" s="19"/>
      <c r="I783" s="19"/>
      <c r="J783" s="20"/>
      <c r="K783" s="20"/>
      <c r="L783" s="19"/>
      <c r="M783" s="19"/>
      <c r="N783" s="19"/>
      <c r="O783" s="19"/>
      <c r="P783" s="19"/>
      <c r="Q783" s="19"/>
      <c r="R783" s="19"/>
      <c r="S783" s="19"/>
      <c r="T783" s="19"/>
      <c r="U783" s="19"/>
      <c r="V783" s="19"/>
      <c r="W783" s="19"/>
      <c r="X783" s="19"/>
    </row>
    <row r="784" spans="1:24" ht="14.25" customHeight="1" x14ac:dyDescent="0.3">
      <c r="A784" s="19"/>
      <c r="B784" s="19"/>
      <c r="C784" s="20"/>
      <c r="E784" s="28"/>
      <c r="F784" s="20"/>
      <c r="G784" s="19"/>
      <c r="H784" s="19"/>
      <c r="I784" s="19"/>
      <c r="J784" s="20"/>
      <c r="K784" s="20"/>
      <c r="L784" s="19"/>
      <c r="M784" s="19"/>
      <c r="N784" s="19"/>
      <c r="O784" s="19"/>
      <c r="P784" s="19"/>
      <c r="Q784" s="19"/>
      <c r="R784" s="19"/>
      <c r="S784" s="19"/>
      <c r="T784" s="19"/>
      <c r="U784" s="19"/>
      <c r="V784" s="19"/>
      <c r="W784" s="19"/>
      <c r="X784" s="19"/>
    </row>
    <row r="785" spans="1:24" ht="14.25" customHeight="1" x14ac:dyDescent="0.3">
      <c r="A785" s="19"/>
      <c r="B785" s="19"/>
      <c r="C785" s="20"/>
      <c r="E785" s="28"/>
      <c r="F785" s="20"/>
      <c r="G785" s="19"/>
      <c r="H785" s="19"/>
      <c r="I785" s="19"/>
      <c r="J785" s="20"/>
      <c r="K785" s="20"/>
      <c r="L785" s="19"/>
      <c r="M785" s="19"/>
      <c r="N785" s="19"/>
      <c r="O785" s="19"/>
      <c r="P785" s="19"/>
      <c r="Q785" s="19"/>
      <c r="R785" s="19"/>
      <c r="S785" s="19"/>
      <c r="T785" s="19"/>
      <c r="U785" s="19"/>
      <c r="V785" s="19"/>
      <c r="W785" s="19"/>
      <c r="X785" s="19"/>
    </row>
    <row r="786" spans="1:24" ht="14.25" customHeight="1" x14ac:dyDescent="0.3">
      <c r="A786" s="19"/>
      <c r="B786" s="19"/>
      <c r="C786" s="20"/>
      <c r="E786" s="28"/>
      <c r="F786" s="20"/>
      <c r="G786" s="19"/>
      <c r="H786" s="19"/>
      <c r="I786" s="19"/>
      <c r="J786" s="20"/>
      <c r="K786" s="20"/>
      <c r="L786" s="19"/>
      <c r="M786" s="19"/>
      <c r="N786" s="19"/>
      <c r="O786" s="19"/>
      <c r="P786" s="19"/>
      <c r="Q786" s="19"/>
      <c r="R786" s="19"/>
      <c r="S786" s="19"/>
      <c r="T786" s="19"/>
      <c r="U786" s="19"/>
      <c r="V786" s="19"/>
      <c r="W786" s="19"/>
      <c r="X786" s="19"/>
    </row>
    <row r="787" spans="1:24" ht="14.25" customHeight="1" x14ac:dyDescent="0.3">
      <c r="A787" s="19"/>
      <c r="B787" s="19"/>
      <c r="C787" s="20"/>
      <c r="E787" s="28"/>
      <c r="F787" s="20"/>
      <c r="G787" s="19"/>
      <c r="H787" s="19"/>
      <c r="I787" s="19"/>
      <c r="J787" s="20"/>
      <c r="K787" s="20"/>
      <c r="L787" s="19"/>
      <c r="M787" s="19"/>
      <c r="N787" s="19"/>
      <c r="O787" s="19"/>
      <c r="P787" s="19"/>
      <c r="Q787" s="19"/>
      <c r="R787" s="19"/>
      <c r="S787" s="19"/>
      <c r="T787" s="19"/>
      <c r="U787" s="19"/>
      <c r="V787" s="19"/>
      <c r="W787" s="19"/>
      <c r="X787" s="19"/>
    </row>
    <row r="788" spans="1:24" ht="14.25" customHeight="1" x14ac:dyDescent="0.3">
      <c r="A788" s="19"/>
      <c r="B788" s="19"/>
      <c r="C788" s="20"/>
      <c r="E788" s="28"/>
      <c r="F788" s="20"/>
      <c r="G788" s="19"/>
      <c r="H788" s="19"/>
      <c r="I788" s="19"/>
      <c r="J788" s="20"/>
      <c r="K788" s="20"/>
      <c r="L788" s="19"/>
      <c r="M788" s="19"/>
      <c r="N788" s="19"/>
      <c r="O788" s="19"/>
      <c r="P788" s="19"/>
      <c r="Q788" s="19"/>
      <c r="R788" s="19"/>
      <c r="S788" s="19"/>
      <c r="T788" s="19"/>
      <c r="U788" s="19"/>
      <c r="V788" s="19"/>
      <c r="W788" s="19"/>
      <c r="X788" s="19"/>
    </row>
    <row r="789" spans="1:24" ht="14.25" customHeight="1" x14ac:dyDescent="0.3">
      <c r="A789" s="19"/>
      <c r="B789" s="19"/>
      <c r="C789" s="20"/>
      <c r="E789" s="28"/>
      <c r="F789" s="20"/>
      <c r="G789" s="19"/>
      <c r="H789" s="19"/>
      <c r="I789" s="19"/>
      <c r="J789" s="20"/>
      <c r="K789" s="20"/>
      <c r="L789" s="19"/>
      <c r="M789" s="19"/>
      <c r="N789" s="19"/>
      <c r="O789" s="19"/>
      <c r="P789" s="19"/>
      <c r="Q789" s="19"/>
      <c r="R789" s="19"/>
      <c r="S789" s="19"/>
      <c r="T789" s="19"/>
      <c r="U789" s="19"/>
      <c r="V789" s="19"/>
      <c r="W789" s="19"/>
      <c r="X789" s="19"/>
    </row>
    <row r="790" spans="1:24" ht="14.25" customHeight="1" x14ac:dyDescent="0.3">
      <c r="A790" s="19"/>
      <c r="B790" s="19"/>
      <c r="C790" s="20"/>
      <c r="E790" s="28"/>
      <c r="F790" s="20"/>
      <c r="G790" s="19"/>
      <c r="H790" s="19"/>
      <c r="I790" s="19"/>
      <c r="J790" s="20"/>
      <c r="K790" s="20"/>
      <c r="L790" s="19"/>
      <c r="M790" s="19"/>
      <c r="N790" s="19"/>
      <c r="O790" s="19"/>
      <c r="P790" s="19"/>
      <c r="Q790" s="19"/>
      <c r="R790" s="19"/>
      <c r="S790" s="19"/>
      <c r="T790" s="19"/>
      <c r="U790" s="19"/>
      <c r="V790" s="19"/>
      <c r="W790" s="19"/>
      <c r="X790" s="19"/>
    </row>
    <row r="791" spans="1:24" ht="14.25" customHeight="1" x14ac:dyDescent="0.3">
      <c r="A791" s="19"/>
      <c r="B791" s="19"/>
      <c r="C791" s="20"/>
      <c r="E791" s="28"/>
      <c r="F791" s="20"/>
      <c r="G791" s="19"/>
      <c r="H791" s="19"/>
      <c r="I791" s="19"/>
      <c r="J791" s="20"/>
      <c r="K791" s="20"/>
      <c r="L791" s="19"/>
      <c r="M791" s="19"/>
      <c r="N791" s="19"/>
      <c r="O791" s="19"/>
      <c r="P791" s="19"/>
      <c r="Q791" s="19"/>
      <c r="R791" s="19"/>
      <c r="S791" s="19"/>
      <c r="T791" s="19"/>
      <c r="U791" s="19"/>
      <c r="V791" s="19"/>
      <c r="W791" s="19"/>
      <c r="X791" s="19"/>
    </row>
    <row r="792" spans="1:24" ht="14.25" customHeight="1" x14ac:dyDescent="0.3">
      <c r="A792" s="19"/>
      <c r="B792" s="19"/>
      <c r="C792" s="20"/>
      <c r="E792" s="28"/>
      <c r="F792" s="20"/>
      <c r="G792" s="19"/>
      <c r="H792" s="19"/>
      <c r="I792" s="19"/>
      <c r="J792" s="20"/>
      <c r="K792" s="20"/>
      <c r="L792" s="19"/>
      <c r="M792" s="19"/>
      <c r="N792" s="19"/>
      <c r="O792" s="19"/>
      <c r="P792" s="19"/>
      <c r="Q792" s="19"/>
      <c r="R792" s="19"/>
      <c r="S792" s="19"/>
      <c r="T792" s="19"/>
      <c r="U792" s="19"/>
      <c r="V792" s="19"/>
      <c r="W792" s="19"/>
      <c r="X792" s="19"/>
    </row>
    <row r="793" spans="1:24" ht="14.25" customHeight="1" x14ac:dyDescent="0.3">
      <c r="A793" s="19"/>
      <c r="B793" s="19"/>
      <c r="C793" s="20"/>
      <c r="E793" s="28"/>
      <c r="F793" s="20"/>
      <c r="G793" s="19"/>
      <c r="H793" s="19"/>
      <c r="I793" s="19"/>
      <c r="J793" s="20"/>
      <c r="K793" s="20"/>
      <c r="L793" s="19"/>
      <c r="M793" s="19"/>
      <c r="N793" s="19"/>
      <c r="O793" s="19"/>
      <c r="P793" s="19"/>
      <c r="Q793" s="19"/>
      <c r="R793" s="19"/>
      <c r="S793" s="19"/>
      <c r="T793" s="19"/>
      <c r="U793" s="19"/>
      <c r="V793" s="19"/>
      <c r="W793" s="19"/>
      <c r="X793" s="19"/>
    </row>
    <row r="794" spans="1:24" ht="14.25" customHeight="1" x14ac:dyDescent="0.3">
      <c r="A794" s="19"/>
      <c r="B794" s="19"/>
      <c r="C794" s="20"/>
      <c r="E794" s="28"/>
      <c r="F794" s="20"/>
      <c r="G794" s="19"/>
      <c r="H794" s="19"/>
      <c r="I794" s="19"/>
      <c r="J794" s="20"/>
      <c r="K794" s="20"/>
      <c r="L794" s="19"/>
      <c r="M794" s="19"/>
      <c r="N794" s="19"/>
      <c r="O794" s="19"/>
      <c r="P794" s="19"/>
      <c r="Q794" s="19"/>
      <c r="R794" s="19"/>
      <c r="S794" s="19"/>
      <c r="T794" s="19"/>
      <c r="U794" s="19"/>
      <c r="V794" s="19"/>
      <c r="W794" s="19"/>
      <c r="X794" s="19"/>
    </row>
    <row r="795" spans="1:24" ht="14.25" customHeight="1" x14ac:dyDescent="0.3">
      <c r="A795" s="19"/>
      <c r="B795" s="19"/>
      <c r="C795" s="20"/>
      <c r="E795" s="28"/>
      <c r="F795" s="20"/>
      <c r="G795" s="19"/>
      <c r="H795" s="19"/>
      <c r="I795" s="19"/>
      <c r="J795" s="20"/>
      <c r="K795" s="20"/>
      <c r="L795" s="19"/>
      <c r="M795" s="19"/>
      <c r="N795" s="19"/>
      <c r="O795" s="19"/>
      <c r="P795" s="19"/>
      <c r="Q795" s="19"/>
      <c r="R795" s="19"/>
      <c r="S795" s="19"/>
      <c r="T795" s="19"/>
      <c r="U795" s="19"/>
      <c r="V795" s="19"/>
      <c r="W795" s="19"/>
      <c r="X795" s="19"/>
    </row>
    <row r="796" spans="1:24" ht="14.25" customHeight="1" x14ac:dyDescent="0.3">
      <c r="A796" s="19"/>
      <c r="B796" s="19"/>
      <c r="C796" s="20"/>
      <c r="E796" s="28"/>
      <c r="F796" s="20"/>
      <c r="G796" s="19"/>
      <c r="H796" s="19"/>
      <c r="I796" s="19"/>
      <c r="J796" s="20"/>
      <c r="K796" s="20"/>
      <c r="L796" s="19"/>
      <c r="M796" s="19"/>
      <c r="N796" s="19"/>
      <c r="O796" s="19"/>
      <c r="P796" s="19"/>
      <c r="Q796" s="19"/>
      <c r="R796" s="19"/>
      <c r="S796" s="19"/>
      <c r="T796" s="19"/>
      <c r="U796" s="19"/>
      <c r="V796" s="19"/>
      <c r="W796" s="19"/>
      <c r="X796" s="19"/>
    </row>
    <row r="797" spans="1:24" ht="14.25" customHeight="1" x14ac:dyDescent="0.3">
      <c r="A797" s="19"/>
      <c r="B797" s="19"/>
      <c r="C797" s="20"/>
      <c r="E797" s="28"/>
      <c r="F797" s="20"/>
      <c r="G797" s="19"/>
      <c r="H797" s="19"/>
      <c r="I797" s="19"/>
      <c r="J797" s="20"/>
      <c r="K797" s="20"/>
      <c r="L797" s="19"/>
      <c r="M797" s="19"/>
      <c r="N797" s="19"/>
      <c r="O797" s="19"/>
      <c r="P797" s="19"/>
      <c r="Q797" s="19"/>
      <c r="R797" s="19"/>
      <c r="S797" s="19"/>
      <c r="T797" s="19"/>
      <c r="U797" s="19"/>
      <c r="V797" s="19"/>
      <c r="W797" s="19"/>
      <c r="X797" s="19"/>
    </row>
    <row r="798" spans="1:24" ht="14.25" customHeight="1" x14ac:dyDescent="0.3">
      <c r="A798" s="19"/>
      <c r="B798" s="19"/>
      <c r="C798" s="20"/>
      <c r="E798" s="28"/>
      <c r="F798" s="20"/>
      <c r="G798" s="19"/>
      <c r="H798" s="19"/>
      <c r="I798" s="19"/>
      <c r="J798" s="20"/>
      <c r="K798" s="20"/>
      <c r="L798" s="19"/>
      <c r="M798" s="19"/>
      <c r="N798" s="19"/>
      <c r="O798" s="19"/>
      <c r="P798" s="19"/>
      <c r="Q798" s="19"/>
      <c r="R798" s="19"/>
      <c r="S798" s="19"/>
      <c r="T798" s="19"/>
      <c r="U798" s="19"/>
      <c r="V798" s="19"/>
      <c r="W798" s="19"/>
      <c r="X798" s="19"/>
    </row>
    <row r="799" spans="1:24" ht="14.25" customHeight="1" x14ac:dyDescent="0.3">
      <c r="A799" s="19"/>
      <c r="B799" s="19"/>
      <c r="C799" s="20"/>
      <c r="E799" s="28"/>
      <c r="F799" s="20"/>
      <c r="G799" s="19"/>
      <c r="H799" s="19"/>
      <c r="I799" s="19"/>
      <c r="J799" s="20"/>
      <c r="K799" s="20"/>
      <c r="L799" s="19"/>
      <c r="M799" s="19"/>
      <c r="N799" s="19"/>
      <c r="O799" s="19"/>
      <c r="P799" s="19"/>
      <c r="Q799" s="19"/>
      <c r="R799" s="19"/>
      <c r="S799" s="19"/>
      <c r="T799" s="19"/>
      <c r="U799" s="19"/>
      <c r="V799" s="19"/>
      <c r="W799" s="19"/>
      <c r="X799" s="19"/>
    </row>
    <row r="800" spans="1:24" ht="14.25" customHeight="1" x14ac:dyDescent="0.3">
      <c r="A800" s="19"/>
      <c r="B800" s="19"/>
      <c r="C800" s="20"/>
      <c r="E800" s="28"/>
      <c r="F800" s="20"/>
      <c r="G800" s="19"/>
      <c r="H800" s="19"/>
      <c r="I800" s="19"/>
      <c r="J800" s="20"/>
      <c r="K800" s="20"/>
      <c r="L800" s="19"/>
      <c r="M800" s="19"/>
      <c r="N800" s="19"/>
      <c r="O800" s="19"/>
      <c r="P800" s="19"/>
      <c r="Q800" s="19"/>
      <c r="R800" s="19"/>
      <c r="S800" s="19"/>
      <c r="T800" s="19"/>
      <c r="U800" s="19"/>
      <c r="V800" s="19"/>
      <c r="W800" s="19"/>
      <c r="X800" s="19"/>
    </row>
    <row r="801" spans="1:24" ht="14.25" customHeight="1" x14ac:dyDescent="0.3">
      <c r="A801" s="19"/>
      <c r="B801" s="19"/>
      <c r="C801" s="20"/>
      <c r="E801" s="28"/>
      <c r="F801" s="20"/>
      <c r="G801" s="19"/>
      <c r="H801" s="19"/>
      <c r="I801" s="19"/>
      <c r="J801" s="20"/>
      <c r="K801" s="20"/>
      <c r="L801" s="19"/>
      <c r="M801" s="19"/>
      <c r="N801" s="19"/>
      <c r="O801" s="19"/>
      <c r="P801" s="19"/>
      <c r="Q801" s="19"/>
      <c r="R801" s="19"/>
      <c r="S801" s="19"/>
      <c r="T801" s="19"/>
      <c r="U801" s="19"/>
      <c r="V801" s="19"/>
      <c r="W801" s="19"/>
      <c r="X801" s="19"/>
    </row>
    <row r="802" spans="1:24" ht="14.25" customHeight="1" x14ac:dyDescent="0.3">
      <c r="A802" s="19"/>
      <c r="B802" s="19"/>
      <c r="C802" s="20"/>
      <c r="E802" s="28"/>
      <c r="F802" s="20"/>
      <c r="G802" s="19"/>
      <c r="H802" s="19"/>
      <c r="I802" s="19"/>
      <c r="J802" s="20"/>
      <c r="K802" s="20"/>
      <c r="L802" s="19"/>
      <c r="M802" s="19"/>
      <c r="N802" s="19"/>
      <c r="O802" s="19"/>
      <c r="P802" s="19"/>
      <c r="Q802" s="19"/>
      <c r="R802" s="19"/>
      <c r="S802" s="19"/>
      <c r="T802" s="19"/>
      <c r="U802" s="19"/>
      <c r="V802" s="19"/>
      <c r="W802" s="19"/>
      <c r="X802" s="19"/>
    </row>
    <row r="803" spans="1:24" ht="14.25" customHeight="1" x14ac:dyDescent="0.3">
      <c r="A803" s="19"/>
      <c r="B803" s="19"/>
      <c r="C803" s="20"/>
      <c r="E803" s="28"/>
      <c r="F803" s="20"/>
      <c r="G803" s="19"/>
      <c r="H803" s="19"/>
      <c r="I803" s="19"/>
      <c r="J803" s="20"/>
      <c r="K803" s="20"/>
      <c r="L803" s="19"/>
      <c r="M803" s="19"/>
      <c r="N803" s="19"/>
      <c r="O803" s="19"/>
      <c r="P803" s="19"/>
      <c r="Q803" s="19"/>
      <c r="R803" s="19"/>
      <c r="S803" s="19"/>
      <c r="T803" s="19"/>
      <c r="U803" s="19"/>
      <c r="V803" s="19"/>
      <c r="W803" s="19"/>
      <c r="X803" s="19"/>
    </row>
    <row r="804" spans="1:24" ht="14.25" customHeight="1" x14ac:dyDescent="0.3">
      <c r="A804" s="19"/>
      <c r="B804" s="19"/>
      <c r="C804" s="20"/>
      <c r="E804" s="28"/>
      <c r="F804" s="20"/>
      <c r="G804" s="19"/>
      <c r="H804" s="19"/>
      <c r="I804" s="19"/>
      <c r="J804" s="20"/>
      <c r="K804" s="20"/>
      <c r="L804" s="19"/>
      <c r="M804" s="19"/>
      <c r="N804" s="19"/>
      <c r="O804" s="19"/>
      <c r="P804" s="19"/>
      <c r="Q804" s="19"/>
      <c r="R804" s="19"/>
      <c r="S804" s="19"/>
      <c r="T804" s="19"/>
      <c r="U804" s="19"/>
      <c r="V804" s="19"/>
      <c r="W804" s="19"/>
      <c r="X804" s="19"/>
    </row>
    <row r="805" spans="1:24" ht="14.25" customHeight="1" x14ac:dyDescent="0.3">
      <c r="A805" s="19"/>
      <c r="B805" s="19"/>
      <c r="C805" s="20"/>
      <c r="E805" s="28"/>
      <c r="F805" s="20"/>
      <c r="G805" s="19"/>
      <c r="H805" s="19"/>
      <c r="I805" s="19"/>
      <c r="J805" s="20"/>
      <c r="K805" s="20"/>
      <c r="L805" s="19"/>
      <c r="M805" s="19"/>
      <c r="N805" s="19"/>
      <c r="O805" s="19"/>
      <c r="P805" s="19"/>
      <c r="Q805" s="19"/>
      <c r="R805" s="19"/>
      <c r="S805" s="19"/>
      <c r="T805" s="19"/>
      <c r="U805" s="19"/>
      <c r="V805" s="19"/>
      <c r="W805" s="19"/>
      <c r="X805" s="19"/>
    </row>
    <row r="806" spans="1:24" ht="14.25" customHeight="1" x14ac:dyDescent="0.3">
      <c r="A806" s="19"/>
      <c r="B806" s="19"/>
      <c r="C806" s="20"/>
      <c r="E806" s="28"/>
      <c r="F806" s="20"/>
      <c r="G806" s="19"/>
      <c r="H806" s="19"/>
      <c r="I806" s="19"/>
      <c r="J806" s="20"/>
      <c r="K806" s="20"/>
      <c r="L806" s="19"/>
      <c r="M806" s="19"/>
      <c r="N806" s="19"/>
      <c r="O806" s="19"/>
      <c r="P806" s="19"/>
      <c r="Q806" s="19"/>
      <c r="R806" s="19"/>
      <c r="S806" s="19"/>
      <c r="T806" s="19"/>
      <c r="U806" s="19"/>
      <c r="V806" s="19"/>
      <c r="W806" s="19"/>
      <c r="X806" s="19"/>
    </row>
    <row r="807" spans="1:24" ht="14.25" customHeight="1" x14ac:dyDescent="0.3">
      <c r="A807" s="19"/>
      <c r="B807" s="19"/>
      <c r="C807" s="20"/>
      <c r="E807" s="28"/>
      <c r="F807" s="20"/>
      <c r="G807" s="19"/>
      <c r="H807" s="19"/>
      <c r="I807" s="19"/>
      <c r="J807" s="20"/>
      <c r="K807" s="20"/>
      <c r="L807" s="19"/>
      <c r="M807" s="19"/>
      <c r="N807" s="19"/>
      <c r="O807" s="19"/>
      <c r="P807" s="19"/>
      <c r="Q807" s="19"/>
      <c r="R807" s="19"/>
      <c r="S807" s="19"/>
      <c r="T807" s="19"/>
      <c r="U807" s="19"/>
      <c r="V807" s="19"/>
      <c r="W807" s="19"/>
      <c r="X807" s="19"/>
    </row>
    <row r="808" spans="1:24" ht="14.25" customHeight="1" x14ac:dyDescent="0.3">
      <c r="A808" s="19"/>
      <c r="B808" s="19"/>
      <c r="C808" s="20"/>
      <c r="E808" s="28"/>
      <c r="F808" s="20"/>
      <c r="G808" s="19"/>
      <c r="H808" s="19"/>
      <c r="I808" s="19"/>
      <c r="J808" s="20"/>
      <c r="K808" s="20"/>
      <c r="L808" s="19"/>
      <c r="M808" s="19"/>
      <c r="N808" s="19"/>
      <c r="O808" s="19"/>
      <c r="P808" s="19"/>
      <c r="Q808" s="19"/>
      <c r="R808" s="19"/>
      <c r="S808" s="19"/>
      <c r="T808" s="19"/>
      <c r="U808" s="19"/>
      <c r="V808" s="19"/>
      <c r="W808" s="19"/>
      <c r="X808" s="19"/>
    </row>
    <row r="809" spans="1:24" ht="14.25" customHeight="1" x14ac:dyDescent="0.3">
      <c r="A809" s="19"/>
      <c r="B809" s="19"/>
      <c r="C809" s="20"/>
      <c r="E809" s="28"/>
      <c r="F809" s="20"/>
      <c r="G809" s="19"/>
      <c r="H809" s="19"/>
      <c r="I809" s="19"/>
      <c r="J809" s="20"/>
      <c r="K809" s="20"/>
      <c r="L809" s="19"/>
      <c r="M809" s="19"/>
      <c r="N809" s="19"/>
      <c r="O809" s="19"/>
      <c r="P809" s="19"/>
      <c r="Q809" s="19"/>
      <c r="R809" s="19"/>
      <c r="S809" s="19"/>
      <c r="T809" s="19"/>
      <c r="U809" s="19"/>
      <c r="V809" s="19"/>
      <c r="W809" s="19"/>
      <c r="X809" s="19"/>
    </row>
    <row r="810" spans="1:24" ht="14.25" customHeight="1" x14ac:dyDescent="0.3">
      <c r="A810" s="19"/>
      <c r="B810" s="19"/>
      <c r="C810" s="20"/>
      <c r="E810" s="28"/>
      <c r="F810" s="20"/>
      <c r="G810" s="19"/>
      <c r="H810" s="19"/>
      <c r="I810" s="19"/>
      <c r="J810" s="20"/>
      <c r="K810" s="20"/>
      <c r="L810" s="19"/>
      <c r="M810" s="19"/>
      <c r="N810" s="19"/>
      <c r="O810" s="19"/>
      <c r="P810" s="19"/>
      <c r="Q810" s="19"/>
      <c r="R810" s="19"/>
      <c r="S810" s="19"/>
      <c r="T810" s="19"/>
      <c r="U810" s="19"/>
      <c r="V810" s="19"/>
      <c r="W810" s="19"/>
      <c r="X810" s="19"/>
    </row>
    <row r="811" spans="1:24" ht="14.25" customHeight="1" x14ac:dyDescent="0.3">
      <c r="A811" s="19"/>
      <c r="B811" s="19"/>
      <c r="C811" s="20"/>
      <c r="E811" s="28"/>
      <c r="F811" s="20"/>
      <c r="G811" s="19"/>
      <c r="H811" s="19"/>
      <c r="I811" s="19"/>
      <c r="J811" s="20"/>
      <c r="K811" s="20"/>
      <c r="L811" s="19"/>
      <c r="M811" s="19"/>
      <c r="N811" s="19"/>
      <c r="O811" s="19"/>
      <c r="P811" s="19"/>
      <c r="Q811" s="19"/>
      <c r="R811" s="19"/>
      <c r="S811" s="19"/>
      <c r="T811" s="19"/>
      <c r="U811" s="19"/>
      <c r="V811" s="19"/>
      <c r="W811" s="19"/>
      <c r="X811" s="19"/>
    </row>
    <row r="812" spans="1:24" ht="14.25" customHeight="1" x14ac:dyDescent="0.3">
      <c r="A812" s="19"/>
      <c r="B812" s="19"/>
      <c r="C812" s="20"/>
      <c r="E812" s="28"/>
      <c r="F812" s="20"/>
      <c r="G812" s="19"/>
      <c r="H812" s="19"/>
      <c r="I812" s="19"/>
      <c r="J812" s="20"/>
      <c r="K812" s="20"/>
      <c r="L812" s="19"/>
      <c r="M812" s="19"/>
      <c r="N812" s="19"/>
      <c r="O812" s="19"/>
      <c r="P812" s="19"/>
      <c r="Q812" s="19"/>
      <c r="R812" s="19"/>
      <c r="S812" s="19"/>
      <c r="T812" s="19"/>
      <c r="U812" s="19"/>
      <c r="V812" s="19"/>
      <c r="W812" s="19"/>
      <c r="X812" s="19"/>
    </row>
    <row r="813" spans="1:24" ht="14.25" customHeight="1" x14ac:dyDescent="0.3">
      <c r="A813" s="19"/>
      <c r="B813" s="19"/>
      <c r="C813" s="20"/>
      <c r="E813" s="28"/>
      <c r="F813" s="20"/>
      <c r="G813" s="19"/>
      <c r="H813" s="19"/>
      <c r="I813" s="19"/>
      <c r="J813" s="20"/>
      <c r="K813" s="20"/>
      <c r="L813" s="19"/>
      <c r="M813" s="19"/>
      <c r="N813" s="19"/>
      <c r="O813" s="19"/>
      <c r="P813" s="19"/>
      <c r="Q813" s="19"/>
      <c r="R813" s="19"/>
      <c r="S813" s="19"/>
      <c r="T813" s="19"/>
      <c r="U813" s="19"/>
      <c r="V813" s="19"/>
      <c r="W813" s="19"/>
      <c r="X813" s="19"/>
    </row>
    <row r="814" spans="1:24" ht="14.25" customHeight="1" x14ac:dyDescent="0.3">
      <c r="A814" s="19"/>
      <c r="B814" s="19"/>
      <c r="C814" s="20"/>
      <c r="E814" s="28"/>
      <c r="F814" s="20"/>
      <c r="G814" s="19"/>
      <c r="H814" s="19"/>
      <c r="I814" s="19"/>
      <c r="J814" s="20"/>
      <c r="K814" s="20"/>
      <c r="L814" s="19"/>
      <c r="M814" s="19"/>
      <c r="N814" s="19"/>
      <c r="O814" s="19"/>
      <c r="P814" s="19"/>
      <c r="Q814" s="19"/>
      <c r="R814" s="19"/>
      <c r="S814" s="19"/>
      <c r="T814" s="19"/>
      <c r="U814" s="19"/>
      <c r="V814" s="19"/>
      <c r="W814" s="19"/>
      <c r="X814" s="19"/>
    </row>
    <row r="815" spans="1:24" ht="14.25" customHeight="1" x14ac:dyDescent="0.3">
      <c r="A815" s="19"/>
      <c r="B815" s="19"/>
      <c r="C815" s="20"/>
      <c r="E815" s="28"/>
      <c r="F815" s="20"/>
      <c r="G815" s="19"/>
      <c r="H815" s="19"/>
      <c r="I815" s="19"/>
      <c r="J815" s="20"/>
      <c r="K815" s="20"/>
      <c r="L815" s="19"/>
      <c r="M815" s="19"/>
      <c r="N815" s="19"/>
      <c r="O815" s="19"/>
      <c r="P815" s="19"/>
      <c r="Q815" s="19"/>
      <c r="R815" s="19"/>
      <c r="S815" s="19"/>
      <c r="T815" s="19"/>
      <c r="U815" s="19"/>
      <c r="V815" s="19"/>
      <c r="W815" s="19"/>
      <c r="X815" s="19"/>
    </row>
    <row r="816" spans="1:24" ht="14.25" customHeight="1" x14ac:dyDescent="0.3">
      <c r="A816" s="19"/>
      <c r="B816" s="19"/>
      <c r="C816" s="20"/>
      <c r="E816" s="28"/>
      <c r="F816" s="20"/>
      <c r="G816" s="19"/>
      <c r="H816" s="19"/>
      <c r="I816" s="19"/>
      <c r="J816" s="20"/>
      <c r="K816" s="20"/>
      <c r="L816" s="19"/>
      <c r="M816" s="19"/>
      <c r="N816" s="19"/>
      <c r="O816" s="19"/>
      <c r="P816" s="19"/>
      <c r="Q816" s="19"/>
      <c r="R816" s="19"/>
      <c r="S816" s="19"/>
      <c r="T816" s="19"/>
      <c r="U816" s="19"/>
      <c r="V816" s="19"/>
      <c r="W816" s="19"/>
      <c r="X816" s="19"/>
    </row>
    <row r="817" spans="1:24" ht="14.25" customHeight="1" x14ac:dyDescent="0.3">
      <c r="A817" s="19"/>
      <c r="B817" s="19"/>
      <c r="C817" s="20"/>
      <c r="E817" s="28"/>
      <c r="F817" s="20"/>
      <c r="G817" s="19"/>
      <c r="H817" s="19"/>
      <c r="I817" s="19"/>
      <c r="J817" s="20"/>
      <c r="K817" s="20"/>
      <c r="L817" s="19"/>
      <c r="M817" s="19"/>
      <c r="N817" s="19"/>
      <c r="O817" s="19"/>
      <c r="P817" s="19"/>
      <c r="Q817" s="19"/>
      <c r="R817" s="19"/>
      <c r="S817" s="19"/>
      <c r="T817" s="19"/>
      <c r="U817" s="19"/>
      <c r="V817" s="19"/>
      <c r="W817" s="19"/>
      <c r="X817" s="19"/>
    </row>
    <row r="818" spans="1:24" ht="14.25" customHeight="1" x14ac:dyDescent="0.3">
      <c r="A818" s="19"/>
      <c r="B818" s="19"/>
      <c r="C818" s="20"/>
      <c r="E818" s="28"/>
      <c r="F818" s="20"/>
      <c r="G818" s="19"/>
      <c r="H818" s="19"/>
      <c r="I818" s="19"/>
      <c r="J818" s="20"/>
      <c r="K818" s="20"/>
      <c r="L818" s="19"/>
      <c r="M818" s="19"/>
      <c r="N818" s="19"/>
      <c r="O818" s="19"/>
      <c r="P818" s="19"/>
      <c r="Q818" s="19"/>
      <c r="R818" s="19"/>
      <c r="S818" s="19"/>
      <c r="T818" s="19"/>
      <c r="U818" s="19"/>
      <c r="V818" s="19"/>
      <c r="W818" s="19"/>
      <c r="X818" s="19"/>
    </row>
    <row r="819" spans="1:24" ht="14.25" customHeight="1" x14ac:dyDescent="0.3">
      <c r="A819" s="19"/>
      <c r="B819" s="19"/>
      <c r="C819" s="20"/>
      <c r="E819" s="28"/>
      <c r="F819" s="20"/>
      <c r="G819" s="19"/>
      <c r="H819" s="19"/>
      <c r="I819" s="19"/>
      <c r="J819" s="20"/>
      <c r="K819" s="20"/>
      <c r="L819" s="19"/>
      <c r="M819" s="19"/>
      <c r="N819" s="19"/>
      <c r="O819" s="19"/>
      <c r="P819" s="19"/>
      <c r="Q819" s="19"/>
      <c r="R819" s="19"/>
      <c r="S819" s="19"/>
      <c r="T819" s="19"/>
      <c r="U819" s="19"/>
      <c r="V819" s="19"/>
      <c r="W819" s="19"/>
      <c r="X819" s="19"/>
    </row>
    <row r="820" spans="1:24" ht="14.25" customHeight="1" x14ac:dyDescent="0.3">
      <c r="A820" s="19"/>
      <c r="B820" s="19"/>
      <c r="C820" s="20"/>
      <c r="E820" s="28"/>
      <c r="F820" s="20"/>
      <c r="G820" s="19"/>
      <c r="H820" s="19"/>
      <c r="I820" s="19"/>
      <c r="J820" s="20"/>
      <c r="K820" s="20"/>
      <c r="L820" s="19"/>
      <c r="M820" s="19"/>
      <c r="N820" s="19"/>
      <c r="O820" s="19"/>
      <c r="P820" s="19"/>
      <c r="Q820" s="19"/>
      <c r="R820" s="19"/>
      <c r="S820" s="19"/>
      <c r="T820" s="19"/>
      <c r="U820" s="19"/>
      <c r="V820" s="19"/>
      <c r="W820" s="19"/>
      <c r="X820" s="19"/>
    </row>
    <row r="821" spans="1:24" ht="14.25" customHeight="1" x14ac:dyDescent="0.3">
      <c r="A821" s="19"/>
      <c r="B821" s="19"/>
      <c r="C821" s="20"/>
      <c r="E821" s="28"/>
      <c r="F821" s="20"/>
      <c r="G821" s="19"/>
      <c r="H821" s="19"/>
      <c r="I821" s="19"/>
      <c r="J821" s="20"/>
      <c r="K821" s="20"/>
      <c r="L821" s="19"/>
      <c r="M821" s="19"/>
      <c r="N821" s="19"/>
      <c r="O821" s="19"/>
      <c r="P821" s="19"/>
      <c r="Q821" s="19"/>
      <c r="R821" s="19"/>
      <c r="S821" s="19"/>
      <c r="T821" s="19"/>
      <c r="U821" s="19"/>
      <c r="V821" s="19"/>
      <c r="W821" s="19"/>
      <c r="X821" s="19"/>
    </row>
    <row r="822" spans="1:24" ht="14.25" customHeight="1" x14ac:dyDescent="0.3">
      <c r="A822" s="19"/>
      <c r="B822" s="19"/>
      <c r="C822" s="20"/>
      <c r="E822" s="28"/>
      <c r="F822" s="20"/>
      <c r="G822" s="19"/>
      <c r="H822" s="19"/>
      <c r="I822" s="19"/>
      <c r="J822" s="20"/>
      <c r="K822" s="20"/>
      <c r="L822" s="19"/>
      <c r="M822" s="19"/>
      <c r="N822" s="19"/>
      <c r="O822" s="19"/>
      <c r="P822" s="19"/>
      <c r="Q822" s="19"/>
      <c r="R822" s="19"/>
      <c r="S822" s="19"/>
      <c r="T822" s="19"/>
      <c r="U822" s="19"/>
      <c r="V822" s="19"/>
      <c r="W822" s="19"/>
      <c r="X822" s="19"/>
    </row>
    <row r="823" spans="1:24" ht="14.25" customHeight="1" x14ac:dyDescent="0.3">
      <c r="A823" s="19"/>
      <c r="B823" s="19"/>
      <c r="C823" s="20"/>
      <c r="E823" s="28"/>
      <c r="F823" s="20"/>
      <c r="G823" s="19"/>
      <c r="H823" s="19"/>
      <c r="I823" s="19"/>
      <c r="J823" s="20"/>
      <c r="K823" s="20"/>
      <c r="L823" s="19"/>
      <c r="M823" s="19"/>
      <c r="N823" s="19"/>
      <c r="O823" s="19"/>
      <c r="P823" s="19"/>
      <c r="Q823" s="19"/>
      <c r="R823" s="19"/>
      <c r="S823" s="19"/>
      <c r="T823" s="19"/>
      <c r="U823" s="19"/>
      <c r="V823" s="19"/>
      <c r="W823" s="19"/>
      <c r="X823" s="19"/>
    </row>
    <row r="824" spans="1:24" ht="14.25" customHeight="1" x14ac:dyDescent="0.3">
      <c r="A824" s="19"/>
      <c r="B824" s="19"/>
      <c r="C824" s="20"/>
      <c r="E824" s="28"/>
      <c r="F824" s="20"/>
      <c r="G824" s="19"/>
      <c r="H824" s="19"/>
      <c r="I824" s="19"/>
      <c r="J824" s="20"/>
      <c r="K824" s="20"/>
      <c r="L824" s="19"/>
      <c r="M824" s="19"/>
      <c r="N824" s="19"/>
      <c r="O824" s="19"/>
      <c r="P824" s="19"/>
      <c r="Q824" s="19"/>
      <c r="R824" s="19"/>
      <c r="S824" s="19"/>
      <c r="T824" s="19"/>
      <c r="U824" s="19"/>
      <c r="V824" s="19"/>
      <c r="W824" s="19"/>
      <c r="X824" s="19"/>
    </row>
    <row r="825" spans="1:24" ht="14.25" customHeight="1" x14ac:dyDescent="0.3">
      <c r="A825" s="19"/>
      <c r="B825" s="19"/>
      <c r="C825" s="20"/>
      <c r="E825" s="28"/>
      <c r="F825" s="20"/>
      <c r="G825" s="19"/>
      <c r="H825" s="19"/>
      <c r="I825" s="19"/>
      <c r="J825" s="20"/>
      <c r="K825" s="20"/>
      <c r="L825" s="19"/>
      <c r="M825" s="19"/>
      <c r="N825" s="19"/>
      <c r="O825" s="19"/>
      <c r="P825" s="19"/>
      <c r="Q825" s="19"/>
      <c r="R825" s="19"/>
      <c r="S825" s="19"/>
      <c r="T825" s="19"/>
      <c r="U825" s="19"/>
      <c r="V825" s="19"/>
      <c r="W825" s="19"/>
      <c r="X825" s="19"/>
    </row>
    <row r="826" spans="1:24" ht="14.25" customHeight="1" x14ac:dyDescent="0.3">
      <c r="A826" s="19"/>
      <c r="B826" s="19"/>
      <c r="C826" s="20"/>
      <c r="E826" s="28"/>
      <c r="F826" s="20"/>
      <c r="G826" s="19"/>
      <c r="H826" s="19"/>
      <c r="I826" s="19"/>
      <c r="J826" s="20"/>
      <c r="K826" s="20"/>
      <c r="L826" s="19"/>
      <c r="M826" s="19"/>
      <c r="N826" s="19"/>
      <c r="O826" s="19"/>
      <c r="P826" s="19"/>
      <c r="Q826" s="19"/>
      <c r="R826" s="19"/>
      <c r="S826" s="19"/>
      <c r="T826" s="19"/>
      <c r="U826" s="19"/>
      <c r="V826" s="19"/>
      <c r="W826" s="19"/>
      <c r="X826" s="19"/>
    </row>
    <row r="827" spans="1:24" ht="14.25" customHeight="1" x14ac:dyDescent="0.3">
      <c r="A827" s="19"/>
      <c r="B827" s="19"/>
      <c r="C827" s="20"/>
      <c r="E827" s="28"/>
      <c r="F827" s="20"/>
      <c r="G827" s="19"/>
      <c r="H827" s="19"/>
      <c r="I827" s="19"/>
      <c r="J827" s="20"/>
      <c r="K827" s="20"/>
      <c r="L827" s="19"/>
      <c r="M827" s="19"/>
      <c r="N827" s="19"/>
      <c r="O827" s="19"/>
      <c r="P827" s="19"/>
      <c r="Q827" s="19"/>
      <c r="R827" s="19"/>
      <c r="S827" s="19"/>
      <c r="T827" s="19"/>
      <c r="U827" s="19"/>
      <c r="V827" s="19"/>
      <c r="W827" s="19"/>
      <c r="X827" s="19"/>
    </row>
    <row r="828" spans="1:24" ht="14.25" customHeight="1" x14ac:dyDescent="0.3">
      <c r="A828" s="19"/>
      <c r="B828" s="19"/>
      <c r="C828" s="20"/>
      <c r="E828" s="28"/>
      <c r="F828" s="20"/>
      <c r="G828" s="19"/>
      <c r="H828" s="19"/>
      <c r="I828" s="19"/>
      <c r="J828" s="20"/>
      <c r="K828" s="20"/>
      <c r="L828" s="19"/>
      <c r="M828" s="19"/>
      <c r="N828" s="19"/>
      <c r="O828" s="19"/>
      <c r="P828" s="19"/>
      <c r="Q828" s="19"/>
      <c r="R828" s="19"/>
      <c r="S828" s="19"/>
      <c r="T828" s="19"/>
      <c r="U828" s="19"/>
      <c r="V828" s="19"/>
      <c r="W828" s="19"/>
      <c r="X828" s="19"/>
    </row>
    <row r="829" spans="1:24" ht="14.25" customHeight="1" x14ac:dyDescent="0.3">
      <c r="A829" s="19"/>
      <c r="B829" s="19"/>
      <c r="C829" s="20"/>
      <c r="E829" s="28"/>
      <c r="F829" s="20"/>
      <c r="G829" s="19"/>
      <c r="H829" s="19"/>
      <c r="I829" s="19"/>
      <c r="J829" s="20"/>
      <c r="K829" s="20"/>
      <c r="L829" s="19"/>
      <c r="M829" s="19"/>
      <c r="N829" s="19"/>
      <c r="O829" s="19"/>
      <c r="P829" s="19"/>
      <c r="Q829" s="19"/>
      <c r="R829" s="19"/>
      <c r="S829" s="19"/>
      <c r="T829" s="19"/>
      <c r="U829" s="19"/>
      <c r="V829" s="19"/>
      <c r="W829" s="19"/>
      <c r="X829" s="19"/>
    </row>
    <row r="830" spans="1:24" ht="14.25" customHeight="1" x14ac:dyDescent="0.3">
      <c r="A830" s="19"/>
      <c r="B830" s="19"/>
      <c r="C830" s="20"/>
      <c r="E830" s="28"/>
      <c r="F830" s="20"/>
      <c r="G830" s="19"/>
      <c r="H830" s="19"/>
      <c r="I830" s="19"/>
      <c r="J830" s="20"/>
      <c r="K830" s="20"/>
      <c r="L830" s="19"/>
      <c r="M830" s="19"/>
      <c r="N830" s="19"/>
      <c r="O830" s="19"/>
      <c r="P830" s="19"/>
      <c r="Q830" s="19"/>
      <c r="R830" s="19"/>
      <c r="S830" s="19"/>
      <c r="T830" s="19"/>
      <c r="U830" s="19"/>
      <c r="V830" s="19"/>
      <c r="W830" s="19"/>
      <c r="X830" s="19"/>
    </row>
    <row r="831" spans="1:24" ht="14.25" customHeight="1" x14ac:dyDescent="0.3">
      <c r="A831" s="19"/>
      <c r="B831" s="19"/>
      <c r="C831" s="20"/>
      <c r="E831" s="28"/>
      <c r="F831" s="20"/>
      <c r="G831" s="19"/>
      <c r="H831" s="19"/>
      <c r="I831" s="19"/>
      <c r="J831" s="20"/>
      <c r="K831" s="20"/>
      <c r="L831" s="19"/>
      <c r="M831" s="19"/>
      <c r="N831" s="19"/>
      <c r="O831" s="19"/>
      <c r="P831" s="19"/>
      <c r="Q831" s="19"/>
      <c r="R831" s="19"/>
      <c r="S831" s="19"/>
      <c r="T831" s="19"/>
      <c r="U831" s="19"/>
      <c r="V831" s="19"/>
      <c r="W831" s="19"/>
      <c r="X831" s="19"/>
    </row>
    <row r="832" spans="1:24" ht="14.25" customHeight="1" x14ac:dyDescent="0.3">
      <c r="A832" s="19"/>
      <c r="B832" s="19"/>
      <c r="C832" s="20"/>
      <c r="E832" s="28"/>
      <c r="F832" s="20"/>
      <c r="G832" s="19"/>
      <c r="H832" s="19"/>
      <c r="I832" s="19"/>
      <c r="J832" s="20"/>
      <c r="K832" s="20"/>
      <c r="L832" s="19"/>
      <c r="M832" s="19"/>
      <c r="N832" s="19"/>
      <c r="O832" s="19"/>
      <c r="P832" s="19"/>
      <c r="Q832" s="19"/>
      <c r="R832" s="19"/>
      <c r="S832" s="19"/>
      <c r="T832" s="19"/>
      <c r="U832" s="19"/>
      <c r="V832" s="19"/>
      <c r="W832" s="19"/>
      <c r="X832" s="19"/>
    </row>
    <row r="833" spans="1:24" ht="14.25" customHeight="1" x14ac:dyDescent="0.3">
      <c r="A833" s="19"/>
      <c r="B833" s="19"/>
      <c r="C833" s="20"/>
      <c r="E833" s="28"/>
      <c r="F833" s="20"/>
      <c r="G833" s="19"/>
      <c r="H833" s="19"/>
      <c r="I833" s="19"/>
      <c r="J833" s="20"/>
      <c r="K833" s="20"/>
      <c r="L833" s="19"/>
      <c r="M833" s="19"/>
      <c r="N833" s="19"/>
      <c r="O833" s="19"/>
      <c r="P833" s="19"/>
      <c r="Q833" s="19"/>
      <c r="R833" s="19"/>
      <c r="S833" s="19"/>
      <c r="T833" s="19"/>
      <c r="U833" s="19"/>
      <c r="V833" s="19"/>
      <c r="W833" s="19"/>
      <c r="X833" s="19"/>
    </row>
    <row r="834" spans="1:24" ht="14.25" customHeight="1" x14ac:dyDescent="0.3">
      <c r="A834" s="19"/>
      <c r="B834" s="19"/>
      <c r="C834" s="20"/>
      <c r="E834" s="28"/>
      <c r="F834" s="20"/>
      <c r="G834" s="19"/>
      <c r="H834" s="19"/>
      <c r="I834" s="19"/>
      <c r="J834" s="20"/>
      <c r="K834" s="20"/>
      <c r="L834" s="19"/>
      <c r="M834" s="19"/>
      <c r="N834" s="19"/>
      <c r="O834" s="19"/>
      <c r="P834" s="19"/>
      <c r="Q834" s="19"/>
      <c r="R834" s="19"/>
      <c r="S834" s="19"/>
      <c r="T834" s="19"/>
      <c r="U834" s="19"/>
      <c r="V834" s="19"/>
      <c r="W834" s="19"/>
      <c r="X834" s="19"/>
    </row>
    <row r="835" spans="1:24" ht="14.25" customHeight="1" x14ac:dyDescent="0.3">
      <c r="A835" s="19"/>
      <c r="B835" s="19"/>
      <c r="C835" s="20"/>
      <c r="E835" s="28"/>
      <c r="F835" s="20"/>
      <c r="G835" s="19"/>
      <c r="H835" s="19"/>
      <c r="I835" s="19"/>
      <c r="J835" s="20"/>
      <c r="K835" s="20"/>
      <c r="L835" s="19"/>
      <c r="M835" s="19"/>
      <c r="N835" s="19"/>
      <c r="O835" s="19"/>
      <c r="P835" s="19"/>
      <c r="Q835" s="19"/>
      <c r="R835" s="19"/>
      <c r="S835" s="19"/>
      <c r="T835" s="19"/>
      <c r="U835" s="19"/>
      <c r="V835" s="19"/>
      <c r="W835" s="19"/>
      <c r="X835" s="19"/>
    </row>
    <row r="836" spans="1:24" ht="14.25" customHeight="1" x14ac:dyDescent="0.3">
      <c r="A836" s="19"/>
      <c r="B836" s="19"/>
      <c r="C836" s="20"/>
      <c r="E836" s="28"/>
      <c r="F836" s="20"/>
      <c r="G836" s="19"/>
      <c r="H836" s="19"/>
      <c r="I836" s="19"/>
      <c r="J836" s="20"/>
      <c r="K836" s="20"/>
      <c r="L836" s="19"/>
      <c r="M836" s="19"/>
      <c r="N836" s="19"/>
      <c r="O836" s="19"/>
      <c r="P836" s="19"/>
      <c r="Q836" s="19"/>
      <c r="R836" s="19"/>
      <c r="S836" s="19"/>
      <c r="T836" s="19"/>
      <c r="U836" s="19"/>
      <c r="V836" s="19"/>
      <c r="W836" s="19"/>
      <c r="X836" s="19"/>
    </row>
    <row r="837" spans="1:24" ht="14.25" customHeight="1" x14ac:dyDescent="0.3">
      <c r="A837" s="19"/>
      <c r="B837" s="19"/>
      <c r="C837" s="20"/>
      <c r="E837" s="28"/>
      <c r="F837" s="20"/>
      <c r="G837" s="19"/>
      <c r="H837" s="19"/>
      <c r="I837" s="19"/>
      <c r="J837" s="20"/>
      <c r="K837" s="20"/>
      <c r="L837" s="19"/>
      <c r="M837" s="19"/>
      <c r="N837" s="19"/>
      <c r="O837" s="19"/>
      <c r="P837" s="19"/>
      <c r="Q837" s="19"/>
      <c r="R837" s="19"/>
      <c r="S837" s="19"/>
      <c r="T837" s="19"/>
      <c r="U837" s="19"/>
      <c r="V837" s="19"/>
      <c r="W837" s="19"/>
      <c r="X837" s="19"/>
    </row>
    <row r="838" spans="1:24" ht="14.25" customHeight="1" x14ac:dyDescent="0.3">
      <c r="A838" s="19"/>
      <c r="B838" s="19"/>
      <c r="C838" s="20"/>
      <c r="E838" s="28"/>
      <c r="F838" s="20"/>
      <c r="G838" s="19"/>
      <c r="H838" s="19"/>
      <c r="I838" s="19"/>
      <c r="J838" s="20"/>
      <c r="K838" s="20"/>
      <c r="L838" s="19"/>
      <c r="M838" s="19"/>
      <c r="N838" s="19"/>
      <c r="O838" s="19"/>
      <c r="P838" s="19"/>
      <c r="Q838" s="19"/>
      <c r="R838" s="19"/>
      <c r="S838" s="19"/>
      <c r="T838" s="19"/>
      <c r="U838" s="19"/>
      <c r="V838" s="19"/>
      <c r="W838" s="19"/>
      <c r="X838" s="19"/>
    </row>
    <row r="839" spans="1:24" ht="14.25" customHeight="1" x14ac:dyDescent="0.3">
      <c r="A839" s="19"/>
      <c r="B839" s="19"/>
      <c r="C839" s="20"/>
      <c r="E839" s="28"/>
      <c r="F839" s="20"/>
      <c r="G839" s="19"/>
      <c r="H839" s="19"/>
      <c r="I839" s="19"/>
      <c r="J839" s="20"/>
      <c r="K839" s="20"/>
      <c r="L839" s="19"/>
      <c r="M839" s="19"/>
      <c r="N839" s="19"/>
      <c r="O839" s="19"/>
      <c r="P839" s="19"/>
      <c r="Q839" s="19"/>
      <c r="R839" s="19"/>
      <c r="S839" s="19"/>
      <c r="T839" s="19"/>
      <c r="U839" s="19"/>
      <c r="V839" s="19"/>
      <c r="W839" s="19"/>
      <c r="X839" s="19"/>
    </row>
    <row r="840" spans="1:24" ht="14.25" customHeight="1" x14ac:dyDescent="0.3">
      <c r="A840" s="19"/>
      <c r="B840" s="19"/>
      <c r="C840" s="20"/>
      <c r="E840" s="28"/>
      <c r="F840" s="20"/>
      <c r="G840" s="19"/>
      <c r="H840" s="19"/>
      <c r="I840" s="19"/>
      <c r="J840" s="20"/>
      <c r="K840" s="20"/>
      <c r="L840" s="19"/>
      <c r="M840" s="19"/>
      <c r="N840" s="19"/>
      <c r="O840" s="19"/>
      <c r="P840" s="19"/>
      <c r="Q840" s="19"/>
      <c r="R840" s="19"/>
      <c r="S840" s="19"/>
      <c r="T840" s="19"/>
      <c r="U840" s="19"/>
      <c r="V840" s="19"/>
      <c r="W840" s="19"/>
      <c r="X840" s="19"/>
    </row>
    <row r="841" spans="1:24" ht="14.25" customHeight="1" x14ac:dyDescent="0.3">
      <c r="A841" s="19"/>
      <c r="B841" s="19"/>
      <c r="C841" s="20"/>
      <c r="E841" s="28"/>
      <c r="F841" s="20"/>
      <c r="G841" s="19"/>
      <c r="H841" s="19"/>
      <c r="I841" s="19"/>
      <c r="J841" s="20"/>
      <c r="K841" s="20"/>
      <c r="L841" s="19"/>
      <c r="M841" s="19"/>
      <c r="N841" s="19"/>
      <c r="O841" s="19"/>
      <c r="P841" s="19"/>
      <c r="Q841" s="19"/>
      <c r="R841" s="19"/>
      <c r="S841" s="19"/>
      <c r="T841" s="19"/>
      <c r="U841" s="19"/>
      <c r="V841" s="19"/>
      <c r="W841" s="19"/>
      <c r="X841" s="19"/>
    </row>
    <row r="842" spans="1:24" ht="14.25" customHeight="1" x14ac:dyDescent="0.3">
      <c r="A842" s="19"/>
      <c r="B842" s="19"/>
      <c r="C842" s="20"/>
      <c r="E842" s="28"/>
      <c r="F842" s="20"/>
      <c r="G842" s="19"/>
      <c r="H842" s="19"/>
      <c r="I842" s="19"/>
      <c r="J842" s="20"/>
      <c r="K842" s="20"/>
      <c r="L842" s="19"/>
      <c r="M842" s="19"/>
      <c r="N842" s="19"/>
      <c r="O842" s="19"/>
      <c r="P842" s="19"/>
      <c r="Q842" s="19"/>
      <c r="R842" s="19"/>
      <c r="S842" s="19"/>
      <c r="T842" s="19"/>
      <c r="U842" s="19"/>
      <c r="V842" s="19"/>
      <c r="W842" s="19"/>
      <c r="X842" s="19"/>
    </row>
    <row r="843" spans="1:24" ht="14.25" customHeight="1" x14ac:dyDescent="0.3">
      <c r="A843" s="19"/>
      <c r="B843" s="19"/>
      <c r="C843" s="20"/>
      <c r="E843" s="28"/>
      <c r="F843" s="20"/>
      <c r="G843" s="19"/>
      <c r="H843" s="19"/>
      <c r="I843" s="19"/>
      <c r="J843" s="20"/>
      <c r="K843" s="20"/>
      <c r="L843" s="19"/>
      <c r="M843" s="19"/>
      <c r="N843" s="19"/>
      <c r="O843" s="19"/>
      <c r="P843" s="19"/>
      <c r="Q843" s="19"/>
      <c r="R843" s="19"/>
      <c r="S843" s="19"/>
      <c r="T843" s="19"/>
      <c r="U843" s="19"/>
      <c r="V843" s="19"/>
      <c r="W843" s="19"/>
      <c r="X843" s="19"/>
    </row>
    <row r="844" spans="1:24" ht="14.25" customHeight="1" x14ac:dyDescent="0.3">
      <c r="A844" s="19"/>
      <c r="B844" s="19"/>
      <c r="C844" s="20"/>
      <c r="E844" s="28"/>
      <c r="F844" s="20"/>
      <c r="G844" s="19"/>
      <c r="H844" s="19"/>
      <c r="I844" s="19"/>
      <c r="J844" s="20"/>
      <c r="K844" s="20"/>
      <c r="L844" s="19"/>
      <c r="M844" s="19"/>
      <c r="N844" s="19"/>
      <c r="O844" s="19"/>
      <c r="P844" s="19"/>
      <c r="Q844" s="19"/>
      <c r="R844" s="19"/>
      <c r="S844" s="19"/>
      <c r="T844" s="19"/>
      <c r="U844" s="19"/>
      <c r="V844" s="19"/>
      <c r="W844" s="19"/>
      <c r="X844" s="19"/>
    </row>
    <row r="845" spans="1:24" ht="14.25" customHeight="1" x14ac:dyDescent="0.3">
      <c r="A845" s="19"/>
      <c r="B845" s="19"/>
      <c r="C845" s="20"/>
      <c r="E845" s="28"/>
      <c r="F845" s="20"/>
      <c r="G845" s="19"/>
      <c r="H845" s="19"/>
      <c r="I845" s="19"/>
      <c r="J845" s="20"/>
      <c r="K845" s="20"/>
      <c r="L845" s="19"/>
      <c r="M845" s="19"/>
      <c r="N845" s="19"/>
      <c r="O845" s="19"/>
      <c r="P845" s="19"/>
      <c r="Q845" s="19"/>
      <c r="R845" s="19"/>
      <c r="S845" s="19"/>
      <c r="T845" s="19"/>
      <c r="U845" s="19"/>
      <c r="V845" s="19"/>
      <c r="W845" s="19"/>
      <c r="X845" s="19"/>
    </row>
    <row r="846" spans="1:24" ht="14.25" customHeight="1" x14ac:dyDescent="0.3">
      <c r="A846" s="19"/>
      <c r="B846" s="19"/>
      <c r="C846" s="20"/>
      <c r="E846" s="28"/>
      <c r="F846" s="20"/>
      <c r="G846" s="19"/>
      <c r="H846" s="19"/>
      <c r="I846" s="19"/>
      <c r="J846" s="20"/>
      <c r="K846" s="20"/>
      <c r="L846" s="19"/>
      <c r="M846" s="19"/>
      <c r="N846" s="19"/>
      <c r="O846" s="19"/>
      <c r="P846" s="19"/>
      <c r="Q846" s="19"/>
      <c r="R846" s="19"/>
      <c r="S846" s="19"/>
      <c r="T846" s="19"/>
      <c r="U846" s="19"/>
      <c r="V846" s="19"/>
      <c r="W846" s="19"/>
      <c r="X846" s="19"/>
    </row>
    <row r="847" spans="1:24" ht="14.25" customHeight="1" x14ac:dyDescent="0.3">
      <c r="A847" s="19"/>
      <c r="B847" s="19"/>
      <c r="C847" s="20"/>
      <c r="E847" s="28"/>
      <c r="F847" s="20"/>
      <c r="G847" s="19"/>
      <c r="H847" s="19"/>
      <c r="I847" s="19"/>
      <c r="J847" s="20"/>
      <c r="K847" s="20"/>
      <c r="L847" s="19"/>
      <c r="M847" s="19"/>
      <c r="N847" s="19"/>
      <c r="O847" s="19"/>
      <c r="P847" s="19"/>
      <c r="Q847" s="19"/>
      <c r="R847" s="19"/>
      <c r="S847" s="19"/>
      <c r="T847" s="19"/>
      <c r="U847" s="19"/>
      <c r="V847" s="19"/>
      <c r="W847" s="19"/>
      <c r="X847" s="19"/>
    </row>
    <row r="848" spans="1:24" ht="14.25" customHeight="1" x14ac:dyDescent="0.3">
      <c r="A848" s="19"/>
      <c r="B848" s="19"/>
      <c r="C848" s="20"/>
      <c r="E848" s="28"/>
      <c r="F848" s="20"/>
      <c r="G848" s="19"/>
      <c r="H848" s="19"/>
      <c r="I848" s="19"/>
      <c r="J848" s="20"/>
      <c r="K848" s="20"/>
      <c r="L848" s="19"/>
      <c r="M848" s="19"/>
      <c r="N848" s="19"/>
      <c r="O848" s="19"/>
      <c r="P848" s="19"/>
      <c r="Q848" s="19"/>
      <c r="R848" s="19"/>
      <c r="S848" s="19"/>
      <c r="T848" s="19"/>
      <c r="U848" s="19"/>
      <c r="V848" s="19"/>
      <c r="W848" s="19"/>
      <c r="X848" s="19"/>
    </row>
    <row r="849" spans="1:24" ht="14.25" customHeight="1" x14ac:dyDescent="0.3">
      <c r="A849" s="19"/>
      <c r="B849" s="19"/>
      <c r="C849" s="20"/>
      <c r="E849" s="28"/>
      <c r="F849" s="20"/>
      <c r="G849" s="19"/>
      <c r="H849" s="19"/>
      <c r="I849" s="19"/>
      <c r="J849" s="20"/>
      <c r="K849" s="20"/>
      <c r="L849" s="19"/>
      <c r="M849" s="19"/>
      <c r="N849" s="19"/>
      <c r="O849" s="19"/>
      <c r="P849" s="19"/>
      <c r="Q849" s="19"/>
      <c r="R849" s="19"/>
      <c r="S849" s="19"/>
      <c r="T849" s="19"/>
      <c r="U849" s="19"/>
      <c r="V849" s="19"/>
      <c r="W849" s="19"/>
      <c r="X849" s="19"/>
    </row>
    <row r="850" spans="1:24" ht="14.25" customHeight="1" x14ac:dyDescent="0.3">
      <c r="A850" s="19"/>
      <c r="B850" s="19"/>
      <c r="C850" s="20"/>
      <c r="E850" s="28"/>
      <c r="F850" s="20"/>
      <c r="G850" s="19"/>
      <c r="H850" s="19"/>
      <c r="I850" s="19"/>
      <c r="J850" s="20"/>
      <c r="K850" s="20"/>
      <c r="L850" s="19"/>
      <c r="M850" s="19"/>
      <c r="N850" s="19"/>
      <c r="O850" s="19"/>
      <c r="P850" s="19"/>
      <c r="Q850" s="19"/>
      <c r="R850" s="19"/>
      <c r="S850" s="19"/>
      <c r="T850" s="19"/>
      <c r="U850" s="19"/>
      <c r="V850" s="19"/>
      <c r="W850" s="19"/>
      <c r="X850" s="19"/>
    </row>
    <row r="851" spans="1:24" ht="14.25" customHeight="1" x14ac:dyDescent="0.3">
      <c r="A851" s="19"/>
      <c r="B851" s="19"/>
      <c r="C851" s="20"/>
      <c r="E851" s="28"/>
      <c r="F851" s="20"/>
      <c r="G851" s="19"/>
      <c r="H851" s="19"/>
      <c r="I851" s="19"/>
      <c r="J851" s="20"/>
      <c r="K851" s="20"/>
      <c r="L851" s="19"/>
      <c r="M851" s="19"/>
      <c r="N851" s="19"/>
      <c r="O851" s="19"/>
      <c r="P851" s="19"/>
      <c r="Q851" s="19"/>
      <c r="R851" s="19"/>
      <c r="S851" s="19"/>
      <c r="T851" s="19"/>
      <c r="U851" s="19"/>
      <c r="V851" s="19"/>
      <c r="W851" s="19"/>
      <c r="X851" s="19"/>
    </row>
    <row r="852" spans="1:24" ht="14.25" customHeight="1" x14ac:dyDescent="0.3">
      <c r="A852" s="19"/>
      <c r="B852" s="19"/>
      <c r="C852" s="20"/>
      <c r="E852" s="28"/>
      <c r="F852" s="20"/>
      <c r="G852" s="19"/>
      <c r="H852" s="19"/>
      <c r="I852" s="19"/>
      <c r="J852" s="20"/>
      <c r="K852" s="20"/>
      <c r="L852" s="19"/>
      <c r="M852" s="19"/>
      <c r="N852" s="19"/>
      <c r="O852" s="19"/>
      <c r="P852" s="19"/>
      <c r="Q852" s="19"/>
      <c r="R852" s="19"/>
      <c r="S852" s="19"/>
      <c r="T852" s="19"/>
      <c r="U852" s="19"/>
      <c r="V852" s="19"/>
      <c r="W852" s="19"/>
      <c r="X852" s="19"/>
    </row>
  </sheetData>
  <protectedRanges>
    <protectedRange sqref="J12:J14 G76:G77 H77:I77 H67:I67 J16 J24:J25 J18 G38:I38 G41:I41 G48:G49 G51 G54 G55:I57 G58 G64 G66:G67 H50 J22 H9:I9 B9:F10 I10 B19:C30 D19:I24 G26:J26 D25:F26 G25:I25 D27:J30 B31 C31:C38 D32:D35 D31:E31 E33:E35 D37:E38 G31:J31 G39:H39 D41:D43 D45 E40:E45 F31:F45 G42:H42 G43:I46 I51 G60:I63 H59:I59 H82 G72:I72 G75:I75 B11:I18 G33:I36" name="Tabel 5c"/>
    <protectedRange sqref="K61:K62 J59:K60" name="Tabel 6a"/>
    <protectedRange sqref="J19" name="Tabel 6a_1"/>
    <protectedRange sqref="B38" name="Tabel 6a_2"/>
    <protectedRange sqref="J55:J57" name="Tabel 6a_3"/>
    <protectedRange sqref="J61:J62 J63:K63" name="Tabel 6a_4"/>
    <protectedRange sqref="G9" name="Tabel 5c_1"/>
    <protectedRange sqref="G10" name="Tabel 5c_2"/>
    <protectedRange sqref="H10" name="Tabel 5c_3"/>
    <protectedRange sqref="G173" name="Tabel 5c_4"/>
  </protectedRanges>
  <autoFilter ref="A8:K180" xr:uid="{00000000-0009-0000-0000-000000000000}"/>
  <conditionalFormatting sqref="B178">
    <cfRule type="duplicateValues" dxfId="5" priority="3"/>
    <cfRule type="duplicateValues" dxfId="4" priority="4"/>
  </conditionalFormatting>
  <conditionalFormatting sqref="B179">
    <cfRule type="duplicateValues" dxfId="3" priority="1"/>
    <cfRule type="duplicateValues" dxfId="2" priority="2"/>
  </conditionalFormatting>
  <hyperlinks>
    <hyperlink ref="L11" r:id="rId1" xr:uid="{15E732A7-F13C-41CC-A607-05ED936E3EC3}"/>
    <hyperlink ref="L13" r:id="rId2" xr:uid="{CCA4F8F1-03C8-455E-9E51-3EE5C2791BC6}"/>
    <hyperlink ref="L14" r:id="rId3" xr:uid="{B026F311-6492-4C52-B9EB-34BA07EB3485}"/>
    <hyperlink ref="L15" r:id="rId4" xr:uid="{478AE029-E07A-447F-A9C3-DD513196999F}"/>
    <hyperlink ref="L16" r:id="rId5" xr:uid="{6F80EDAA-B172-49FB-9CE8-38DF3AD97443}"/>
    <hyperlink ref="L17" r:id="rId6" xr:uid="{0868FE11-D3CF-489F-8456-B9EAFE2B7D41}"/>
    <hyperlink ref="L18" r:id="rId7" xr:uid="{719553B7-BAB8-4D09-A276-ADED7A0299B9}"/>
    <hyperlink ref="L19" r:id="rId8" xr:uid="{E9B495FA-F765-4AA3-B6F4-1324426E076E}"/>
    <hyperlink ref="L21" r:id="rId9" xr:uid="{B2B337FC-159B-403A-8712-2287DB8C6588}"/>
    <hyperlink ref="L22" r:id="rId10" xr:uid="{855FD715-4F29-4BB9-9A03-3654FF0C39F6}"/>
    <hyperlink ref="L25" r:id="rId11" xr:uid="{0A8FA99E-4963-426A-BDA2-A854A405C7EC}"/>
    <hyperlink ref="L26" r:id="rId12" xr:uid="{220D9A1C-7FF7-41CA-B57D-1AED8B1749C4}"/>
    <hyperlink ref="L27" r:id="rId13" xr:uid="{2484C9A5-C1A9-42A6-94A5-560DCB5BE81A}"/>
    <hyperlink ref="L28" r:id="rId14" xr:uid="{988046D9-E512-433F-849B-12CCBD4DA62F}"/>
    <hyperlink ref="L29" r:id="rId15" xr:uid="{2D85F90F-5873-40AF-B5A5-9E4AEAB7FE8E}"/>
    <hyperlink ref="L30" r:id="rId16" xr:uid="{B67D2D4F-727E-44E2-BCEE-9BD46F3D1DB9}"/>
    <hyperlink ref="L31" r:id="rId17" xr:uid="{2E0720FD-6F6D-4FFA-81A3-C88E4E04402B}"/>
    <hyperlink ref="L32" r:id="rId18" xr:uid="{751D78D5-2588-4696-A2AF-5BC4F7F6B900}"/>
    <hyperlink ref="L33" r:id="rId19" xr:uid="{986D59B3-1931-4683-BA78-75E94CC274B1}"/>
    <hyperlink ref="L35" r:id="rId20" xr:uid="{8410939A-142E-4190-A24C-F06DFC0A9F25}"/>
    <hyperlink ref="L36" r:id="rId21" xr:uid="{AE3D5AE8-3C68-4311-8BDD-14D68B1AB669}"/>
    <hyperlink ref="L37" r:id="rId22" xr:uid="{8C98E0A9-3116-4C82-8FFE-CAA367647C35}"/>
    <hyperlink ref="L38" r:id="rId23" xr:uid="{472AB767-505D-44D3-BDCA-3170C6EAC248}"/>
    <hyperlink ref="L41" r:id="rId24" xr:uid="{DF6B118E-E7EF-4CCE-8A7C-D65CCE1509DD}"/>
    <hyperlink ref="L43" r:id="rId25" xr:uid="{1130D3D1-6EA7-4058-A3AF-4150DF29CBC9}"/>
    <hyperlink ref="L44" r:id="rId26" xr:uid="{332DA9C7-C582-4402-AA91-2C276876488C}"/>
    <hyperlink ref="L45" r:id="rId27" xr:uid="{4DC0E4F3-52DA-40DB-BE37-F6F518456FB3}"/>
    <hyperlink ref="L49" r:id="rId28" xr:uid="{E7DB0A4A-9CC2-46AC-9AC4-C239BE2A30F5}"/>
    <hyperlink ref="L50" r:id="rId29" xr:uid="{03B307E9-EC59-456D-930A-5D6C70BED673}"/>
    <hyperlink ref="L54" r:id="rId30" xr:uid="{0EB83201-7201-46F0-B9DB-81C9741E9A4F}"/>
    <hyperlink ref="L55" r:id="rId31" xr:uid="{A6D1DC17-A157-4EC7-B87D-A898274759A2}"/>
    <hyperlink ref="L57" r:id="rId32" xr:uid="{D124D8F3-0E65-4EA9-8AA7-E58E6BBD84C1}"/>
    <hyperlink ref="L58" r:id="rId33" xr:uid="{3A09B74A-B5E8-49C6-B298-094EDA132A04}"/>
    <hyperlink ref="L59" r:id="rId34" xr:uid="{77E64794-4C41-46C3-8934-8EA94EAAC01D}"/>
    <hyperlink ref="L64" r:id="rId35" xr:uid="{A9AEB1E6-FEAE-4FF4-BF02-3A2C514067DE}"/>
    <hyperlink ref="L65" r:id="rId36" xr:uid="{9C1E424B-9D54-4CE4-905D-BA14DB8ACE65}"/>
    <hyperlink ref="L67" r:id="rId37" xr:uid="{B5311A05-17D2-41CF-952A-F560FC0801FB}"/>
    <hyperlink ref="L69" r:id="rId38" xr:uid="{F64742C5-C64D-4A66-9520-212E1C9102D5}"/>
    <hyperlink ref="L70" r:id="rId39" xr:uid="{51DE9450-9348-4268-A0C3-B2C9FCD5610C}"/>
    <hyperlink ref="L71" r:id="rId40" xr:uid="{099927DF-318E-4307-9DA4-6977F945175F}"/>
    <hyperlink ref="L72" r:id="rId41" xr:uid="{F7FD3F3B-A8AE-4AE8-97CE-5E235914BFA1}"/>
    <hyperlink ref="L79" r:id="rId42" xr:uid="{1396F056-23BB-4237-96B0-9493347C2F96}"/>
    <hyperlink ref="L81" r:id="rId43" xr:uid="{A9EA646C-B914-447E-A328-CEAC8FD50F47}"/>
    <hyperlink ref="L83" r:id="rId44" xr:uid="{E64C9BCB-9ADD-46BB-943C-6E1C1CFF3D4F}"/>
    <hyperlink ref="L85" r:id="rId45" xr:uid="{84CF1E99-BA68-46E6-85AA-4689EC8681F4}"/>
    <hyperlink ref="L88" r:id="rId46" xr:uid="{F821B8CF-BE1E-402F-8E66-CD634CC93AA4}"/>
    <hyperlink ref="L89" r:id="rId47" xr:uid="{A9D8BD18-CD3A-4FC6-80D4-E63C00EA1B46}"/>
    <hyperlink ref="L77" r:id="rId48" xr:uid="{6A820056-5120-4BFB-A1F2-652A230C32F5}"/>
    <hyperlink ref="L128" r:id="rId49" xr:uid="{AD59E3EE-2696-41AB-A5B1-F553803BC118}"/>
    <hyperlink ref="L97" r:id="rId50" xr:uid="{85B28AAA-4695-42AB-83C7-3FED17143FF9}"/>
    <hyperlink ref="L98" r:id="rId51" xr:uid="{710B8B36-0AE4-49D8-B3A0-9F9565571E0E}"/>
    <hyperlink ref="L99" r:id="rId52" xr:uid="{0421B5B7-2623-497D-AF66-7B4682DC2274}"/>
    <hyperlink ref="L100" r:id="rId53" xr:uid="{763E609B-2698-4804-A0B0-9C9A23D03098}"/>
    <hyperlink ref="L102" r:id="rId54" xr:uid="{BF94A48A-A79E-418C-BF02-A43C701E1703}"/>
    <hyperlink ref="L103" r:id="rId55" xr:uid="{B5C55194-649A-4486-AC86-F47E852B9D3E}"/>
    <hyperlink ref="L104" r:id="rId56" xr:uid="{0A00D9FC-B2DA-4A33-BB98-E7EF0194EA94}"/>
    <hyperlink ref="L107" r:id="rId57" xr:uid="{8ED8B42C-E0FB-4091-9C5C-83101C68A0C2}"/>
    <hyperlink ref="L108" r:id="rId58" xr:uid="{8384FCDF-DE49-42D6-B466-DB0BDED3D48D}"/>
    <hyperlink ref="L109" r:id="rId59" xr:uid="{21DA1245-2C23-446E-8811-A36F30261893}"/>
    <hyperlink ref="L110" r:id="rId60" xr:uid="{518BCFB3-E36D-4C9F-8D78-7832C42CBDD5}"/>
    <hyperlink ref="L111" r:id="rId61" xr:uid="{9DA462E7-3633-4006-A589-ADDF11D64492}"/>
    <hyperlink ref="L112" r:id="rId62" xr:uid="{BD831F2A-07E4-456D-9D5F-61CD644AFC9B}"/>
    <hyperlink ref="L113" r:id="rId63" xr:uid="{233CC7A8-5FC7-4A54-A187-220A28687BAA}"/>
    <hyperlink ref="L114" r:id="rId64" xr:uid="{77459730-167D-4B06-A355-05FE31642524}"/>
    <hyperlink ref="L115" r:id="rId65" xr:uid="{80762FD5-2707-4933-9A28-09CC7D286076}"/>
    <hyperlink ref="L116" r:id="rId66" xr:uid="{7D8B166D-71F1-4269-826F-B0FE5A583EA6}"/>
    <hyperlink ref="L117" r:id="rId67" xr:uid="{42B6007A-D4D9-4A23-8B51-A50ADF407F21}"/>
    <hyperlink ref="L118" r:id="rId68" xr:uid="{D9F4AC4B-4FA4-4662-9EF8-49ECA1A50826}"/>
    <hyperlink ref="L119" r:id="rId69" xr:uid="{EF3BA444-EA65-4CA9-868C-96ED1EB4A6C2}"/>
    <hyperlink ref="L120" r:id="rId70" xr:uid="{AE250A16-32FA-47FC-B59C-B7A6BF257C91}"/>
    <hyperlink ref="L121" r:id="rId71" xr:uid="{EFE0FBB5-A673-41E6-9717-8748B1708FF9}"/>
    <hyperlink ref="L122" r:id="rId72" xr:uid="{66F6F91B-CA1B-433D-AA17-C21477380007}"/>
    <hyperlink ref="L123" r:id="rId73" xr:uid="{EF17FFAB-098F-45DC-803E-0CDA8FF87663}"/>
    <hyperlink ref="L124" r:id="rId74" xr:uid="{382BBF0D-8250-46A8-B6D8-4B8219E3AD10}"/>
    <hyperlink ref="L126" r:id="rId75" xr:uid="{C3868617-0927-4D27-A650-83FD8171658E}"/>
    <hyperlink ref="L73" r:id="rId76" xr:uid="{445847F3-4460-4CB8-896B-A9D484E5773E}"/>
    <hyperlink ref="L74" r:id="rId77" xr:uid="{BDCAFB53-8BC7-4AB3-8670-EA89B4966924}"/>
    <hyperlink ref="L53" r:id="rId78" xr:uid="{A2B7CC19-F968-432E-9C1B-FEE64CC5D43C}"/>
    <hyperlink ref="L90" r:id="rId79" xr:uid="{6EC21BCF-FFAC-486A-A68F-9839FC71CF49}"/>
    <hyperlink ref="L91" r:id="rId80" xr:uid="{5022056A-869A-4952-9E1D-5734E490FBA6}"/>
    <hyperlink ref="L92" r:id="rId81" xr:uid="{8A1C454E-05AF-4FE6-A493-609225CEB2F2}"/>
    <hyperlink ref="L93" r:id="rId82" xr:uid="{5EC81741-3594-4BA8-BC6C-015904D310FB}"/>
    <hyperlink ref="L129" r:id="rId83" xr:uid="{C2E9FB56-4C1B-4A98-AA3B-15D1EA6890AB}"/>
    <hyperlink ref="L132" r:id="rId84" xr:uid="{D07A1B6F-CEA9-473E-ADD6-0B7FFE235C9B}"/>
    <hyperlink ref="L134" r:id="rId85" xr:uid="{B00818AD-69BE-4609-9F67-B27216980368}"/>
    <hyperlink ref="L135" r:id="rId86" xr:uid="{730D694A-04DC-48C9-A9B9-371D62ADDCFA}"/>
    <hyperlink ref="L136" r:id="rId87" xr:uid="{FB406EF6-C806-47D5-992B-19A0814FC113}"/>
    <hyperlink ref="L137" r:id="rId88" xr:uid="{9AE530E2-7BF9-4F28-8E23-BB899283BB60}"/>
    <hyperlink ref="L139" r:id="rId89" xr:uid="{18387228-ADDD-45FF-A47F-DF34E7D36906}"/>
    <hyperlink ref="L143" r:id="rId90" xr:uid="{4A9929F4-4350-494C-9B3F-B22ED0479627}"/>
    <hyperlink ref="L148" r:id="rId91" xr:uid="{520F2FA5-56B5-47D9-8C76-A1257AAD6911}"/>
    <hyperlink ref="L149" r:id="rId92" xr:uid="{65D41937-23CC-4CD6-8A84-34ED691A09FA}"/>
    <hyperlink ref="L150" r:id="rId93" xr:uid="{FF1BB6A6-9403-4428-8A5B-8A96483EBCB1}"/>
    <hyperlink ref="L151" r:id="rId94" xr:uid="{70CAC6B9-E3B3-4E52-A54B-D9C1342D4CA5}"/>
    <hyperlink ref="L158" r:id="rId95" xr:uid="{AA216D19-7125-4D1F-8EF0-B878F0789D73}"/>
    <hyperlink ref="L160" r:id="rId96" xr:uid="{4507A435-081C-4EFE-BB15-D80136C2D0AB}"/>
    <hyperlink ref="L161" r:id="rId97" xr:uid="{443E8BAE-4D9B-467B-8B2D-842F4DD7BFD1}"/>
    <hyperlink ref="L162" r:id="rId98" xr:uid="{2666B34C-D95E-4B6D-A4C7-F9C3D60333C8}"/>
    <hyperlink ref="L163" r:id="rId99" xr:uid="{116582CD-3C71-4D5A-8016-06CB545FFB96}"/>
    <hyperlink ref="L165" r:id="rId100" xr:uid="{BC0649D0-81B5-4239-B5E4-8CD34CD6B80F}"/>
    <hyperlink ref="L166" r:id="rId101" xr:uid="{AB57391E-910F-4F0E-B9DA-EE01EADB44BC}"/>
    <hyperlink ref="L167" r:id="rId102" xr:uid="{DE842E1B-9693-4ABC-BDFD-06DD586FCB4C}"/>
    <hyperlink ref="L168" r:id="rId103" xr:uid="{604E6F86-B174-4112-BA3A-FEF95CD871E9}"/>
    <hyperlink ref="L169" r:id="rId104" xr:uid="{8C19C34F-FB13-44B4-B2FA-5226EFECC8CD}"/>
    <hyperlink ref="L170" r:id="rId105" xr:uid="{37FBB2FB-3510-42B1-A9AE-D7F9DCDA5F2E}"/>
    <hyperlink ref="L171" r:id="rId106" xr:uid="{2AB95B07-3AB0-4F9A-BA43-92AD456F75E7}"/>
    <hyperlink ref="L9" r:id="rId107" xr:uid="{66CBE818-F211-4DE3-8F0F-3F9FFB1ECE9C}"/>
    <hyperlink ref="L12" r:id="rId108" xr:uid="{CF257F95-4DDD-4B8C-BFF1-701BE39EEC34}"/>
    <hyperlink ref="L20" r:id="rId109" xr:uid="{AE8E7B0A-F84B-49CB-8233-1AE1F4E1E938}"/>
    <hyperlink ref="L23" r:id="rId110" xr:uid="{4A920803-58A3-4649-A327-B0109BDF09D6}"/>
    <hyperlink ref="L24" r:id="rId111" xr:uid="{F3018F13-F47B-49AD-B735-39014E6FCA50}"/>
    <hyperlink ref="L34" r:id="rId112" xr:uid="{4AAC4275-F3AC-48A7-B6B7-7418F73B8EF8}"/>
    <hyperlink ref="L39" r:id="rId113" xr:uid="{CEAE133C-2ED4-4824-A2E7-32AFCC5EF3A9}"/>
    <hyperlink ref="L40" r:id="rId114" xr:uid="{B64664A9-8EDD-44A1-8D30-E2D43C1F1180}"/>
    <hyperlink ref="L42" r:id="rId115" xr:uid="{1E461909-FEBF-4E87-B7B8-C37F35B7A02F}"/>
    <hyperlink ref="L46" r:id="rId116" xr:uid="{DBC657BA-0213-46A4-A0B6-175BB9873598}"/>
    <hyperlink ref="L47" r:id="rId117" xr:uid="{54E73E41-62E1-49D4-966D-0E725BF6A69F}"/>
    <hyperlink ref="L48" r:id="rId118" xr:uid="{63E05413-B73B-4EBD-9036-D78C488E35D3}"/>
    <hyperlink ref="L51" r:id="rId119" xr:uid="{FCA60FF9-DDAA-4084-A5E8-9075EE65035F}"/>
    <hyperlink ref="L52" r:id="rId120" xr:uid="{2A37D032-ED70-40C2-A0A9-2647083B9B8F}"/>
    <hyperlink ref="L56" r:id="rId121" xr:uid="{A863853B-421F-402F-BAB5-822AE545E578}"/>
    <hyperlink ref="L60" r:id="rId122" xr:uid="{8BD6D259-AB5D-4CA5-9752-34AA1E80AA8D}"/>
    <hyperlink ref="L62" r:id="rId123" xr:uid="{8FC4C626-7325-4376-8A65-43D8E4FDA31E}"/>
    <hyperlink ref="L63" r:id="rId124" xr:uid="{7B818522-386C-454C-873E-B95E79CFF414}"/>
    <hyperlink ref="L66" r:id="rId125" xr:uid="{037E73C4-CB16-49AA-9112-95616E52E833}"/>
    <hyperlink ref="L68" r:id="rId126" xr:uid="{5E46947A-6789-41E6-9CD5-16153474DFC6}"/>
    <hyperlink ref="L75" r:id="rId127" xr:uid="{93EE4DC4-962D-4539-A6A3-49F08891F2CC}"/>
    <hyperlink ref="L78" r:id="rId128" xr:uid="{D54EB61F-5673-409B-BD5D-B117DEB3C35F}"/>
    <hyperlink ref="L80" r:id="rId129" xr:uid="{135BA5BD-66C1-4428-9C75-AC0ACE3A9830}"/>
    <hyperlink ref="L84" r:id="rId130" xr:uid="{3E222B1B-D60B-48F2-82CF-F280E24A6015}"/>
    <hyperlink ref="L86" r:id="rId131" xr:uid="{1E6C17C1-2F0E-45E8-A164-A93EFF69E2B3}"/>
    <hyperlink ref="L87" r:id="rId132" xr:uid="{016976C3-A743-48D3-806F-759B5C67CE2F}"/>
    <hyperlink ref="L95" r:id="rId133" xr:uid="{5C07FB11-8AB0-4F2B-8722-D263DD0CA384}"/>
    <hyperlink ref="L96" r:id="rId134" xr:uid="{3A34031E-CD80-46F1-AFF9-2909E948B273}"/>
    <hyperlink ref="L101" r:id="rId135" xr:uid="{0F488693-B875-4B5D-B2A7-92DBD3DDD7D4}"/>
    <hyperlink ref="L105" r:id="rId136" xr:uid="{D5F1C073-7BE3-4E51-B7A2-028D74745539}"/>
    <hyperlink ref="L106" r:id="rId137" xr:uid="{3CD5E71E-8299-4E04-89A0-2D2235AC0892}"/>
    <hyperlink ref="L125" r:id="rId138" xr:uid="{644FB059-F65F-4EDF-94D9-0A188490C33F}"/>
    <hyperlink ref="L130" r:id="rId139" xr:uid="{49E91C9A-3A91-4100-BB88-E665DA89D6D9}"/>
    <hyperlink ref="L131" r:id="rId140" xr:uid="{685A9D9C-8ECD-489B-8586-2A9FB743EF69}"/>
    <hyperlink ref="L133" r:id="rId141" xr:uid="{B95037E5-C9A0-4872-8EB8-BFF4876C0DAD}"/>
    <hyperlink ref="L138" r:id="rId142" xr:uid="{BBBEDCE8-42E3-45DF-BE44-B4D0EC413567}"/>
    <hyperlink ref="L140" r:id="rId143" xr:uid="{0D772996-78A8-43AA-8709-C14B0B4A7858}"/>
    <hyperlink ref="L142" r:id="rId144" xr:uid="{9DB210D1-DF80-4429-9049-675D3BEF8303}"/>
    <hyperlink ref="L144" r:id="rId145" xr:uid="{60F25ADA-7FC4-4D64-AD65-846A03633E77}"/>
    <hyperlink ref="L146" r:id="rId146" xr:uid="{77081572-D74C-497F-8121-E2AECE7E4504}"/>
    <hyperlink ref="L147" r:id="rId147" xr:uid="{52EF4FAA-42B3-451B-91D5-257C98A35467}"/>
    <hyperlink ref="L152" r:id="rId148" xr:uid="{E971562E-5CB0-4733-9286-EFBBA014EF6B}"/>
    <hyperlink ref="L153" r:id="rId149" xr:uid="{340E6E48-2321-4F6D-BAC4-2A125BC471EF}"/>
    <hyperlink ref="L154" r:id="rId150" xr:uid="{2131105F-ECD1-4CC9-801D-77C1190189C4}"/>
    <hyperlink ref="L155" r:id="rId151" xr:uid="{1A5CF293-FBC3-4CC6-87E5-D0CF5B2CB6BD}"/>
    <hyperlink ref="L156" r:id="rId152" xr:uid="{734002F3-4AD4-46DB-BA84-C158E15D172E}"/>
    <hyperlink ref="L157" r:id="rId153" xr:uid="{0BD11D7F-9D82-4349-B019-36A67D2E84C7}"/>
    <hyperlink ref="L159" r:id="rId154" xr:uid="{8F60C97E-A941-4F0E-B274-122239E2B09F}"/>
    <hyperlink ref="L164" r:id="rId155" xr:uid="{B888B96D-0BC9-4254-A582-21CC060B7446}"/>
    <hyperlink ref="L172" r:id="rId156" xr:uid="{3313643B-D381-473A-B18F-56357905EBBC}"/>
    <hyperlink ref="L174" r:id="rId157" xr:uid="{3F46BAB9-20D0-494A-A75B-54467FA56F34}"/>
    <hyperlink ref="L175" r:id="rId158" xr:uid="{8B9F36C8-CE46-4772-9EC8-47741853383D}"/>
    <hyperlink ref="L176" r:id="rId159" xr:uid="{7CFC369F-464B-44B7-8331-7AEBA3643BB1}"/>
    <hyperlink ref="L177" r:id="rId160" xr:uid="{13629AB9-0263-4F54-A30D-8156CCDF900D}"/>
    <hyperlink ref="L61" r:id="rId161" xr:uid="{7EF34397-2B00-4531-88D7-68F73175B311}"/>
    <hyperlink ref="L178" r:id="rId162" xr:uid="{92B22838-C123-4426-8106-841F81C33C7C}"/>
    <hyperlink ref="L179" r:id="rId163" xr:uid="{0B252276-43E5-4114-AAC2-8BEED22D6BF6}"/>
    <hyperlink ref="L180" r:id="rId164" xr:uid="{3BC63D35-DD18-4C69-A96E-AC705F491951}"/>
    <hyperlink ref="B183" location="'Daftar Sheet'!A1" display="&lt;&lt;&lt; Daftar Sheet" xr:uid="{20CBF9C5-0D50-4E65-A90A-49E5DB133A4F}"/>
    <hyperlink ref="L173" r:id="rId165" xr:uid="{AA3D1C07-2C3B-4EDF-AE0C-B302BA266705}"/>
  </hyperlinks>
  <pageMargins left="0.7" right="0.7" top="0.75" bottom="0.75" header="0.3" footer="0.3"/>
  <pageSetup orientation="portrait" r:id="rId166"/>
  <drawing r:id="rId167"/>
  <legacyDrawing r:id="rId16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05CC4-C795-4881-B484-C9A1446F397F}">
  <dimension ref="A2:E72"/>
  <sheetViews>
    <sheetView zoomScale="70" zoomScaleNormal="70" workbookViewId="0">
      <selection activeCell="C9" sqref="C9"/>
    </sheetView>
  </sheetViews>
  <sheetFormatPr defaultRowHeight="14.4" x14ac:dyDescent="0.3"/>
  <cols>
    <col min="1" max="1" width="3.77734375" style="10" bestFit="1" customWidth="1"/>
    <col min="2" max="2" width="23.6640625" bestFit="1" customWidth="1"/>
    <col min="3" max="3" width="128.6640625" customWidth="1"/>
    <col min="4" max="4" width="11.44140625" style="10" bestFit="1" customWidth="1"/>
    <col min="5" max="5" width="95.44140625" style="28" bestFit="1" customWidth="1"/>
  </cols>
  <sheetData>
    <row r="2" spans="1:5" x14ac:dyDescent="0.3">
      <c r="A2" s="2" t="s">
        <v>51</v>
      </c>
      <c r="B2" s="35" t="s">
        <v>52</v>
      </c>
      <c r="C2" s="35" t="s">
        <v>1033</v>
      </c>
      <c r="D2" s="2" t="s">
        <v>1034</v>
      </c>
      <c r="E2" s="2" t="s">
        <v>137</v>
      </c>
    </row>
    <row r="3" spans="1:5" x14ac:dyDescent="0.3">
      <c r="A3" s="3">
        <v>1</v>
      </c>
      <c r="B3" s="30" t="s">
        <v>1020</v>
      </c>
      <c r="C3" s="30" t="s">
        <v>1035</v>
      </c>
      <c r="D3" s="3">
        <v>2</v>
      </c>
      <c r="E3" s="424" t="s">
        <v>1076</v>
      </c>
    </row>
    <row r="4" spans="1:5" x14ac:dyDescent="0.3">
      <c r="A4" s="3">
        <v>2</v>
      </c>
      <c r="B4" s="30" t="s">
        <v>1020</v>
      </c>
      <c r="C4" s="30" t="s">
        <v>1036</v>
      </c>
      <c r="D4" s="3">
        <v>3</v>
      </c>
      <c r="E4" s="425"/>
    </row>
    <row r="5" spans="1:5" x14ac:dyDescent="0.3">
      <c r="A5" s="3">
        <v>3</v>
      </c>
      <c r="B5" s="30" t="s">
        <v>1020</v>
      </c>
      <c r="C5" s="30" t="s">
        <v>1037</v>
      </c>
      <c r="D5" s="3">
        <v>1</v>
      </c>
      <c r="E5" s="425"/>
    </row>
    <row r="6" spans="1:5" x14ac:dyDescent="0.3">
      <c r="A6" s="3">
        <v>4</v>
      </c>
      <c r="B6" s="30" t="s">
        <v>1020</v>
      </c>
      <c r="C6" s="30" t="s">
        <v>1038</v>
      </c>
      <c r="D6" s="3">
        <v>1</v>
      </c>
      <c r="E6" s="425"/>
    </row>
    <row r="7" spans="1:5" x14ac:dyDescent="0.3">
      <c r="A7" s="3">
        <v>5</v>
      </c>
      <c r="B7" s="30" t="s">
        <v>543</v>
      </c>
      <c r="C7" s="30" t="s">
        <v>1039</v>
      </c>
      <c r="D7" s="3">
        <v>1</v>
      </c>
      <c r="E7" s="420" t="s">
        <v>1077</v>
      </c>
    </row>
    <row r="8" spans="1:5" x14ac:dyDescent="0.3">
      <c r="A8" s="3">
        <v>6</v>
      </c>
      <c r="B8" s="30" t="s">
        <v>543</v>
      </c>
      <c r="C8" s="30" t="s">
        <v>1036</v>
      </c>
      <c r="D8" s="3">
        <v>3</v>
      </c>
      <c r="E8" s="422"/>
    </row>
    <row r="9" spans="1:5" x14ac:dyDescent="0.3">
      <c r="A9" s="3">
        <v>7</v>
      </c>
      <c r="B9" s="30" t="s">
        <v>543</v>
      </c>
      <c r="C9" s="30" t="s">
        <v>1040</v>
      </c>
      <c r="D9" s="3">
        <v>1</v>
      </c>
      <c r="E9" s="422"/>
    </row>
    <row r="10" spans="1:5" x14ac:dyDescent="0.3">
      <c r="A10" s="3">
        <v>8</v>
      </c>
      <c r="B10" s="30" t="s">
        <v>543</v>
      </c>
      <c r="C10" s="30" t="s">
        <v>1041</v>
      </c>
      <c r="D10" s="3">
        <v>1</v>
      </c>
      <c r="E10" s="421"/>
    </row>
    <row r="11" spans="1:5" x14ac:dyDescent="0.3">
      <c r="A11" s="3">
        <v>9</v>
      </c>
      <c r="B11" s="30" t="s">
        <v>356</v>
      </c>
      <c r="C11" s="30" t="s">
        <v>1042</v>
      </c>
      <c r="D11" s="3">
        <v>1</v>
      </c>
      <c r="E11" s="36" t="s">
        <v>1078</v>
      </c>
    </row>
    <row r="12" spans="1:5" x14ac:dyDescent="0.3">
      <c r="A12" s="3">
        <v>10</v>
      </c>
      <c r="B12" s="30" t="s">
        <v>387</v>
      </c>
      <c r="C12" s="30" t="s">
        <v>1043</v>
      </c>
      <c r="D12" s="3">
        <v>1</v>
      </c>
      <c r="E12" s="420" t="s">
        <v>1079</v>
      </c>
    </row>
    <row r="13" spans="1:5" x14ac:dyDescent="0.3">
      <c r="A13" s="3">
        <v>11</v>
      </c>
      <c r="B13" s="30" t="s">
        <v>387</v>
      </c>
      <c r="C13" s="30" t="s">
        <v>1044</v>
      </c>
      <c r="D13" s="3">
        <v>1</v>
      </c>
      <c r="E13" s="422"/>
    </row>
    <row r="14" spans="1:5" x14ac:dyDescent="0.3">
      <c r="A14" s="3">
        <v>12</v>
      </c>
      <c r="B14" s="30" t="s">
        <v>387</v>
      </c>
      <c r="C14" s="30" t="s">
        <v>1045</v>
      </c>
      <c r="D14" s="3">
        <v>1</v>
      </c>
      <c r="E14" s="422"/>
    </row>
    <row r="15" spans="1:5" x14ac:dyDescent="0.3">
      <c r="A15" s="3">
        <v>13</v>
      </c>
      <c r="B15" s="30" t="s">
        <v>387</v>
      </c>
      <c r="C15" s="30" t="s">
        <v>1046</v>
      </c>
      <c r="D15" s="3">
        <v>1</v>
      </c>
      <c r="E15" s="422"/>
    </row>
    <row r="16" spans="1:5" x14ac:dyDescent="0.3">
      <c r="A16" s="3">
        <v>14</v>
      </c>
      <c r="B16" s="30" t="s">
        <v>387</v>
      </c>
      <c r="C16" s="30" t="s">
        <v>1047</v>
      </c>
      <c r="D16" s="3">
        <v>1</v>
      </c>
      <c r="E16" s="422"/>
    </row>
    <row r="17" spans="1:5" x14ac:dyDescent="0.3">
      <c r="A17" s="3">
        <v>15</v>
      </c>
      <c r="B17" s="30" t="s">
        <v>387</v>
      </c>
      <c r="C17" s="30" t="s">
        <v>1048</v>
      </c>
      <c r="D17" s="3">
        <v>1</v>
      </c>
      <c r="E17" s="421"/>
    </row>
    <row r="18" spans="1:5" x14ac:dyDescent="0.3">
      <c r="A18" s="3">
        <v>16</v>
      </c>
      <c r="B18" s="30" t="s">
        <v>415</v>
      </c>
      <c r="C18" s="30" t="s">
        <v>1044</v>
      </c>
      <c r="D18" s="3">
        <v>1</v>
      </c>
      <c r="E18" s="420" t="s">
        <v>1080</v>
      </c>
    </row>
    <row r="19" spans="1:5" x14ac:dyDescent="0.3">
      <c r="A19" s="3">
        <v>17</v>
      </c>
      <c r="B19" s="30" t="s">
        <v>415</v>
      </c>
      <c r="C19" s="30" t="s">
        <v>1049</v>
      </c>
      <c r="D19" s="3">
        <v>1</v>
      </c>
      <c r="E19" s="422"/>
    </row>
    <row r="20" spans="1:5" x14ac:dyDescent="0.3">
      <c r="A20" s="3">
        <v>18</v>
      </c>
      <c r="B20" s="30" t="s">
        <v>415</v>
      </c>
      <c r="C20" s="30" t="s">
        <v>1050</v>
      </c>
      <c r="D20" s="3">
        <v>2</v>
      </c>
      <c r="E20" s="422"/>
    </row>
    <row r="21" spans="1:5" x14ac:dyDescent="0.3">
      <c r="A21" s="3">
        <v>19</v>
      </c>
      <c r="B21" s="30" t="s">
        <v>415</v>
      </c>
      <c r="C21" s="30" t="s">
        <v>1051</v>
      </c>
      <c r="D21" s="3">
        <v>4</v>
      </c>
      <c r="E21" s="422"/>
    </row>
    <row r="22" spans="1:5" x14ac:dyDescent="0.3">
      <c r="A22" s="3">
        <v>20</v>
      </c>
      <c r="B22" s="30" t="s">
        <v>415</v>
      </c>
      <c r="C22" s="30" t="s">
        <v>1052</v>
      </c>
      <c r="D22" s="3">
        <v>1</v>
      </c>
      <c r="E22" s="422"/>
    </row>
    <row r="23" spans="1:5" x14ac:dyDescent="0.3">
      <c r="A23" s="3">
        <v>21</v>
      </c>
      <c r="B23" s="30" t="s">
        <v>415</v>
      </c>
      <c r="C23" s="30" t="s">
        <v>1053</v>
      </c>
      <c r="D23" s="3">
        <v>3</v>
      </c>
      <c r="E23" s="421"/>
    </row>
    <row r="24" spans="1:5" x14ac:dyDescent="0.3">
      <c r="A24" s="3">
        <v>22</v>
      </c>
      <c r="B24" s="30" t="s">
        <v>1027</v>
      </c>
      <c r="C24" s="30" t="s">
        <v>1054</v>
      </c>
      <c r="D24" s="3">
        <v>3</v>
      </c>
      <c r="E24" s="420" t="s">
        <v>1082</v>
      </c>
    </row>
    <row r="25" spans="1:5" x14ac:dyDescent="0.3">
      <c r="A25" s="3">
        <v>23</v>
      </c>
      <c r="B25" s="30" t="s">
        <v>1027</v>
      </c>
      <c r="C25" s="30" t="s">
        <v>1055</v>
      </c>
      <c r="D25" s="3">
        <v>1</v>
      </c>
      <c r="E25" s="421"/>
    </row>
    <row r="26" spans="1:5" x14ac:dyDescent="0.3">
      <c r="A26" s="3">
        <v>24</v>
      </c>
      <c r="B26" s="30" t="s">
        <v>1058</v>
      </c>
      <c r="C26" s="30" t="s">
        <v>1059</v>
      </c>
      <c r="D26" s="3">
        <v>2</v>
      </c>
      <c r="E26" s="36" t="s">
        <v>1083</v>
      </c>
    </row>
    <row r="27" spans="1:5" x14ac:dyDescent="0.3">
      <c r="A27" s="3">
        <v>25</v>
      </c>
      <c r="B27" s="30" t="s">
        <v>572</v>
      </c>
      <c r="C27" s="30" t="s">
        <v>1060</v>
      </c>
      <c r="D27" s="3">
        <v>4</v>
      </c>
      <c r="E27" s="420" t="s">
        <v>1081</v>
      </c>
    </row>
    <row r="28" spans="1:5" x14ac:dyDescent="0.3">
      <c r="A28" s="3">
        <v>26</v>
      </c>
      <c r="B28" s="30" t="s">
        <v>572</v>
      </c>
      <c r="C28" s="30" t="s">
        <v>1061</v>
      </c>
      <c r="D28" s="3">
        <v>1</v>
      </c>
      <c r="E28" s="423"/>
    </row>
    <row r="29" spans="1:5" x14ac:dyDescent="0.3">
      <c r="A29" s="3">
        <v>27</v>
      </c>
      <c r="B29" s="30" t="s">
        <v>401</v>
      </c>
      <c r="C29" s="30" t="s">
        <v>1062</v>
      </c>
      <c r="D29" s="3">
        <v>1</v>
      </c>
      <c r="E29" s="420" t="s">
        <v>1084</v>
      </c>
    </row>
    <row r="30" spans="1:5" x14ac:dyDescent="0.3">
      <c r="A30" s="3">
        <v>28</v>
      </c>
      <c r="B30" s="30" t="s">
        <v>401</v>
      </c>
      <c r="C30" s="30" t="s">
        <v>1063</v>
      </c>
      <c r="D30" s="3">
        <v>1</v>
      </c>
      <c r="E30" s="422"/>
    </row>
    <row r="31" spans="1:5" x14ac:dyDescent="0.3">
      <c r="A31" s="3">
        <v>29</v>
      </c>
      <c r="B31" s="30" t="s">
        <v>401</v>
      </c>
      <c r="C31" s="30" t="s">
        <v>1064</v>
      </c>
      <c r="D31" s="3">
        <v>1</v>
      </c>
      <c r="E31" s="422"/>
    </row>
    <row r="32" spans="1:5" x14ac:dyDescent="0.3">
      <c r="A32" s="3">
        <v>30</v>
      </c>
      <c r="B32" s="30" t="s">
        <v>401</v>
      </c>
      <c r="C32" s="30" t="s">
        <v>1065</v>
      </c>
      <c r="D32" s="3">
        <v>1</v>
      </c>
      <c r="E32" s="422"/>
    </row>
    <row r="33" spans="1:5" x14ac:dyDescent="0.3">
      <c r="A33" s="3">
        <v>31</v>
      </c>
      <c r="B33" s="30" t="s">
        <v>401</v>
      </c>
      <c r="C33" s="30" t="s">
        <v>1066</v>
      </c>
      <c r="D33" s="3">
        <v>5</v>
      </c>
      <c r="E33" s="421"/>
    </row>
    <row r="34" spans="1:5" x14ac:dyDescent="0.3">
      <c r="A34" s="3">
        <v>32</v>
      </c>
      <c r="B34" s="30" t="s">
        <v>366</v>
      </c>
      <c r="C34" s="30" t="s">
        <v>1043</v>
      </c>
      <c r="D34" s="3">
        <v>1</v>
      </c>
      <c r="E34" s="420" t="s">
        <v>1085</v>
      </c>
    </row>
    <row r="35" spans="1:5" x14ac:dyDescent="0.3">
      <c r="A35" s="3">
        <v>33</v>
      </c>
      <c r="B35" s="30" t="s">
        <v>366</v>
      </c>
      <c r="C35" s="30" t="s">
        <v>1062</v>
      </c>
      <c r="D35" s="3">
        <v>1</v>
      </c>
      <c r="E35" s="422"/>
    </row>
    <row r="36" spans="1:5" x14ac:dyDescent="0.3">
      <c r="A36" s="3">
        <v>34</v>
      </c>
      <c r="B36" s="30" t="s">
        <v>366</v>
      </c>
      <c r="C36" s="30" t="s">
        <v>1056</v>
      </c>
      <c r="D36" s="3">
        <v>1</v>
      </c>
      <c r="E36" s="422"/>
    </row>
    <row r="37" spans="1:5" x14ac:dyDescent="0.3">
      <c r="A37" s="3">
        <v>35</v>
      </c>
      <c r="B37" s="30" t="s">
        <v>366</v>
      </c>
      <c r="C37" s="30" t="s">
        <v>1063</v>
      </c>
      <c r="D37" s="3">
        <v>1</v>
      </c>
      <c r="E37" s="422"/>
    </row>
    <row r="38" spans="1:5" x14ac:dyDescent="0.3">
      <c r="A38" s="3">
        <v>36</v>
      </c>
      <c r="B38" s="30" t="s">
        <v>366</v>
      </c>
      <c r="C38" s="30" t="s">
        <v>1046</v>
      </c>
      <c r="D38" s="3">
        <v>1</v>
      </c>
      <c r="E38" s="422"/>
    </row>
    <row r="39" spans="1:5" x14ac:dyDescent="0.3">
      <c r="A39" s="3">
        <v>37</v>
      </c>
      <c r="B39" s="30" t="s">
        <v>366</v>
      </c>
      <c r="C39" s="30" t="s">
        <v>1047</v>
      </c>
      <c r="D39" s="3">
        <v>1</v>
      </c>
      <c r="E39" s="422"/>
    </row>
    <row r="40" spans="1:5" x14ac:dyDescent="0.3">
      <c r="A40" s="3">
        <v>38</v>
      </c>
      <c r="B40" s="30" t="s">
        <v>366</v>
      </c>
      <c r="C40" s="30" t="s">
        <v>1064</v>
      </c>
      <c r="D40" s="3">
        <v>1</v>
      </c>
      <c r="E40" s="422"/>
    </row>
    <row r="41" spans="1:5" x14ac:dyDescent="0.3">
      <c r="A41" s="3">
        <v>39</v>
      </c>
      <c r="B41" s="30" t="s">
        <v>366</v>
      </c>
      <c r="C41" s="30" t="s">
        <v>1067</v>
      </c>
      <c r="D41" s="3">
        <v>1</v>
      </c>
      <c r="E41" s="421"/>
    </row>
    <row r="42" spans="1:5" x14ac:dyDescent="0.3">
      <c r="A42" s="3">
        <v>40</v>
      </c>
      <c r="B42" s="30" t="s">
        <v>607</v>
      </c>
      <c r="C42" s="30" t="s">
        <v>1062</v>
      </c>
      <c r="D42" s="3">
        <v>1</v>
      </c>
      <c r="E42" s="420" t="s">
        <v>1086</v>
      </c>
    </row>
    <row r="43" spans="1:5" x14ac:dyDescent="0.3">
      <c r="A43" s="3">
        <v>41</v>
      </c>
      <c r="B43" s="30" t="s">
        <v>607</v>
      </c>
      <c r="C43" s="30" t="s">
        <v>1063</v>
      </c>
      <c r="D43" s="3">
        <v>1</v>
      </c>
      <c r="E43" s="422"/>
    </row>
    <row r="44" spans="1:5" x14ac:dyDescent="0.3">
      <c r="A44" s="3">
        <v>42</v>
      </c>
      <c r="B44" s="30" t="s">
        <v>607</v>
      </c>
      <c r="C44" s="30" t="s">
        <v>1064</v>
      </c>
      <c r="D44" s="3">
        <v>1</v>
      </c>
      <c r="E44" s="422"/>
    </row>
    <row r="45" spans="1:5" x14ac:dyDescent="0.3">
      <c r="A45" s="3">
        <v>43</v>
      </c>
      <c r="B45" s="30" t="s">
        <v>607</v>
      </c>
      <c r="C45" s="30" t="s">
        <v>1065</v>
      </c>
      <c r="D45" s="3">
        <v>1</v>
      </c>
      <c r="E45" s="422"/>
    </row>
    <row r="46" spans="1:5" x14ac:dyDescent="0.3">
      <c r="A46" s="3">
        <v>44</v>
      </c>
      <c r="B46" s="30" t="s">
        <v>607</v>
      </c>
      <c r="C46" s="30" t="s">
        <v>1066</v>
      </c>
      <c r="D46" s="3">
        <v>5</v>
      </c>
      <c r="E46" s="421"/>
    </row>
    <row r="47" spans="1:5" x14ac:dyDescent="0.3">
      <c r="A47" s="3">
        <v>45</v>
      </c>
      <c r="B47" s="30" t="s">
        <v>91</v>
      </c>
      <c r="C47" s="30" t="s">
        <v>1068</v>
      </c>
      <c r="D47" s="3">
        <v>1</v>
      </c>
      <c r="E47" s="420" t="s">
        <v>1087</v>
      </c>
    </row>
    <row r="48" spans="1:5" x14ac:dyDescent="0.3">
      <c r="A48" s="3">
        <v>46</v>
      </c>
      <c r="B48" s="30" t="s">
        <v>91</v>
      </c>
      <c r="C48" s="30" t="s">
        <v>1069</v>
      </c>
      <c r="D48" s="3">
        <v>1</v>
      </c>
      <c r="E48" s="422"/>
    </row>
    <row r="49" spans="1:5" x14ac:dyDescent="0.3">
      <c r="A49" s="3">
        <v>47</v>
      </c>
      <c r="B49" s="30" t="s">
        <v>91</v>
      </c>
      <c r="C49" s="30" t="s">
        <v>1070</v>
      </c>
      <c r="D49" s="3">
        <v>3</v>
      </c>
      <c r="E49" s="422"/>
    </row>
    <row r="50" spans="1:5" x14ac:dyDescent="0.3">
      <c r="A50" s="3">
        <v>48</v>
      </c>
      <c r="B50" s="30" t="s">
        <v>91</v>
      </c>
      <c r="C50" s="30" t="s">
        <v>1071</v>
      </c>
      <c r="D50" s="3">
        <v>4</v>
      </c>
      <c r="E50" s="421"/>
    </row>
    <row r="51" spans="1:5" x14ac:dyDescent="0.3">
      <c r="A51" s="3">
        <v>49</v>
      </c>
      <c r="B51" s="30" t="s">
        <v>1028</v>
      </c>
      <c r="C51" s="30" t="s">
        <v>1072</v>
      </c>
      <c r="D51" s="3">
        <v>4</v>
      </c>
      <c r="E51" s="36" t="s">
        <v>1088</v>
      </c>
    </row>
    <row r="52" spans="1:5" x14ac:dyDescent="0.3">
      <c r="A52" s="3">
        <v>50</v>
      </c>
      <c r="B52" s="30" t="s">
        <v>370</v>
      </c>
      <c r="C52" s="30" t="s">
        <v>1056</v>
      </c>
      <c r="D52" s="3">
        <v>1</v>
      </c>
      <c r="E52" s="420" t="s">
        <v>1089</v>
      </c>
    </row>
    <row r="53" spans="1:5" x14ac:dyDescent="0.3">
      <c r="A53" s="3">
        <v>51</v>
      </c>
      <c r="B53" s="30" t="s">
        <v>370</v>
      </c>
      <c r="C53" s="30" t="s">
        <v>1057</v>
      </c>
      <c r="D53" s="3">
        <v>1</v>
      </c>
      <c r="E53" s="423"/>
    </row>
    <row r="54" spans="1:5" x14ac:dyDescent="0.3">
      <c r="A54" s="3">
        <v>52</v>
      </c>
      <c r="B54" s="30" t="s">
        <v>1023</v>
      </c>
      <c r="C54" s="30" t="s">
        <v>1057</v>
      </c>
      <c r="D54" s="3">
        <v>1</v>
      </c>
      <c r="E54" s="36" t="s">
        <v>1090</v>
      </c>
    </row>
    <row r="55" spans="1:5" x14ac:dyDescent="0.3">
      <c r="A55" s="3">
        <v>53</v>
      </c>
      <c r="B55" s="30" t="s">
        <v>538</v>
      </c>
      <c r="C55" s="30" t="s">
        <v>1067</v>
      </c>
      <c r="D55" s="3">
        <v>1</v>
      </c>
      <c r="E55" s="420" t="s">
        <v>1091</v>
      </c>
    </row>
    <row r="56" spans="1:5" x14ac:dyDescent="0.3">
      <c r="A56" s="3">
        <v>54</v>
      </c>
      <c r="B56" s="30" t="s">
        <v>538</v>
      </c>
      <c r="C56" s="30" t="s">
        <v>1046</v>
      </c>
      <c r="D56" s="3">
        <v>1</v>
      </c>
      <c r="E56" s="422"/>
    </row>
    <row r="57" spans="1:5" x14ac:dyDescent="0.3">
      <c r="A57" s="3">
        <v>55</v>
      </c>
      <c r="B57" s="30" t="s">
        <v>538</v>
      </c>
      <c r="C57" s="30" t="s">
        <v>1045</v>
      </c>
      <c r="D57" s="3">
        <v>1</v>
      </c>
      <c r="E57" s="422"/>
    </row>
    <row r="58" spans="1:5" x14ac:dyDescent="0.3">
      <c r="A58" s="3">
        <v>56</v>
      </c>
      <c r="B58" s="30" t="s">
        <v>538</v>
      </c>
      <c r="C58" s="30" t="s">
        <v>1043</v>
      </c>
      <c r="D58" s="3">
        <v>1</v>
      </c>
      <c r="E58" s="422"/>
    </row>
    <row r="59" spans="1:5" x14ac:dyDescent="0.3">
      <c r="A59" s="3">
        <v>57</v>
      </c>
      <c r="B59" s="30" t="s">
        <v>538</v>
      </c>
      <c r="C59" s="30" t="s">
        <v>1073</v>
      </c>
      <c r="D59" s="3">
        <v>2</v>
      </c>
      <c r="E59" s="421"/>
    </row>
    <row r="60" spans="1:5" x14ac:dyDescent="0.3">
      <c r="A60" s="3">
        <v>58</v>
      </c>
      <c r="B60" s="30" t="s">
        <v>1031</v>
      </c>
      <c r="C60" s="30" t="s">
        <v>1073</v>
      </c>
      <c r="D60" s="3">
        <v>2</v>
      </c>
      <c r="E60" s="420" t="s">
        <v>1092</v>
      </c>
    </row>
    <row r="61" spans="1:5" x14ac:dyDescent="0.3">
      <c r="A61" s="3">
        <v>59</v>
      </c>
      <c r="B61" s="30" t="s">
        <v>1031</v>
      </c>
      <c r="C61" s="30" t="s">
        <v>1074</v>
      </c>
      <c r="D61" s="3">
        <v>1</v>
      </c>
      <c r="E61" s="421"/>
    </row>
    <row r="62" spans="1:5" x14ac:dyDescent="0.3">
      <c r="A62" s="3">
        <v>60</v>
      </c>
      <c r="B62" s="30" t="s">
        <v>412</v>
      </c>
      <c r="C62" s="30" t="s">
        <v>1075</v>
      </c>
      <c r="D62" s="3">
        <v>1</v>
      </c>
      <c r="E62" s="420" t="s">
        <v>1093</v>
      </c>
    </row>
    <row r="63" spans="1:5" x14ac:dyDescent="0.3">
      <c r="A63" s="3">
        <v>61</v>
      </c>
      <c r="B63" s="30" t="s">
        <v>412</v>
      </c>
      <c r="C63" s="30" t="s">
        <v>1043</v>
      </c>
      <c r="D63" s="3">
        <v>1</v>
      </c>
      <c r="E63" s="422"/>
    </row>
    <row r="64" spans="1:5" x14ac:dyDescent="0.3">
      <c r="A64" s="3">
        <v>62</v>
      </c>
      <c r="B64" s="30" t="s">
        <v>412</v>
      </c>
      <c r="C64" s="30" t="s">
        <v>1040</v>
      </c>
      <c r="D64" s="3">
        <v>1</v>
      </c>
      <c r="E64" s="422"/>
    </row>
    <row r="65" spans="1:5" x14ac:dyDescent="0.3">
      <c r="A65" s="3">
        <v>63</v>
      </c>
      <c r="B65" s="30" t="s">
        <v>412</v>
      </c>
      <c r="C65" s="30" t="s">
        <v>1045</v>
      </c>
      <c r="D65" s="3">
        <v>1</v>
      </c>
      <c r="E65" s="422"/>
    </row>
    <row r="66" spans="1:5" x14ac:dyDescent="0.3">
      <c r="A66" s="3">
        <v>64</v>
      </c>
      <c r="B66" s="30" t="s">
        <v>412</v>
      </c>
      <c r="C66" s="30" t="s">
        <v>1046</v>
      </c>
      <c r="D66" s="3">
        <v>1</v>
      </c>
      <c r="E66" s="422"/>
    </row>
    <row r="67" spans="1:5" x14ac:dyDescent="0.3">
      <c r="A67" s="3">
        <v>65</v>
      </c>
      <c r="B67" s="30" t="s">
        <v>412</v>
      </c>
      <c r="C67" s="30" t="s">
        <v>1047</v>
      </c>
      <c r="D67" s="3">
        <v>1</v>
      </c>
      <c r="E67" s="422"/>
    </row>
    <row r="68" spans="1:5" x14ac:dyDescent="0.3">
      <c r="A68" s="3">
        <v>66</v>
      </c>
      <c r="B68" s="260" t="s">
        <v>412</v>
      </c>
      <c r="C68" s="30" t="s">
        <v>1039</v>
      </c>
      <c r="D68" s="3">
        <v>1</v>
      </c>
      <c r="E68" s="421"/>
    </row>
    <row r="69" spans="1:5" x14ac:dyDescent="0.3">
      <c r="A69" s="3">
        <v>67</v>
      </c>
      <c r="B69" s="234" t="s">
        <v>546</v>
      </c>
      <c r="C69" s="30" t="s">
        <v>3902</v>
      </c>
      <c r="D69" s="3">
        <v>1</v>
      </c>
      <c r="E69" s="125" t="s">
        <v>3903</v>
      </c>
    </row>
    <row r="72" spans="1:5" ht="23.4" x14ac:dyDescent="0.3">
      <c r="B72" s="312" t="s">
        <v>4039</v>
      </c>
    </row>
  </sheetData>
  <mergeCells count="14">
    <mergeCell ref="E3:E6"/>
    <mergeCell ref="E7:E10"/>
    <mergeCell ref="E12:E17"/>
    <mergeCell ref="E18:E23"/>
    <mergeCell ref="E27:E28"/>
    <mergeCell ref="E24:E25"/>
    <mergeCell ref="E60:E61"/>
    <mergeCell ref="E62:E68"/>
    <mergeCell ref="E29:E33"/>
    <mergeCell ref="E34:E41"/>
    <mergeCell ref="E42:E46"/>
    <mergeCell ref="E47:E50"/>
    <mergeCell ref="E52:E53"/>
    <mergeCell ref="E55:E59"/>
  </mergeCells>
  <hyperlinks>
    <hyperlink ref="E3" r:id="rId1" xr:uid="{ED0CF122-B82A-4029-91E4-A988390DAA37}"/>
    <hyperlink ref="E7" r:id="rId2" xr:uid="{DBE99DF4-9B60-448A-824F-07D6E109C004}"/>
    <hyperlink ref="E11" r:id="rId3" xr:uid="{7739C78B-17D5-45CA-B4F1-97E1A43A85D3}"/>
    <hyperlink ref="E12" r:id="rId4" xr:uid="{4E2B8D0A-7A58-4597-A3B3-EAA290CBEC76}"/>
    <hyperlink ref="E18" r:id="rId5" xr:uid="{0DCB4C21-4728-4719-8825-27A10745E039}"/>
    <hyperlink ref="E27" r:id="rId6" xr:uid="{3ED61CF0-B21C-4B7C-A5EE-A0AC6A11A493}"/>
    <hyperlink ref="E24" r:id="rId7" xr:uid="{10744814-02A8-4406-B116-5FD5B340C929}"/>
    <hyperlink ref="E26" r:id="rId8" xr:uid="{BB96600A-1D3A-4772-A97C-F5C29522C7F3}"/>
    <hyperlink ref="E29" r:id="rId9" xr:uid="{B7627615-25C2-454F-9F15-F994BDBA6F33}"/>
    <hyperlink ref="E34" r:id="rId10" xr:uid="{E8026521-A306-4D1A-AD37-423E8F90EAC8}"/>
    <hyperlink ref="E42" r:id="rId11" xr:uid="{9722D817-C0E0-408B-AE0D-81A2B7270B34}"/>
    <hyperlink ref="E47" r:id="rId12" xr:uid="{D6592FB1-1CEB-4735-9928-446F45989569}"/>
    <hyperlink ref="E51" r:id="rId13" xr:uid="{AFD25515-F91B-4F43-A32A-C7AD12A3461D}"/>
    <hyperlink ref="E52" r:id="rId14" xr:uid="{190458F0-1669-4B4C-BFA6-ED8350354064}"/>
    <hyperlink ref="E54" r:id="rId15" xr:uid="{959E9BF6-92C2-4196-A9A2-09204ABE80B4}"/>
    <hyperlink ref="E55" r:id="rId16" xr:uid="{6B01E442-E02C-42B2-8FAB-253BADB36EEF}"/>
    <hyperlink ref="E60" r:id="rId17" xr:uid="{64172FAB-A823-476D-8658-A0649876287B}"/>
    <hyperlink ref="E62" r:id="rId18" xr:uid="{FEAF2600-A11D-4262-996C-34CA226DF14B}"/>
    <hyperlink ref="E69" r:id="rId19" xr:uid="{216C73EF-5AD4-4825-BE9E-609F372EC02D}"/>
    <hyperlink ref="B72" location="'Daftar Sheet'!A1" display="&lt;&lt;&lt; Daftar Sheet" xr:uid="{232AE127-B899-4409-87FF-FCD9B8FFF12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395A-6C88-493F-B0EE-DE898FF05213}">
  <dimension ref="A1:F89"/>
  <sheetViews>
    <sheetView zoomScale="70" zoomScaleNormal="70" workbookViewId="0">
      <pane xSplit="1" ySplit="1" topLeftCell="B2" activePane="bottomRight" state="frozen"/>
      <selection activeCell="D46" sqref="D46"/>
      <selection pane="topRight" activeCell="D46" sqref="D46"/>
      <selection pane="bottomLeft" activeCell="D46" sqref="D46"/>
      <selection pane="bottomRight" activeCell="B12" sqref="B12"/>
    </sheetView>
  </sheetViews>
  <sheetFormatPr defaultRowHeight="14.4" x14ac:dyDescent="0.3"/>
  <cols>
    <col min="1" max="1" width="3.21875" style="1" bestFit="1" customWidth="1"/>
    <col min="2" max="2" width="185.88671875" bestFit="1" customWidth="1"/>
    <col min="3" max="3" width="37.88671875" style="1" bestFit="1" customWidth="1"/>
    <col min="4" max="4" width="19.44140625" style="10" bestFit="1" customWidth="1"/>
    <col min="5" max="5" width="23.77734375" style="10" customWidth="1"/>
    <col min="6" max="6" width="83.21875" style="26" customWidth="1"/>
  </cols>
  <sheetData>
    <row r="1" spans="1:6" ht="31.05" customHeight="1" x14ac:dyDescent="0.3">
      <c r="A1" s="2" t="s">
        <v>0</v>
      </c>
      <c r="B1" s="104" t="s">
        <v>1202</v>
      </c>
      <c r="C1" s="391" t="s">
        <v>135</v>
      </c>
      <c r="D1" s="105" t="s">
        <v>1203</v>
      </c>
      <c r="E1" s="2" t="s">
        <v>1204</v>
      </c>
      <c r="F1" s="41" t="s">
        <v>137</v>
      </c>
    </row>
    <row r="2" spans="1:6" x14ac:dyDescent="0.3">
      <c r="A2" s="35" t="s">
        <v>1205</v>
      </c>
      <c r="B2" s="134" t="s">
        <v>1206</v>
      </c>
      <c r="C2" s="391"/>
      <c r="D2" s="141"/>
      <c r="E2" s="118"/>
      <c r="F2" s="44"/>
    </row>
    <row r="3" spans="1:6" x14ac:dyDescent="0.3">
      <c r="A3" s="3">
        <v>1</v>
      </c>
      <c r="B3" s="135" t="s">
        <v>1207</v>
      </c>
      <c r="C3" s="33"/>
      <c r="D3" s="235">
        <v>44074</v>
      </c>
      <c r="E3" s="3" t="s">
        <v>1208</v>
      </c>
      <c r="F3" s="7" t="s">
        <v>1352</v>
      </c>
    </row>
    <row r="4" spans="1:6" x14ac:dyDescent="0.3">
      <c r="A4" s="42">
        <v>2</v>
      </c>
      <c r="B4" s="136" t="s">
        <v>1209</v>
      </c>
      <c r="C4" s="33"/>
      <c r="D4" s="236">
        <v>44937</v>
      </c>
      <c r="E4" s="3" t="s">
        <v>1210</v>
      </c>
      <c r="F4" s="45" t="s">
        <v>1353</v>
      </c>
    </row>
    <row r="5" spans="1:6" x14ac:dyDescent="0.3">
      <c r="A5" s="42">
        <v>3</v>
      </c>
      <c r="B5" s="136" t="s">
        <v>2113</v>
      </c>
      <c r="C5" s="33"/>
      <c r="D5" s="237" t="s">
        <v>2115</v>
      </c>
      <c r="E5" s="238" t="s">
        <v>2114</v>
      </c>
      <c r="F5" s="45" t="s">
        <v>2116</v>
      </c>
    </row>
    <row r="6" spans="1:6" x14ac:dyDescent="0.3">
      <c r="A6" s="35" t="s">
        <v>1211</v>
      </c>
      <c r="B6" s="137" t="s">
        <v>1212</v>
      </c>
      <c r="C6" s="147"/>
      <c r="D6" s="105" t="s">
        <v>1203</v>
      </c>
      <c r="E6" s="43" t="s">
        <v>1351</v>
      </c>
      <c r="F6" s="46"/>
    </row>
    <row r="7" spans="1:6" x14ac:dyDescent="0.3">
      <c r="A7" s="3">
        <v>1</v>
      </c>
      <c r="B7" s="138" t="s">
        <v>1213</v>
      </c>
      <c r="C7" s="148"/>
      <c r="D7" s="142">
        <v>43852</v>
      </c>
      <c r="E7" s="129" t="s">
        <v>1214</v>
      </c>
      <c r="F7" s="7" t="s">
        <v>1354</v>
      </c>
    </row>
    <row r="8" spans="1:6" x14ac:dyDescent="0.3">
      <c r="A8" s="3">
        <v>2</v>
      </c>
      <c r="B8" s="138" t="s">
        <v>1215</v>
      </c>
      <c r="C8" s="148"/>
      <c r="D8" s="142">
        <v>43852</v>
      </c>
      <c r="E8" s="129" t="s">
        <v>1216</v>
      </c>
      <c r="F8" s="7" t="s">
        <v>1355</v>
      </c>
    </row>
    <row r="9" spans="1:6" x14ac:dyDescent="0.3">
      <c r="A9" s="3">
        <v>3</v>
      </c>
      <c r="B9" s="138" t="s">
        <v>1217</v>
      </c>
      <c r="C9" s="148"/>
      <c r="D9" s="142">
        <v>44104</v>
      </c>
      <c r="E9" s="129" t="s">
        <v>1218</v>
      </c>
      <c r="F9" s="7" t="s">
        <v>1356</v>
      </c>
    </row>
    <row r="10" spans="1:6" x14ac:dyDescent="0.3">
      <c r="A10" s="3">
        <v>4</v>
      </c>
      <c r="B10" s="138" t="s">
        <v>1219</v>
      </c>
      <c r="C10" s="148"/>
      <c r="D10" s="142">
        <v>43851</v>
      </c>
      <c r="E10" s="129" t="s">
        <v>1220</v>
      </c>
      <c r="F10" s="7" t="s">
        <v>2320</v>
      </c>
    </row>
    <row r="11" spans="1:6" x14ac:dyDescent="0.3">
      <c r="A11" s="3">
        <v>5</v>
      </c>
      <c r="B11" s="138" t="s">
        <v>1221</v>
      </c>
      <c r="C11" s="148"/>
      <c r="D11" s="142">
        <v>43851</v>
      </c>
      <c r="E11" s="129" t="s">
        <v>1222</v>
      </c>
      <c r="F11" s="7" t="s">
        <v>1357</v>
      </c>
    </row>
    <row r="12" spans="1:6" x14ac:dyDescent="0.3">
      <c r="A12" s="3">
        <v>6</v>
      </c>
      <c r="B12" s="138" t="s">
        <v>1223</v>
      </c>
      <c r="C12" s="148"/>
      <c r="D12" s="142">
        <v>43851</v>
      </c>
      <c r="E12" s="129" t="s">
        <v>1224</v>
      </c>
      <c r="F12" s="7" t="s">
        <v>1358</v>
      </c>
    </row>
    <row r="13" spans="1:6" x14ac:dyDescent="0.3">
      <c r="A13" s="3">
        <v>7</v>
      </c>
      <c r="B13" s="138" t="s">
        <v>1225</v>
      </c>
      <c r="C13" s="148"/>
      <c r="D13" s="142">
        <v>44124</v>
      </c>
      <c r="E13" s="129" t="s">
        <v>1226</v>
      </c>
      <c r="F13" s="7" t="s">
        <v>1359</v>
      </c>
    </row>
    <row r="14" spans="1:6" x14ac:dyDescent="0.3">
      <c r="A14" s="3">
        <v>8</v>
      </c>
      <c r="B14" s="138" t="s">
        <v>1227</v>
      </c>
      <c r="C14" s="148"/>
      <c r="D14" s="142">
        <v>43865</v>
      </c>
      <c r="E14" s="129" t="s">
        <v>1228</v>
      </c>
      <c r="F14" s="7" t="s">
        <v>1360</v>
      </c>
    </row>
    <row r="15" spans="1:6" ht="27.6" x14ac:dyDescent="0.3">
      <c r="A15" s="3">
        <v>9</v>
      </c>
      <c r="B15" s="149" t="s">
        <v>1229</v>
      </c>
      <c r="C15" s="148"/>
      <c r="D15" s="142">
        <v>44084</v>
      </c>
      <c r="E15" s="129" t="s">
        <v>1230</v>
      </c>
      <c r="F15" s="7" t="s">
        <v>1361</v>
      </c>
    </row>
    <row r="16" spans="1:6" x14ac:dyDescent="0.3">
      <c r="A16" s="3">
        <v>10</v>
      </c>
      <c r="B16" s="138" t="s">
        <v>1231</v>
      </c>
      <c r="C16" s="148"/>
      <c r="D16" s="142">
        <v>43864</v>
      </c>
      <c r="E16" s="129" t="s">
        <v>1232</v>
      </c>
      <c r="F16" s="7" t="s">
        <v>1362</v>
      </c>
    </row>
    <row r="17" spans="1:6" x14ac:dyDescent="0.3">
      <c r="A17" s="3">
        <v>11</v>
      </c>
      <c r="B17" s="138" t="s">
        <v>2254</v>
      </c>
      <c r="C17" s="148"/>
      <c r="D17" s="142">
        <v>43867</v>
      </c>
      <c r="E17" s="129" t="s">
        <v>1233</v>
      </c>
      <c r="F17" s="7" t="s">
        <v>1363</v>
      </c>
    </row>
    <row r="18" spans="1:6" x14ac:dyDescent="0.3">
      <c r="A18" s="3">
        <v>12</v>
      </c>
      <c r="B18" s="138" t="s">
        <v>1234</v>
      </c>
      <c r="C18" s="148"/>
      <c r="D18" s="142">
        <v>43852</v>
      </c>
      <c r="E18" s="129" t="s">
        <v>1235</v>
      </c>
      <c r="F18" s="7" t="s">
        <v>1364</v>
      </c>
    </row>
    <row r="19" spans="1:6" x14ac:dyDescent="0.3">
      <c r="A19" s="3">
        <v>13</v>
      </c>
      <c r="B19" s="138" t="s">
        <v>1236</v>
      </c>
      <c r="C19" s="148"/>
      <c r="D19" s="142">
        <v>44095</v>
      </c>
      <c r="E19" s="129" t="s">
        <v>1237</v>
      </c>
      <c r="F19" s="7" t="s">
        <v>1365</v>
      </c>
    </row>
    <row r="20" spans="1:6" x14ac:dyDescent="0.3">
      <c r="A20" s="3">
        <v>14</v>
      </c>
      <c r="B20" s="138" t="s">
        <v>1238</v>
      </c>
      <c r="C20" s="148"/>
      <c r="D20" s="142">
        <v>44096</v>
      </c>
      <c r="E20" s="129" t="s">
        <v>1239</v>
      </c>
      <c r="F20" s="7" t="s">
        <v>1366</v>
      </c>
    </row>
    <row r="21" spans="1:6" x14ac:dyDescent="0.3">
      <c r="A21" s="3">
        <v>15</v>
      </c>
      <c r="B21" s="138" t="s">
        <v>1240</v>
      </c>
      <c r="C21" s="148"/>
      <c r="D21" s="142">
        <v>44097</v>
      </c>
      <c r="E21" s="129" t="s">
        <v>1241</v>
      </c>
      <c r="F21" s="7" t="s">
        <v>1367</v>
      </c>
    </row>
    <row r="22" spans="1:6" x14ac:dyDescent="0.3">
      <c r="A22" s="3">
        <v>16</v>
      </c>
      <c r="B22" s="138" t="s">
        <v>1242</v>
      </c>
      <c r="C22" s="148"/>
      <c r="D22" s="142">
        <v>44098</v>
      </c>
      <c r="E22" s="129" t="s">
        <v>1243</v>
      </c>
      <c r="F22" s="7" t="s">
        <v>1368</v>
      </c>
    </row>
    <row r="23" spans="1:6" x14ac:dyDescent="0.3">
      <c r="A23" s="3">
        <v>17</v>
      </c>
      <c r="B23" s="138" t="s">
        <v>1244</v>
      </c>
      <c r="C23" s="148"/>
      <c r="D23" s="142">
        <v>44102</v>
      </c>
      <c r="E23" s="129" t="s">
        <v>1245</v>
      </c>
      <c r="F23" s="7" t="s">
        <v>1369</v>
      </c>
    </row>
    <row r="24" spans="1:6" x14ac:dyDescent="0.3">
      <c r="A24" s="3">
        <v>18</v>
      </c>
      <c r="B24" s="138" t="s">
        <v>1246</v>
      </c>
      <c r="C24" s="148"/>
      <c r="D24" s="142">
        <v>44103</v>
      </c>
      <c r="E24" s="129" t="s">
        <v>1247</v>
      </c>
      <c r="F24" s="7" t="s">
        <v>1370</v>
      </c>
    </row>
    <row r="25" spans="1:6" x14ac:dyDescent="0.3">
      <c r="A25" s="3">
        <v>19</v>
      </c>
      <c r="B25" s="138" t="s">
        <v>1248</v>
      </c>
      <c r="C25" s="148"/>
      <c r="D25" s="142">
        <v>44109</v>
      </c>
      <c r="E25" s="129" t="s">
        <v>1249</v>
      </c>
      <c r="F25" s="7" t="s">
        <v>1371</v>
      </c>
    </row>
    <row r="26" spans="1:6" x14ac:dyDescent="0.3">
      <c r="A26" s="3">
        <v>20</v>
      </c>
      <c r="B26" s="138" t="s">
        <v>1250</v>
      </c>
      <c r="C26" s="148" t="s">
        <v>147</v>
      </c>
      <c r="D26" s="142">
        <v>44412</v>
      </c>
      <c r="E26" s="129" t="s">
        <v>1251</v>
      </c>
      <c r="F26" s="7" t="s">
        <v>1372</v>
      </c>
    </row>
    <row r="27" spans="1:6" x14ac:dyDescent="0.3">
      <c r="A27" s="3">
        <v>21</v>
      </c>
      <c r="B27" s="138" t="s">
        <v>1252</v>
      </c>
      <c r="C27" s="148"/>
      <c r="D27" s="142">
        <v>44426</v>
      </c>
      <c r="E27" s="129" t="s">
        <v>1253</v>
      </c>
      <c r="F27" s="7" t="s">
        <v>1373</v>
      </c>
    </row>
    <row r="28" spans="1:6" x14ac:dyDescent="0.3">
      <c r="A28" s="3">
        <v>22</v>
      </c>
      <c r="B28" s="138" t="s">
        <v>1254</v>
      </c>
      <c r="C28" s="148" t="s">
        <v>1741</v>
      </c>
      <c r="D28" s="142">
        <v>44414</v>
      </c>
      <c r="E28" s="129" t="s">
        <v>1255</v>
      </c>
      <c r="F28" s="7" t="s">
        <v>1374</v>
      </c>
    </row>
    <row r="29" spans="1:6" x14ac:dyDescent="0.3">
      <c r="A29" s="3">
        <v>23</v>
      </c>
      <c r="B29" s="138" t="s">
        <v>1256</v>
      </c>
      <c r="C29" s="148"/>
      <c r="D29" s="142">
        <v>44405</v>
      </c>
      <c r="E29" s="129" t="s">
        <v>1257</v>
      </c>
      <c r="F29" s="7" t="s">
        <v>1375</v>
      </c>
    </row>
    <row r="30" spans="1:6" x14ac:dyDescent="0.3">
      <c r="A30" s="3">
        <v>24</v>
      </c>
      <c r="B30" s="138" t="s">
        <v>1258</v>
      </c>
      <c r="C30" s="148"/>
      <c r="D30" s="142">
        <v>44426</v>
      </c>
      <c r="E30" s="129" t="s">
        <v>1259</v>
      </c>
      <c r="F30" s="7" t="s">
        <v>1376</v>
      </c>
    </row>
    <row r="31" spans="1:6" x14ac:dyDescent="0.3">
      <c r="A31" s="3">
        <v>25</v>
      </c>
      <c r="B31" s="138" t="s">
        <v>1260</v>
      </c>
      <c r="C31" s="148"/>
      <c r="D31" s="142">
        <v>44426</v>
      </c>
      <c r="E31" s="129" t="s">
        <v>1261</v>
      </c>
      <c r="F31" s="7" t="s">
        <v>1377</v>
      </c>
    </row>
    <row r="32" spans="1:6" x14ac:dyDescent="0.3">
      <c r="A32" s="3">
        <v>26</v>
      </c>
      <c r="B32" s="138" t="s">
        <v>1262</v>
      </c>
      <c r="C32" s="148"/>
      <c r="D32" s="142">
        <v>44412</v>
      </c>
      <c r="E32" s="129" t="s">
        <v>1263</v>
      </c>
      <c r="F32" s="7" t="s">
        <v>1378</v>
      </c>
    </row>
    <row r="33" spans="1:6" x14ac:dyDescent="0.3">
      <c r="A33" s="3">
        <v>27</v>
      </c>
      <c r="B33" s="138" t="s">
        <v>1264</v>
      </c>
      <c r="C33" s="148"/>
      <c r="D33" s="142">
        <v>44411</v>
      </c>
      <c r="E33" s="129" t="s">
        <v>1265</v>
      </c>
      <c r="F33" s="7" t="s">
        <v>1379</v>
      </c>
    </row>
    <row r="34" spans="1:6" x14ac:dyDescent="0.3">
      <c r="A34" s="3">
        <v>28</v>
      </c>
      <c r="B34" s="138" t="s">
        <v>1266</v>
      </c>
      <c r="C34" s="148"/>
      <c r="D34" s="142">
        <v>44426</v>
      </c>
      <c r="E34" s="129" t="s">
        <v>1267</v>
      </c>
      <c r="F34" s="7" t="s">
        <v>1379</v>
      </c>
    </row>
    <row r="35" spans="1:6" x14ac:dyDescent="0.3">
      <c r="A35" s="3">
        <v>29</v>
      </c>
      <c r="B35" s="138" t="s">
        <v>1268</v>
      </c>
      <c r="C35" s="148" t="s">
        <v>211</v>
      </c>
      <c r="D35" s="142">
        <v>44429</v>
      </c>
      <c r="E35" s="129" t="s">
        <v>1269</v>
      </c>
      <c r="F35" s="7" t="s">
        <v>1380</v>
      </c>
    </row>
    <row r="36" spans="1:6" x14ac:dyDescent="0.3">
      <c r="A36" s="3">
        <v>30</v>
      </c>
      <c r="B36" s="138" t="s">
        <v>1270</v>
      </c>
      <c r="C36" s="148"/>
      <c r="D36" s="142">
        <v>44411</v>
      </c>
      <c r="E36" s="129" t="s">
        <v>1271</v>
      </c>
      <c r="F36" s="7" t="s">
        <v>1381</v>
      </c>
    </row>
    <row r="37" spans="1:6" x14ac:dyDescent="0.3">
      <c r="A37" s="3">
        <v>31</v>
      </c>
      <c r="B37" s="138" t="s">
        <v>1272</v>
      </c>
      <c r="C37" s="148" t="s">
        <v>1738</v>
      </c>
      <c r="D37" s="142">
        <v>44808</v>
      </c>
      <c r="E37" s="129" t="s">
        <v>1273</v>
      </c>
      <c r="F37" s="7" t="s">
        <v>1382</v>
      </c>
    </row>
    <row r="38" spans="1:6" x14ac:dyDescent="0.3">
      <c r="A38" s="3">
        <v>32</v>
      </c>
      <c r="B38" s="138" t="s">
        <v>1274</v>
      </c>
      <c r="C38" s="148" t="s">
        <v>1739</v>
      </c>
      <c r="D38" s="142">
        <v>44806</v>
      </c>
      <c r="E38" s="129" t="s">
        <v>1275</v>
      </c>
      <c r="F38" s="7" t="s">
        <v>1383</v>
      </c>
    </row>
    <row r="39" spans="1:6" x14ac:dyDescent="0.3">
      <c r="A39" s="3">
        <v>33</v>
      </c>
      <c r="B39" s="138" t="s">
        <v>1276</v>
      </c>
      <c r="C39" s="148" t="s">
        <v>1740</v>
      </c>
      <c r="D39" s="142">
        <v>44808</v>
      </c>
      <c r="E39" s="129" t="s">
        <v>1277</v>
      </c>
      <c r="F39" s="7" t="s">
        <v>1384</v>
      </c>
    </row>
    <row r="40" spans="1:6" x14ac:dyDescent="0.3">
      <c r="A40" s="3">
        <v>34</v>
      </c>
      <c r="B40" s="138" t="s">
        <v>1278</v>
      </c>
      <c r="C40" s="148"/>
      <c r="D40" s="142">
        <v>44786</v>
      </c>
      <c r="E40" s="129" t="s">
        <v>1279</v>
      </c>
      <c r="F40" s="7" t="s">
        <v>1385</v>
      </c>
    </row>
    <row r="41" spans="1:6" x14ac:dyDescent="0.3">
      <c r="A41" s="3">
        <v>35</v>
      </c>
      <c r="B41" s="138" t="s">
        <v>1280</v>
      </c>
      <c r="C41" s="148"/>
      <c r="D41" s="142">
        <v>44826</v>
      </c>
      <c r="E41" s="129" t="s">
        <v>1281</v>
      </c>
      <c r="F41" s="7" t="s">
        <v>1386</v>
      </c>
    </row>
    <row r="42" spans="1:6" x14ac:dyDescent="0.3">
      <c r="A42" s="42">
        <v>36</v>
      </c>
      <c r="B42" s="139" t="s">
        <v>1282</v>
      </c>
      <c r="C42" s="148" t="s">
        <v>1742</v>
      </c>
      <c r="D42" s="143">
        <v>44808</v>
      </c>
      <c r="E42" s="130" t="s">
        <v>1283</v>
      </c>
      <c r="F42" s="45" t="s">
        <v>1387</v>
      </c>
    </row>
    <row r="43" spans="1:6" x14ac:dyDescent="0.3">
      <c r="A43" s="33">
        <v>37</v>
      </c>
      <c r="B43" s="135" t="s">
        <v>1714</v>
      </c>
      <c r="C43" s="33"/>
      <c r="D43" s="144" t="s">
        <v>1711</v>
      </c>
      <c r="E43" s="132" t="s">
        <v>1712</v>
      </c>
      <c r="F43" s="7" t="s">
        <v>1713</v>
      </c>
    </row>
    <row r="44" spans="1:6" x14ac:dyDescent="0.3">
      <c r="A44" s="33">
        <v>38</v>
      </c>
      <c r="B44" s="135" t="s">
        <v>1715</v>
      </c>
      <c r="C44" s="33"/>
      <c r="D44" s="144" t="s">
        <v>1711</v>
      </c>
      <c r="E44" s="132" t="s">
        <v>1716</v>
      </c>
      <c r="F44" s="7" t="s">
        <v>1717</v>
      </c>
    </row>
    <row r="45" spans="1:6" x14ac:dyDescent="0.3">
      <c r="A45" s="33">
        <v>39</v>
      </c>
      <c r="B45" s="135" t="s">
        <v>1731</v>
      </c>
      <c r="C45" s="33" t="s">
        <v>2329</v>
      </c>
      <c r="D45" s="145" t="s">
        <v>1718</v>
      </c>
      <c r="E45" s="132" t="s">
        <v>1719</v>
      </c>
      <c r="F45" s="7" t="s">
        <v>1720</v>
      </c>
    </row>
    <row r="46" spans="1:6" x14ac:dyDescent="0.3">
      <c r="A46" s="33">
        <v>40</v>
      </c>
      <c r="B46" s="135" t="s">
        <v>1732</v>
      </c>
      <c r="C46" s="33" t="s">
        <v>2325</v>
      </c>
      <c r="D46" s="144">
        <v>44935</v>
      </c>
      <c r="E46" s="132" t="s">
        <v>1721</v>
      </c>
      <c r="F46" s="7" t="s">
        <v>1722</v>
      </c>
    </row>
    <row r="47" spans="1:6" x14ac:dyDescent="0.3">
      <c r="A47" s="33">
        <v>41</v>
      </c>
      <c r="B47" s="135" t="s">
        <v>1733</v>
      </c>
      <c r="C47" s="33"/>
      <c r="D47" s="144">
        <v>45269</v>
      </c>
      <c r="E47" s="132" t="s">
        <v>1723</v>
      </c>
      <c r="F47" s="7" t="s">
        <v>1724</v>
      </c>
    </row>
    <row r="48" spans="1:6" x14ac:dyDescent="0.3">
      <c r="A48" s="128" t="s">
        <v>1284</v>
      </c>
      <c r="B48" s="140" t="s">
        <v>1350</v>
      </c>
      <c r="C48" s="147"/>
      <c r="D48" s="146" t="s">
        <v>1348</v>
      </c>
      <c r="E48" s="127" t="s">
        <v>1349</v>
      </c>
      <c r="F48" s="41" t="s">
        <v>137</v>
      </c>
    </row>
    <row r="49" spans="1:6" x14ac:dyDescent="0.3">
      <c r="A49" s="3">
        <v>1</v>
      </c>
      <c r="B49" s="138" t="s">
        <v>1285</v>
      </c>
      <c r="C49" s="148" t="s">
        <v>165</v>
      </c>
      <c r="D49" s="142">
        <v>44097</v>
      </c>
      <c r="E49" s="129" t="s">
        <v>1286</v>
      </c>
      <c r="F49" s="7" t="s">
        <v>1388</v>
      </c>
    </row>
    <row r="50" spans="1:6" x14ac:dyDescent="0.3">
      <c r="A50" s="3">
        <v>2</v>
      </c>
      <c r="B50" s="138" t="s">
        <v>1287</v>
      </c>
      <c r="C50" s="148" t="s">
        <v>1747</v>
      </c>
      <c r="D50" s="142">
        <v>43850</v>
      </c>
      <c r="E50" s="129" t="s">
        <v>1288</v>
      </c>
      <c r="F50" s="7" t="s">
        <v>1389</v>
      </c>
    </row>
    <row r="51" spans="1:6" x14ac:dyDescent="0.3">
      <c r="A51" s="3">
        <v>3</v>
      </c>
      <c r="B51" s="138" t="s">
        <v>1289</v>
      </c>
      <c r="C51" s="148"/>
      <c r="D51" s="142">
        <v>44098</v>
      </c>
      <c r="E51" s="129" t="s">
        <v>1290</v>
      </c>
      <c r="F51" s="7" t="s">
        <v>1390</v>
      </c>
    </row>
    <row r="52" spans="1:6" x14ac:dyDescent="0.3">
      <c r="A52" s="3">
        <v>4</v>
      </c>
      <c r="B52" s="138" t="s">
        <v>1291</v>
      </c>
      <c r="C52" s="148" t="s">
        <v>741</v>
      </c>
      <c r="D52" s="142">
        <v>44074</v>
      </c>
      <c r="E52" s="129" t="s">
        <v>1292</v>
      </c>
      <c r="F52" s="7" t="s">
        <v>1391</v>
      </c>
    </row>
    <row r="53" spans="1:6" x14ac:dyDescent="0.3">
      <c r="A53" s="3">
        <v>5</v>
      </c>
      <c r="B53" s="138" t="s">
        <v>1293</v>
      </c>
      <c r="C53" s="148"/>
      <c r="D53" s="142">
        <v>44097</v>
      </c>
      <c r="E53" s="129" t="s">
        <v>1294</v>
      </c>
      <c r="F53" s="7" t="s">
        <v>1392</v>
      </c>
    </row>
    <row r="54" spans="1:6" s="26" customFormat="1" ht="13.95" customHeight="1" x14ac:dyDescent="0.3">
      <c r="A54" s="3">
        <v>6</v>
      </c>
      <c r="B54" s="149" t="s">
        <v>1295</v>
      </c>
      <c r="C54" s="251" t="s">
        <v>1751</v>
      </c>
      <c r="D54" s="142">
        <v>44064</v>
      </c>
      <c r="E54" s="129" t="s">
        <v>1296</v>
      </c>
      <c r="F54" s="7" t="s">
        <v>1393</v>
      </c>
    </row>
    <row r="55" spans="1:6" x14ac:dyDescent="0.3">
      <c r="A55" s="3">
        <v>7</v>
      </c>
      <c r="B55" s="138" t="s">
        <v>1297</v>
      </c>
      <c r="C55" s="148"/>
      <c r="D55" s="142">
        <v>44074</v>
      </c>
      <c r="E55" s="129" t="s">
        <v>1298</v>
      </c>
      <c r="F55" s="7" t="s">
        <v>1394</v>
      </c>
    </row>
    <row r="56" spans="1:6" x14ac:dyDescent="0.3">
      <c r="A56" s="3">
        <v>8</v>
      </c>
      <c r="B56" s="138" t="s">
        <v>1299</v>
      </c>
      <c r="C56" s="148"/>
      <c r="D56" s="142">
        <v>44103</v>
      </c>
      <c r="E56" s="129" t="s">
        <v>1300</v>
      </c>
      <c r="F56" s="7" t="s">
        <v>1395</v>
      </c>
    </row>
    <row r="57" spans="1:6" x14ac:dyDescent="0.3">
      <c r="A57" s="3">
        <v>9</v>
      </c>
      <c r="B57" s="138" t="s">
        <v>1301</v>
      </c>
      <c r="C57" s="148"/>
      <c r="D57" s="142">
        <v>43851</v>
      </c>
      <c r="E57" s="129" t="s">
        <v>1302</v>
      </c>
      <c r="F57" s="7" t="s">
        <v>1396</v>
      </c>
    </row>
    <row r="58" spans="1:6" x14ac:dyDescent="0.3">
      <c r="A58" s="3">
        <v>10</v>
      </c>
      <c r="B58" s="138" t="s">
        <v>1303</v>
      </c>
      <c r="C58" s="148"/>
      <c r="D58" s="142">
        <v>43851</v>
      </c>
      <c r="E58" s="129" t="s">
        <v>1304</v>
      </c>
      <c r="F58" s="7" t="s">
        <v>1397</v>
      </c>
    </row>
    <row r="59" spans="1:6" x14ac:dyDescent="0.3">
      <c r="A59" s="3">
        <v>11</v>
      </c>
      <c r="B59" s="138" t="s">
        <v>1305</v>
      </c>
      <c r="C59" s="148"/>
      <c r="D59" s="142">
        <v>43851</v>
      </c>
      <c r="E59" s="129" t="s">
        <v>1306</v>
      </c>
      <c r="F59" s="7" t="s">
        <v>1398</v>
      </c>
    </row>
    <row r="60" spans="1:6" x14ac:dyDescent="0.3">
      <c r="A60" s="3">
        <v>12</v>
      </c>
      <c r="B60" s="138" t="s">
        <v>1307</v>
      </c>
      <c r="C60" s="148" t="s">
        <v>1744</v>
      </c>
      <c r="D60" s="142">
        <v>44458</v>
      </c>
      <c r="E60" s="129" t="s">
        <v>1308</v>
      </c>
      <c r="F60" s="7" t="s">
        <v>1399</v>
      </c>
    </row>
    <row r="61" spans="1:6" x14ac:dyDescent="0.3">
      <c r="A61" s="3">
        <v>13</v>
      </c>
      <c r="B61" s="138" t="s">
        <v>1309</v>
      </c>
      <c r="C61" s="148"/>
      <c r="D61" s="142">
        <v>44396</v>
      </c>
      <c r="E61" s="129" t="s">
        <v>1310</v>
      </c>
      <c r="F61" s="7" t="s">
        <v>1400</v>
      </c>
    </row>
    <row r="62" spans="1:6" x14ac:dyDescent="0.3">
      <c r="A62" s="3">
        <v>14</v>
      </c>
      <c r="B62" s="138" t="s">
        <v>1311</v>
      </c>
      <c r="C62" s="148" t="s">
        <v>1746</v>
      </c>
      <c r="D62" s="142">
        <v>44378</v>
      </c>
      <c r="E62" s="129" t="s">
        <v>1312</v>
      </c>
      <c r="F62" s="7" t="s">
        <v>1401</v>
      </c>
    </row>
    <row r="63" spans="1:6" x14ac:dyDescent="0.3">
      <c r="A63" s="3">
        <v>15</v>
      </c>
      <c r="B63" s="138" t="s">
        <v>1313</v>
      </c>
      <c r="C63" s="148" t="s">
        <v>1750</v>
      </c>
      <c r="D63" s="142">
        <v>44427</v>
      </c>
      <c r="E63" s="129" t="s">
        <v>1314</v>
      </c>
      <c r="F63" s="7" t="s">
        <v>1402</v>
      </c>
    </row>
    <row r="64" spans="1:6" x14ac:dyDescent="0.3">
      <c r="A64" s="3">
        <v>16</v>
      </c>
      <c r="B64" s="138" t="s">
        <v>1315</v>
      </c>
      <c r="C64" s="148" t="s">
        <v>1741</v>
      </c>
      <c r="D64" s="142">
        <v>44439</v>
      </c>
      <c r="E64" s="129" t="s">
        <v>1316</v>
      </c>
      <c r="F64" s="7" t="s">
        <v>1403</v>
      </c>
    </row>
    <row r="65" spans="1:6" x14ac:dyDescent="0.3">
      <c r="A65" s="3">
        <v>17</v>
      </c>
      <c r="B65" s="138" t="s">
        <v>1317</v>
      </c>
      <c r="C65" s="148"/>
      <c r="D65" s="142">
        <v>44426</v>
      </c>
      <c r="E65" s="129" t="s">
        <v>1318</v>
      </c>
      <c r="F65" s="7" t="s">
        <v>1404</v>
      </c>
    </row>
    <row r="66" spans="1:6" x14ac:dyDescent="0.3">
      <c r="A66" s="3">
        <v>18</v>
      </c>
      <c r="B66" s="138" t="s">
        <v>1319</v>
      </c>
      <c r="C66" s="148" t="s">
        <v>1748</v>
      </c>
      <c r="D66" s="142">
        <v>44411</v>
      </c>
      <c r="E66" s="129" t="s">
        <v>1320</v>
      </c>
      <c r="F66" s="7" t="s">
        <v>1405</v>
      </c>
    </row>
    <row r="67" spans="1:6" x14ac:dyDescent="0.3">
      <c r="A67" s="3">
        <v>19</v>
      </c>
      <c r="B67" s="138" t="s">
        <v>1321</v>
      </c>
      <c r="C67" s="148" t="s">
        <v>147</v>
      </c>
      <c r="D67" s="142">
        <v>44439</v>
      </c>
      <c r="E67" s="129" t="s">
        <v>1322</v>
      </c>
      <c r="F67" s="7" t="s">
        <v>1406</v>
      </c>
    </row>
    <row r="68" spans="1:6" x14ac:dyDescent="0.3">
      <c r="A68" s="3">
        <v>20</v>
      </c>
      <c r="B68" s="138" t="s">
        <v>1323</v>
      </c>
      <c r="C68" s="148" t="s">
        <v>147</v>
      </c>
      <c r="D68" s="142">
        <v>44366</v>
      </c>
      <c r="E68" s="129" t="s">
        <v>1324</v>
      </c>
      <c r="F68" s="7" t="s">
        <v>1407</v>
      </c>
    </row>
    <row r="69" spans="1:6" x14ac:dyDescent="0.3">
      <c r="A69" s="3">
        <v>21</v>
      </c>
      <c r="B69" s="138" t="s">
        <v>1325</v>
      </c>
      <c r="C69" s="33" t="s">
        <v>1749</v>
      </c>
      <c r="D69" s="142">
        <v>44458</v>
      </c>
      <c r="E69" s="129" t="s">
        <v>1326</v>
      </c>
      <c r="F69" s="7" t="s">
        <v>1408</v>
      </c>
    </row>
    <row r="70" spans="1:6" x14ac:dyDescent="0.3">
      <c r="A70" s="3">
        <v>22</v>
      </c>
      <c r="B70" s="138" t="s">
        <v>1327</v>
      </c>
      <c r="C70" s="148" t="s">
        <v>211</v>
      </c>
      <c r="D70" s="142">
        <v>44439</v>
      </c>
      <c r="E70" s="129" t="s">
        <v>1328</v>
      </c>
      <c r="F70" s="7" t="s">
        <v>1409</v>
      </c>
    </row>
    <row r="71" spans="1:6" x14ac:dyDescent="0.3">
      <c r="A71" s="3">
        <v>23</v>
      </c>
      <c r="B71" s="138" t="s">
        <v>1329</v>
      </c>
      <c r="C71" s="148" t="s">
        <v>1752</v>
      </c>
      <c r="D71" s="142">
        <v>44362</v>
      </c>
      <c r="E71" s="129" t="s">
        <v>1330</v>
      </c>
      <c r="F71" s="7" t="s">
        <v>1410</v>
      </c>
    </row>
    <row r="72" spans="1:6" x14ac:dyDescent="0.3">
      <c r="A72" s="3">
        <v>24</v>
      </c>
      <c r="B72" s="138" t="s">
        <v>1331</v>
      </c>
      <c r="C72" s="148"/>
      <c r="D72" s="142">
        <v>44093</v>
      </c>
      <c r="E72" s="129" t="s">
        <v>1332</v>
      </c>
      <c r="F72" s="7" t="s">
        <v>1411</v>
      </c>
    </row>
    <row r="73" spans="1:6" x14ac:dyDescent="0.3">
      <c r="A73" s="3">
        <v>25</v>
      </c>
      <c r="B73" s="138" t="s">
        <v>1333</v>
      </c>
      <c r="C73" s="148" t="s">
        <v>1743</v>
      </c>
      <c r="D73" s="142">
        <v>44914</v>
      </c>
      <c r="E73" s="129" t="s">
        <v>1334</v>
      </c>
      <c r="F73" s="7" t="s">
        <v>1412</v>
      </c>
    </row>
    <row r="74" spans="1:6" x14ac:dyDescent="0.3">
      <c r="A74" s="3">
        <v>26</v>
      </c>
      <c r="B74" s="138" t="s">
        <v>1335</v>
      </c>
      <c r="C74" s="148" t="s">
        <v>1739</v>
      </c>
      <c r="D74" s="142">
        <v>44806</v>
      </c>
      <c r="E74" s="129" t="s">
        <v>1336</v>
      </c>
      <c r="F74" s="7" t="s">
        <v>1413</v>
      </c>
    </row>
    <row r="75" spans="1:6" x14ac:dyDescent="0.3">
      <c r="A75" s="3">
        <v>27</v>
      </c>
      <c r="B75" s="138" t="s">
        <v>1337</v>
      </c>
      <c r="C75" s="148" t="s">
        <v>1753</v>
      </c>
      <c r="D75" s="142">
        <v>44862</v>
      </c>
      <c r="E75" s="129" t="s">
        <v>1338</v>
      </c>
      <c r="F75" s="7" t="s">
        <v>1414</v>
      </c>
    </row>
    <row r="76" spans="1:6" x14ac:dyDescent="0.3">
      <c r="A76" s="3">
        <v>28</v>
      </c>
      <c r="B76" s="138" t="s">
        <v>1339</v>
      </c>
      <c r="C76" s="148" t="s">
        <v>1740</v>
      </c>
      <c r="D76" s="142">
        <v>44812</v>
      </c>
      <c r="E76" s="131" t="s">
        <v>1340</v>
      </c>
      <c r="F76" s="7" t="s">
        <v>1415</v>
      </c>
    </row>
    <row r="77" spans="1:6" x14ac:dyDescent="0.3">
      <c r="A77" s="3">
        <v>29</v>
      </c>
      <c r="B77" s="138" t="s">
        <v>1341</v>
      </c>
      <c r="C77" s="148" t="s">
        <v>1745</v>
      </c>
      <c r="D77" s="142">
        <v>44808</v>
      </c>
      <c r="E77" s="131" t="s">
        <v>1342</v>
      </c>
      <c r="F77" s="7" t="s">
        <v>1416</v>
      </c>
    </row>
    <row r="78" spans="1:6" x14ac:dyDescent="0.3">
      <c r="A78" s="3">
        <v>30</v>
      </c>
      <c r="B78" s="138" t="s">
        <v>1343</v>
      </c>
      <c r="C78" s="148"/>
      <c r="D78" s="142">
        <v>44826</v>
      </c>
      <c r="E78" s="131" t="s">
        <v>2205</v>
      </c>
      <c r="F78" s="7" t="s">
        <v>2204</v>
      </c>
    </row>
    <row r="79" spans="1:6" x14ac:dyDescent="0.3">
      <c r="A79" s="3">
        <v>31</v>
      </c>
      <c r="B79" s="138" t="s">
        <v>1344</v>
      </c>
      <c r="C79" s="148"/>
      <c r="D79" s="142">
        <v>43864</v>
      </c>
      <c r="E79" s="131" t="s">
        <v>1345</v>
      </c>
      <c r="F79" s="7" t="s">
        <v>1417</v>
      </c>
    </row>
    <row r="80" spans="1:6" x14ac:dyDescent="0.3">
      <c r="A80" s="42">
        <v>32</v>
      </c>
      <c r="B80" s="139" t="s">
        <v>1346</v>
      </c>
      <c r="C80" s="148" t="s">
        <v>147</v>
      </c>
      <c r="D80" s="143">
        <v>44074</v>
      </c>
      <c r="E80" s="133" t="s">
        <v>1347</v>
      </c>
      <c r="F80" s="45" t="s">
        <v>1418</v>
      </c>
    </row>
    <row r="81" spans="1:6" x14ac:dyDescent="0.3">
      <c r="A81" s="33">
        <v>33</v>
      </c>
      <c r="B81" s="135" t="s">
        <v>1727</v>
      </c>
      <c r="C81" s="33" t="s">
        <v>1754</v>
      </c>
      <c r="D81" s="144" t="s">
        <v>1711</v>
      </c>
      <c r="E81" s="3" t="s">
        <v>1725</v>
      </c>
      <c r="F81" s="7" t="s">
        <v>1726</v>
      </c>
    </row>
    <row r="82" spans="1:6" x14ac:dyDescent="0.3">
      <c r="A82" s="33">
        <v>34</v>
      </c>
      <c r="B82" s="135" t="s">
        <v>1728</v>
      </c>
      <c r="C82" s="33" t="s">
        <v>2332</v>
      </c>
      <c r="D82" s="144" t="s">
        <v>1711</v>
      </c>
      <c r="E82" s="3" t="s">
        <v>1729</v>
      </c>
      <c r="F82" s="7" t="s">
        <v>1730</v>
      </c>
    </row>
    <row r="83" spans="1:6" x14ac:dyDescent="0.3">
      <c r="A83" s="33">
        <v>35</v>
      </c>
      <c r="B83" s="234" t="s">
        <v>2326</v>
      </c>
      <c r="C83" s="33"/>
      <c r="D83" s="5">
        <v>45269</v>
      </c>
      <c r="E83" s="3" t="s">
        <v>2321</v>
      </c>
      <c r="F83" s="7" t="s">
        <v>2322</v>
      </c>
    </row>
    <row r="84" spans="1:6" x14ac:dyDescent="0.3">
      <c r="A84" s="33">
        <v>36</v>
      </c>
      <c r="B84" s="234" t="s">
        <v>2324</v>
      </c>
      <c r="C84" s="33" t="s">
        <v>2325</v>
      </c>
      <c r="D84" s="5">
        <v>44935</v>
      </c>
      <c r="E84" s="3" t="s">
        <v>2323</v>
      </c>
      <c r="F84" s="7" t="s">
        <v>2327</v>
      </c>
    </row>
    <row r="85" spans="1:6" x14ac:dyDescent="0.3">
      <c r="A85" s="33">
        <v>37</v>
      </c>
      <c r="B85" s="234" t="s">
        <v>2328</v>
      </c>
      <c r="C85" s="33" t="s">
        <v>2329</v>
      </c>
      <c r="D85" s="3" t="s">
        <v>1718</v>
      </c>
      <c r="E85" s="3" t="s">
        <v>2330</v>
      </c>
      <c r="F85" s="7" t="s">
        <v>2331</v>
      </c>
    </row>
    <row r="86" spans="1:6" x14ac:dyDescent="0.3">
      <c r="A86" s="33">
        <v>38</v>
      </c>
      <c r="B86" s="234" t="s">
        <v>2341</v>
      </c>
      <c r="C86" s="33"/>
      <c r="D86" s="252">
        <v>44351</v>
      </c>
      <c r="E86" s="148" t="s">
        <v>2342</v>
      </c>
      <c r="F86" s="7" t="s">
        <v>2343</v>
      </c>
    </row>
    <row r="87" spans="1:6" x14ac:dyDescent="0.3">
      <c r="B87" s="256"/>
    </row>
    <row r="89" spans="1:6" ht="23.4" x14ac:dyDescent="0.3">
      <c r="B89" s="312" t="s">
        <v>4039</v>
      </c>
    </row>
  </sheetData>
  <protectedRanges>
    <protectedRange sqref="E5 D3:D4" name="Tabel 3b81"/>
    <protectedRange sqref="B7:E42" name="Tabel 3b82"/>
    <protectedRange sqref="B49:B80 D49:E80 C49:C68 C70:C80" name="Tabel 3b84"/>
    <protectedRange sqref="D86:E86 B86" name="Tabel 3b84_1"/>
  </protectedRanges>
  <autoFilter ref="A2:F86" xr:uid="{227C395A-6C88-493F-B0EE-DE898FF05213}"/>
  <mergeCells count="1">
    <mergeCell ref="C1:C2"/>
  </mergeCells>
  <conditionalFormatting sqref="B87">
    <cfRule type="duplicateValues" dxfId="1" priority="1"/>
    <cfRule type="duplicateValues" dxfId="0" priority="2"/>
  </conditionalFormatting>
  <dataValidations count="1">
    <dataValidation type="custom" allowBlank="1" showDropDown="1" showInputMessage="1" showErrorMessage="1" prompt="Masukan data yang valid. Contoh tanggal : 29 Desember 2021, maka input yang valid adalah 29/12/2021" sqref="D49:D80 D7:D42 E5 D3:D4 D86" xr:uid="{C08599A8-21C3-4883-9C76-E90FCF209282}">
      <formula1>OR(NOT(ISERROR(DATEVALUE(D3))), AND(ISNUMBER(D3), LEFT(CELL("format", D3))="D"))</formula1>
    </dataValidation>
  </dataValidations>
  <hyperlinks>
    <hyperlink ref="F3" r:id="rId1" xr:uid="{A3A1CE11-3AEB-4FD9-A375-DFABA6AE67B3}"/>
    <hyperlink ref="F4" r:id="rId2" xr:uid="{7A2533CE-D480-45F6-BAEB-C87B5905D7A1}"/>
    <hyperlink ref="F7" r:id="rId3" xr:uid="{3713AC4F-4008-49E9-BA21-6801CAAD4471}"/>
    <hyperlink ref="F8" r:id="rId4" xr:uid="{867A8956-C089-4594-B238-E83340D373B3}"/>
    <hyperlink ref="F9" r:id="rId5" xr:uid="{AB338444-3DDB-49E2-A0B3-B08097E4A77C}"/>
    <hyperlink ref="F11" r:id="rId6" xr:uid="{5C20B4E4-6263-46AC-A305-C522D5FF573A}"/>
    <hyperlink ref="F12" r:id="rId7" xr:uid="{080CC92D-2D6B-4309-AA42-394C3674BC84}"/>
    <hyperlink ref="F13" r:id="rId8" xr:uid="{91863981-7B9A-41E4-BB10-2D44B5F6E00E}"/>
    <hyperlink ref="F14" r:id="rId9" xr:uid="{F123E323-8B78-4AF4-8B47-E5DD44DC5D4F}"/>
    <hyperlink ref="F15" r:id="rId10" xr:uid="{920F0A66-9626-4689-8290-D5875031F723}"/>
    <hyperlink ref="F16" r:id="rId11" xr:uid="{23B464B3-FE57-4DCE-A5A6-6E230F9E23D1}"/>
    <hyperlink ref="F17" r:id="rId12" xr:uid="{8642F0E2-DF7D-4612-B575-773EED0CF86E}"/>
    <hyperlink ref="F18" r:id="rId13" xr:uid="{BA4E360E-0049-4770-862B-124E6589BF06}"/>
    <hyperlink ref="F19" r:id="rId14" xr:uid="{591990CA-E4F3-4172-A7B6-E59066336EE0}"/>
    <hyperlink ref="F20" r:id="rId15" xr:uid="{2F344D5F-1028-4CC8-A1B1-ED63A4729B79}"/>
    <hyperlink ref="F21" r:id="rId16" xr:uid="{51B973D7-F224-4F05-BA1A-5748C3234DD2}"/>
    <hyperlink ref="F22" r:id="rId17" xr:uid="{D76BDE04-F945-4651-AB14-A3954E463EA3}"/>
    <hyperlink ref="F23" r:id="rId18" xr:uid="{78440231-1503-452C-A7D1-5E0BF13043F8}"/>
    <hyperlink ref="F24" r:id="rId19" xr:uid="{1D9FBFE8-AF49-4B8B-ABA2-98E3491AC6F2}"/>
    <hyperlink ref="F25" r:id="rId20" xr:uid="{DD41E6B9-0779-47FD-B4B8-B4C2477EA64E}"/>
    <hyperlink ref="F26" r:id="rId21" xr:uid="{5C90E521-A08C-4285-8510-622889805C10}"/>
    <hyperlink ref="F27" r:id="rId22" xr:uid="{FF16D4CC-1F83-4ACB-B0B8-C6AAF800B66B}"/>
    <hyperlink ref="F28" r:id="rId23" xr:uid="{FB428140-3388-454A-9725-6CA014B10EDD}"/>
    <hyperlink ref="F29" r:id="rId24" xr:uid="{E36EE32A-C15F-4B76-9729-DA22199B66DF}"/>
    <hyperlink ref="F30" r:id="rId25" xr:uid="{970F45B8-AAA5-4F83-BA3C-B6048B446E2A}"/>
    <hyperlink ref="F31" r:id="rId26" xr:uid="{722A3CE1-B234-4FEE-AD35-743DBEA459E6}"/>
    <hyperlink ref="F32" r:id="rId27" xr:uid="{D81F985E-EC54-4308-8AE4-05F4BB401137}"/>
    <hyperlink ref="F33" r:id="rId28" xr:uid="{7AA9B27A-7B8D-4CFE-940D-6950FCBAD7A4}"/>
    <hyperlink ref="F34" r:id="rId29" xr:uid="{6D7E8BE3-3BEC-4DB8-983A-5AB69263EAE3}"/>
    <hyperlink ref="F35" r:id="rId30" xr:uid="{CE927000-DD4F-424D-9A4B-3BFB08C9B0BB}"/>
    <hyperlink ref="F36" r:id="rId31" xr:uid="{02BAF609-D6F2-4959-8F05-26435AED2F56}"/>
    <hyperlink ref="F37" r:id="rId32" xr:uid="{216CDAB6-63A1-4353-BD2D-69C877CD6BE7}"/>
    <hyperlink ref="F38" r:id="rId33" xr:uid="{C68937B7-6A37-4E63-B4C6-4A7B7E0D6EE4}"/>
    <hyperlink ref="F39" r:id="rId34" xr:uid="{414B756E-F442-4617-B273-38CB8A719579}"/>
    <hyperlink ref="F40" r:id="rId35" xr:uid="{CADF9ECD-EF05-416F-866A-ED81476501EF}"/>
    <hyperlink ref="F41" r:id="rId36" xr:uid="{D2B550AE-1D63-4421-9588-D34C4857D3C2}"/>
    <hyperlink ref="F42" r:id="rId37" xr:uid="{4D67EBF1-19CA-40AA-A4B3-649AFC14431A}"/>
    <hyperlink ref="F49" r:id="rId38" xr:uid="{F9086738-C9F1-4538-904C-69263C164871}"/>
    <hyperlink ref="F50" r:id="rId39" xr:uid="{5E663B81-7417-4155-AD46-68E6A0FAD9CE}"/>
    <hyperlink ref="F51" r:id="rId40" xr:uid="{07CC6D1D-E861-4E58-A08F-D734A4A2CD5D}"/>
    <hyperlink ref="F52" r:id="rId41" xr:uid="{F76826A0-47F1-4F36-BE05-894E22F5019A}"/>
    <hyperlink ref="F53" r:id="rId42" xr:uid="{B234E9CB-EA27-47C2-A562-5988E0361C80}"/>
    <hyperlink ref="F54" r:id="rId43" xr:uid="{B408C5A5-9F1D-45D8-9C3A-E80D4B8EF44C}"/>
    <hyperlink ref="F55" r:id="rId44" xr:uid="{23AE802B-B53F-4D7A-BE2C-A24F5A2EAF23}"/>
    <hyperlink ref="F56" r:id="rId45" xr:uid="{4A62D485-8565-4715-A4EE-0EC665854823}"/>
    <hyperlink ref="F57" r:id="rId46" xr:uid="{DA1042A1-753A-41F1-93D5-D65A640D79C4}"/>
    <hyperlink ref="F58" r:id="rId47" xr:uid="{686E4271-9A42-4BE6-8093-E748E731A7C2}"/>
    <hyperlink ref="F59" r:id="rId48" xr:uid="{C2ECD48B-6B3B-4980-94B6-A4C6888527DA}"/>
    <hyperlink ref="F60" r:id="rId49" xr:uid="{8463475F-B89E-4752-9FC0-36C517E5AE66}"/>
    <hyperlink ref="F61" r:id="rId50" xr:uid="{635224D9-7D53-45F1-B7C2-3CEB8DBAC743}"/>
    <hyperlink ref="F62" r:id="rId51" xr:uid="{4FDE2E4A-1592-4501-B16C-F35DD5DB1056}"/>
    <hyperlink ref="F63" r:id="rId52" xr:uid="{01ABECBE-7304-43D7-BF79-EBC95BD673E1}"/>
    <hyperlink ref="F64" r:id="rId53" xr:uid="{B67DDA34-3F16-48F1-8788-A31F57E21699}"/>
    <hyperlink ref="F65" r:id="rId54" xr:uid="{96B36A0A-0F8F-4DC3-A682-3545A358161B}"/>
    <hyperlink ref="F66" r:id="rId55" xr:uid="{64661EF3-E88E-4BA1-AD47-800B19B2103B}"/>
    <hyperlink ref="F67" r:id="rId56" xr:uid="{13C365B2-5632-40F6-ACB5-80EBA796D34E}"/>
    <hyperlink ref="F68" r:id="rId57" xr:uid="{34FC6231-26A3-4F3E-9FA7-253F9A9AD7A5}"/>
    <hyperlink ref="F69" r:id="rId58" xr:uid="{DB02C7E3-7A46-4043-B7AB-6EA4915E86EE}"/>
    <hyperlink ref="F70" r:id="rId59" xr:uid="{E311B353-DCB6-483B-B2FA-3E1C5DEE3610}"/>
    <hyperlink ref="F71" r:id="rId60" xr:uid="{2AFE53AB-F99B-4B66-9B4A-426DE06F0C2F}"/>
    <hyperlink ref="F72" r:id="rId61" xr:uid="{BF746319-B3C6-4EF6-9669-E768E95800F8}"/>
    <hyperlink ref="F73" r:id="rId62" xr:uid="{F5FCA1C0-AB92-49AA-A8A5-9FC86158F696}"/>
    <hyperlink ref="F74" r:id="rId63" xr:uid="{732BC273-29C5-4A76-8DBF-FA7B652093A8}"/>
    <hyperlink ref="F75" r:id="rId64" xr:uid="{3ADC6FE6-1FB7-432C-9700-3ACEC9477B8F}"/>
    <hyperlink ref="F76" r:id="rId65" xr:uid="{F51E2296-F4CF-4B91-8008-CEA714083798}"/>
    <hyperlink ref="F77" r:id="rId66" xr:uid="{B8F73D91-1B6B-4691-B84B-6E9324003116}"/>
    <hyperlink ref="F79" r:id="rId67" xr:uid="{8167E227-816E-46D6-9A97-26E58E5ABEE0}"/>
    <hyperlink ref="F80" r:id="rId68" xr:uid="{E71122F1-7973-46E4-9538-BA501B929F05}"/>
    <hyperlink ref="F43" r:id="rId69" xr:uid="{FD44B942-13F6-4614-A08B-8636AD90EE9A}"/>
    <hyperlink ref="F44" r:id="rId70" xr:uid="{A5384BAB-FEDB-48B1-BFCE-D6A279C4EBBB}"/>
    <hyperlink ref="F45" r:id="rId71" xr:uid="{84985F36-517A-4A49-A360-A214A25B2C71}"/>
    <hyperlink ref="F46" r:id="rId72" xr:uid="{B7B12902-CF2A-438D-B278-7E2148755BE5}"/>
    <hyperlink ref="F47" r:id="rId73" xr:uid="{E433F611-BBDE-43B4-BD9D-4D338FA6D601}"/>
    <hyperlink ref="F81" r:id="rId74" xr:uid="{1743B37D-EBCB-4094-AC99-0A39D026DBA9}"/>
    <hyperlink ref="F82" r:id="rId75" xr:uid="{B4986060-F7AB-4F00-A330-79BA6986FAC2}"/>
    <hyperlink ref="F5" r:id="rId76" xr:uid="{A726ABA9-B319-4C26-A528-26221ED489DB}"/>
    <hyperlink ref="F78" r:id="rId77" xr:uid="{B029056A-6F5E-4EA9-BA56-1DDDB0810217}"/>
    <hyperlink ref="F10" r:id="rId78" xr:uid="{D827AC20-26D2-444A-93C8-0715DA0CF69C}"/>
    <hyperlink ref="F83" r:id="rId79" xr:uid="{A30F3DE6-ACF1-4223-96DB-DD571B7BBDB1}"/>
    <hyperlink ref="F84" r:id="rId80" xr:uid="{C421C7EE-8570-486E-8428-61F5FC165CF4}"/>
    <hyperlink ref="F85" r:id="rId81" xr:uid="{3A85B5C1-1BFD-4361-97A0-1B2284B33131}"/>
    <hyperlink ref="F86" r:id="rId82" xr:uid="{D96D5292-CE29-47DE-984E-4C22A0A5A2A5}"/>
    <hyperlink ref="B89" location="'Daftar Sheet'!A1" display="&lt;&lt;&lt; Daftar Sheet" xr:uid="{21600953-7D5A-49B8-BDA0-FEE87FEB045F}"/>
  </hyperlinks>
  <pageMargins left="0.7" right="0.7" top="0.75" bottom="0.75" header="0.3" footer="0.3"/>
  <pageSetup paperSize="224" orientation="portrait" horizontalDpi="300" verticalDpi="300" r:id="rId8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B0B74-AD4D-4941-AD66-12A11CDED8AD}">
  <dimension ref="A2:C12"/>
  <sheetViews>
    <sheetView zoomScale="85" zoomScaleNormal="85" workbookViewId="0">
      <selection activeCell="B12" sqref="B12"/>
    </sheetView>
  </sheetViews>
  <sheetFormatPr defaultRowHeight="14.4" x14ac:dyDescent="0.3"/>
  <cols>
    <col min="2" max="2" width="36" bestFit="1" customWidth="1"/>
    <col min="3" max="3" width="78" bestFit="1" customWidth="1"/>
  </cols>
  <sheetData>
    <row r="2" spans="1:3" x14ac:dyDescent="0.3">
      <c r="A2" s="2" t="s">
        <v>0</v>
      </c>
      <c r="B2" s="2" t="s">
        <v>2336</v>
      </c>
      <c r="C2" s="2" t="s">
        <v>137</v>
      </c>
    </row>
    <row r="3" spans="1:3" ht="26.4" x14ac:dyDescent="0.3">
      <c r="A3" s="3">
        <v>1</v>
      </c>
      <c r="B3" s="214" t="s">
        <v>2036</v>
      </c>
      <c r="C3" s="394" t="s">
        <v>3896</v>
      </c>
    </row>
    <row r="4" spans="1:3" ht="26.4" x14ac:dyDescent="0.3">
      <c r="A4" s="3">
        <v>2</v>
      </c>
      <c r="B4" s="214" t="s">
        <v>2039</v>
      </c>
      <c r="C4" s="394"/>
    </row>
    <row r="5" spans="1:3" x14ac:dyDescent="0.3">
      <c r="A5" s="33">
        <v>3</v>
      </c>
      <c r="B5" s="30" t="s">
        <v>3892</v>
      </c>
      <c r="C5" s="394"/>
    </row>
    <row r="6" spans="1:3" x14ac:dyDescent="0.3">
      <c r="A6" s="33">
        <v>4</v>
      </c>
      <c r="B6" s="30" t="s">
        <v>3893</v>
      </c>
      <c r="C6" s="394"/>
    </row>
    <row r="7" spans="1:3" x14ac:dyDescent="0.3">
      <c r="A7" s="33">
        <v>5</v>
      </c>
      <c r="B7" s="30" t="s">
        <v>3894</v>
      </c>
      <c r="C7" s="394"/>
    </row>
    <row r="8" spans="1:3" x14ac:dyDescent="0.3">
      <c r="A8" s="33">
        <v>6</v>
      </c>
      <c r="B8" s="30" t="s">
        <v>3895</v>
      </c>
      <c r="C8" s="394"/>
    </row>
    <row r="9" spans="1:3" x14ac:dyDescent="0.3">
      <c r="A9" s="33">
        <v>7</v>
      </c>
      <c r="B9" s="30" t="s">
        <v>3897</v>
      </c>
      <c r="C9" s="394"/>
    </row>
    <row r="12" spans="1:3" x14ac:dyDescent="0.3">
      <c r="B12" s="305" t="s">
        <v>4039</v>
      </c>
    </row>
  </sheetData>
  <mergeCells count="1">
    <mergeCell ref="C3:C9"/>
  </mergeCells>
  <hyperlinks>
    <hyperlink ref="C3" r:id="rId1" xr:uid="{D3239F2B-06F2-41A4-B6C7-134928312EF5}"/>
    <hyperlink ref="B12" location="'Daftar Sheet'!A1" display="&lt;&lt;&lt; Daftar Sheet" xr:uid="{E8A3C15A-38CA-427D-A6AE-C6B256EEC79E}"/>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ABDF0-D9DB-4B80-9F85-3C689EA8C20A}">
  <dimension ref="A2:L11"/>
  <sheetViews>
    <sheetView workbookViewId="0">
      <selection activeCell="K11" sqref="K11"/>
    </sheetView>
  </sheetViews>
  <sheetFormatPr defaultRowHeight="14.4" x14ac:dyDescent="0.3"/>
  <cols>
    <col min="1" max="1" width="5.21875" style="10" bestFit="1" customWidth="1"/>
    <col min="2" max="2" width="63.5546875" bestFit="1" customWidth="1"/>
    <col min="3" max="3" width="5.21875" customWidth="1"/>
    <col min="11" max="11" width="12.88671875" bestFit="1" customWidth="1"/>
    <col min="12" max="12" width="83.77734375" style="10" bestFit="1" customWidth="1"/>
  </cols>
  <sheetData>
    <row r="2" spans="1:12" x14ac:dyDescent="0.3">
      <c r="A2" s="369" t="s">
        <v>0</v>
      </c>
      <c r="B2" s="369" t="s">
        <v>1581</v>
      </c>
      <c r="C2" s="391" t="s">
        <v>1582</v>
      </c>
      <c r="D2" s="391"/>
      <c r="E2" s="391"/>
      <c r="F2" s="391"/>
      <c r="G2" s="391"/>
      <c r="H2" s="391"/>
      <c r="I2" s="391"/>
      <c r="J2" s="391"/>
      <c r="K2" s="369" t="s">
        <v>1583</v>
      </c>
      <c r="L2" s="391" t="s">
        <v>137</v>
      </c>
    </row>
    <row r="3" spans="1:12" x14ac:dyDescent="0.3">
      <c r="A3" s="370"/>
      <c r="B3" s="370"/>
      <c r="C3" s="2" t="s">
        <v>1584</v>
      </c>
      <c r="D3" s="2" t="s">
        <v>1585</v>
      </c>
      <c r="E3" s="2" t="s">
        <v>1586</v>
      </c>
      <c r="F3" s="2" t="s">
        <v>1587</v>
      </c>
      <c r="G3" s="2" t="s">
        <v>1588</v>
      </c>
      <c r="H3" s="2" t="s">
        <v>1589</v>
      </c>
      <c r="I3" s="2" t="s">
        <v>1590</v>
      </c>
      <c r="J3" s="2" t="s">
        <v>1591</v>
      </c>
      <c r="K3" s="370"/>
      <c r="L3" s="391"/>
    </row>
    <row r="4" spans="1:12" x14ac:dyDescent="0.3">
      <c r="A4" s="3">
        <v>1</v>
      </c>
      <c r="B4" s="30" t="s">
        <v>1592</v>
      </c>
      <c r="C4" s="3">
        <v>0</v>
      </c>
      <c r="D4" s="3">
        <v>2</v>
      </c>
      <c r="E4" s="3">
        <v>2</v>
      </c>
      <c r="F4" s="3">
        <v>0</v>
      </c>
      <c r="G4" s="3">
        <v>5</v>
      </c>
      <c r="H4" s="3">
        <v>0</v>
      </c>
      <c r="I4" s="3">
        <v>0</v>
      </c>
      <c r="J4" s="124"/>
      <c r="K4" s="30" t="s">
        <v>1593</v>
      </c>
      <c r="L4" s="125" t="s">
        <v>1600</v>
      </c>
    </row>
    <row r="5" spans="1:12" x14ac:dyDescent="0.3">
      <c r="A5" s="3">
        <v>2</v>
      </c>
      <c r="B5" s="30" t="s">
        <v>1594</v>
      </c>
      <c r="C5" s="3">
        <v>0</v>
      </c>
      <c r="D5" s="3">
        <v>0</v>
      </c>
      <c r="E5" s="3">
        <v>3</v>
      </c>
      <c r="F5" s="3">
        <v>0</v>
      </c>
      <c r="G5" s="3">
        <v>0</v>
      </c>
      <c r="H5" s="3">
        <v>0</v>
      </c>
      <c r="I5" s="3">
        <v>0</v>
      </c>
      <c r="J5" s="3">
        <v>3</v>
      </c>
      <c r="K5" s="30" t="s">
        <v>1595</v>
      </c>
      <c r="L5" s="387" t="s">
        <v>1602</v>
      </c>
    </row>
    <row r="6" spans="1:12" x14ac:dyDescent="0.3">
      <c r="A6" s="3">
        <v>3</v>
      </c>
      <c r="B6" s="30" t="s">
        <v>1596</v>
      </c>
      <c r="C6" s="3">
        <v>0</v>
      </c>
      <c r="D6" s="3">
        <v>0</v>
      </c>
      <c r="E6" s="3">
        <v>0</v>
      </c>
      <c r="F6" s="3">
        <v>0</v>
      </c>
      <c r="G6" s="3">
        <v>0</v>
      </c>
      <c r="H6" s="3">
        <v>0</v>
      </c>
      <c r="I6" s="3">
        <v>0</v>
      </c>
      <c r="J6" s="3">
        <v>5</v>
      </c>
      <c r="K6" s="30" t="s">
        <v>1595</v>
      </c>
      <c r="L6" s="383"/>
    </row>
    <row r="7" spans="1:12" x14ac:dyDescent="0.3">
      <c r="A7" s="3">
        <v>4</v>
      </c>
      <c r="B7" s="30" t="s">
        <v>1597</v>
      </c>
      <c r="C7" s="3">
        <v>0</v>
      </c>
      <c r="D7" s="3">
        <v>0</v>
      </c>
      <c r="E7" s="3">
        <v>4</v>
      </c>
      <c r="F7" s="3">
        <v>0</v>
      </c>
      <c r="G7" s="3">
        <v>1</v>
      </c>
      <c r="H7" s="3">
        <v>0</v>
      </c>
      <c r="I7" s="3">
        <v>0</v>
      </c>
      <c r="J7" s="3">
        <v>7</v>
      </c>
      <c r="K7" s="30" t="s">
        <v>1598</v>
      </c>
      <c r="L7" s="125" t="s">
        <v>1601</v>
      </c>
    </row>
    <row r="8" spans="1:12" x14ac:dyDescent="0.3">
      <c r="A8" s="426" t="s">
        <v>1599</v>
      </c>
      <c r="B8" s="427"/>
      <c r="C8" s="119">
        <v>0</v>
      </c>
      <c r="D8" s="119">
        <v>2</v>
      </c>
      <c r="E8" s="119">
        <v>9</v>
      </c>
      <c r="F8" s="119">
        <v>0</v>
      </c>
      <c r="G8" s="119">
        <v>6</v>
      </c>
      <c r="H8" s="119">
        <v>0</v>
      </c>
      <c r="I8" s="119">
        <v>0</v>
      </c>
      <c r="J8" s="119">
        <v>15</v>
      </c>
    </row>
    <row r="11" spans="1:12" x14ac:dyDescent="0.3">
      <c r="B11" s="305" t="s">
        <v>4039</v>
      </c>
    </row>
  </sheetData>
  <mergeCells count="7">
    <mergeCell ref="A8:B8"/>
    <mergeCell ref="L2:L3"/>
    <mergeCell ref="L5:L6"/>
    <mergeCell ref="C2:J2"/>
    <mergeCell ref="K2:K3"/>
    <mergeCell ref="A2:A3"/>
    <mergeCell ref="B2:B3"/>
  </mergeCells>
  <hyperlinks>
    <hyperlink ref="L4" r:id="rId1" xr:uid="{1B7B7EB0-65A8-4B86-ABB2-499F6E4D75C4}"/>
    <hyperlink ref="L7" r:id="rId2" xr:uid="{CB7664D7-959A-426B-A1DB-981987CAA47A}"/>
    <hyperlink ref="L5" r:id="rId3" xr:uid="{13249EA6-7875-4450-B9B1-2E41E3FBA96D}"/>
    <hyperlink ref="B11" location="'Daftar Sheet'!A1" display="&lt;&lt;&lt; Daftar Sheet" xr:uid="{3286ABDC-046A-4714-B187-6B371BCEF2A2}"/>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C06C-528A-4786-B9A0-2ACCB47850A9}">
  <dimension ref="A2:K21"/>
  <sheetViews>
    <sheetView topLeftCell="A10" zoomScale="85" zoomScaleNormal="85" workbookViewId="0">
      <selection activeCell="B21" sqref="B21"/>
    </sheetView>
  </sheetViews>
  <sheetFormatPr defaultRowHeight="14.4" x14ac:dyDescent="0.3"/>
  <cols>
    <col min="2" max="2" width="21.6640625" customWidth="1"/>
    <col min="3" max="5" width="18.5546875" bestFit="1" customWidth="1"/>
    <col min="6" max="6" width="17.77734375" bestFit="1" customWidth="1"/>
    <col min="7" max="9" width="18.5546875" bestFit="1" customWidth="1"/>
    <col min="10" max="10" width="16.6640625" bestFit="1" customWidth="1"/>
    <col min="11" max="11" width="81.88671875" bestFit="1" customWidth="1"/>
  </cols>
  <sheetData>
    <row r="2" spans="1:11" ht="25.5" customHeight="1" x14ac:dyDescent="0.3">
      <c r="A2" s="406" t="s">
        <v>51</v>
      </c>
      <c r="B2" s="406" t="s">
        <v>2123</v>
      </c>
      <c r="C2" s="408" t="s">
        <v>2124</v>
      </c>
      <c r="D2" s="432"/>
      <c r="E2" s="432"/>
      <c r="F2" s="409"/>
      <c r="G2" s="408" t="s">
        <v>2125</v>
      </c>
      <c r="H2" s="432"/>
      <c r="I2" s="432"/>
      <c r="J2" s="409"/>
      <c r="K2" s="411" t="s">
        <v>137</v>
      </c>
    </row>
    <row r="3" spans="1:11" x14ac:dyDescent="0.3">
      <c r="A3" s="407"/>
      <c r="B3" s="407"/>
      <c r="C3" s="164" t="s">
        <v>1551</v>
      </c>
      <c r="D3" s="164" t="s">
        <v>1552</v>
      </c>
      <c r="E3" s="164" t="s">
        <v>1553</v>
      </c>
      <c r="F3" s="163" t="s">
        <v>1562</v>
      </c>
      <c r="G3" s="164" t="s">
        <v>1551</v>
      </c>
      <c r="H3" s="164" t="s">
        <v>1552</v>
      </c>
      <c r="I3" s="164" t="s">
        <v>1553</v>
      </c>
      <c r="J3" s="163" t="s">
        <v>1562</v>
      </c>
      <c r="K3" s="411"/>
    </row>
    <row r="4" spans="1:11" ht="27.6" x14ac:dyDescent="0.3">
      <c r="A4" s="151">
        <v>1</v>
      </c>
      <c r="B4" s="158" t="s">
        <v>2126</v>
      </c>
      <c r="C4" s="180"/>
      <c r="D4" s="180"/>
      <c r="E4" s="180"/>
      <c r="F4" s="226"/>
      <c r="G4" s="180"/>
      <c r="H4" s="180"/>
      <c r="I4" s="180"/>
      <c r="J4" s="286"/>
      <c r="K4" s="394" t="s">
        <v>3999</v>
      </c>
    </row>
    <row r="5" spans="1:11" ht="27.6" x14ac:dyDescent="0.35">
      <c r="A5" s="151"/>
      <c r="B5" s="158" t="s">
        <v>2127</v>
      </c>
      <c r="C5" s="227">
        <v>28355902155</v>
      </c>
      <c r="D5" s="227">
        <v>29887909884</v>
      </c>
      <c r="E5" s="227">
        <v>32610272549</v>
      </c>
      <c r="F5" s="228">
        <f>IFERROR(AVERAGE(C5:E5),0)</f>
        <v>30284694862.666668</v>
      </c>
      <c r="G5" s="227">
        <v>3750583200</v>
      </c>
      <c r="H5" s="227">
        <v>5251293600</v>
      </c>
      <c r="I5" s="227">
        <v>6775339200</v>
      </c>
      <c r="J5" s="287">
        <f>IFERROR(AVERAGE(G5:I5),0)</f>
        <v>5259072000</v>
      </c>
      <c r="K5" s="394"/>
    </row>
    <row r="6" spans="1:11" ht="41.4" x14ac:dyDescent="0.35">
      <c r="A6" s="151"/>
      <c r="B6" s="158" t="s">
        <v>2128</v>
      </c>
      <c r="C6" s="227">
        <v>11244608344</v>
      </c>
      <c r="D6" s="227">
        <v>12580115200</v>
      </c>
      <c r="E6" s="227">
        <v>9874886400</v>
      </c>
      <c r="F6" s="228">
        <f t="shared" ref="F6:F9" si="0">IFERROR(AVERAGE(C6:E6),0)</f>
        <v>11233203314.666666</v>
      </c>
      <c r="G6" s="227">
        <v>622178700</v>
      </c>
      <c r="H6" s="227">
        <v>622178700</v>
      </c>
      <c r="I6" s="227">
        <v>518791128</v>
      </c>
      <c r="J6" s="287">
        <f t="shared" ref="J6:J9" si="1">IFERROR(AVERAGE(G6:I6),0)</f>
        <v>587716176</v>
      </c>
      <c r="K6" s="394"/>
    </row>
    <row r="7" spans="1:11" ht="41.4" x14ac:dyDescent="0.35">
      <c r="A7" s="151"/>
      <c r="B7" s="158" t="s">
        <v>2129</v>
      </c>
      <c r="C7" s="227">
        <v>2498859065</v>
      </c>
      <c r="D7" s="227">
        <v>2377049850</v>
      </c>
      <c r="E7" s="227">
        <v>5164214668</v>
      </c>
      <c r="F7" s="228">
        <f t="shared" si="0"/>
        <v>3346707861</v>
      </c>
      <c r="G7" s="227">
        <v>145443333.33333334</v>
      </c>
      <c r="H7" s="227">
        <v>154833333.33333334</v>
      </c>
      <c r="I7" s="227">
        <v>140674745.83333334</v>
      </c>
      <c r="J7" s="287">
        <f t="shared" si="1"/>
        <v>146983804.16666666</v>
      </c>
      <c r="K7" s="394"/>
    </row>
    <row r="8" spans="1:11" ht="110.4" x14ac:dyDescent="0.35">
      <c r="A8" s="151"/>
      <c r="B8" s="158" t="s">
        <v>2130</v>
      </c>
      <c r="C8" s="227">
        <v>59503558000</v>
      </c>
      <c r="D8" s="227">
        <v>59813416393</v>
      </c>
      <c r="E8" s="227">
        <v>61664616105</v>
      </c>
      <c r="F8" s="228">
        <f t="shared" si="0"/>
        <v>60327196832.666664</v>
      </c>
      <c r="G8" s="227">
        <v>51632886333.333336</v>
      </c>
      <c r="H8" s="227">
        <v>51998162684.166664</v>
      </c>
      <c r="I8" s="227">
        <v>51684529398.833336</v>
      </c>
      <c r="J8" s="287">
        <f t="shared" si="1"/>
        <v>51771859472.111115</v>
      </c>
      <c r="K8" s="394"/>
    </row>
    <row r="9" spans="1:11" ht="55.2" x14ac:dyDescent="0.35">
      <c r="A9" s="151">
        <v>2</v>
      </c>
      <c r="B9" s="158" t="s">
        <v>2131</v>
      </c>
      <c r="C9" s="227">
        <v>3412630000</v>
      </c>
      <c r="D9" s="227">
        <v>3742170000</v>
      </c>
      <c r="E9" s="227">
        <v>3250000000</v>
      </c>
      <c r="F9" s="228">
        <f t="shared" si="0"/>
        <v>3468266666.6666665</v>
      </c>
      <c r="G9" s="227">
        <v>480343666.66666669</v>
      </c>
      <c r="H9" s="227">
        <v>442391985</v>
      </c>
      <c r="I9" s="227">
        <v>482029666.66666669</v>
      </c>
      <c r="J9" s="287">
        <f t="shared" si="1"/>
        <v>468255106.11111116</v>
      </c>
      <c r="K9" s="394"/>
    </row>
    <row r="10" spans="1:11" x14ac:dyDescent="0.3">
      <c r="A10" s="430" t="s">
        <v>1554</v>
      </c>
      <c r="B10" s="431"/>
      <c r="C10" s="229">
        <f>SUM(C5:C9)</f>
        <v>105015557564</v>
      </c>
      <c r="D10" s="229">
        <f>SUM(D5:D9)</f>
        <v>108400661327</v>
      </c>
      <c r="E10" s="229">
        <f>SUM(E5:E9)</f>
        <v>112563989722</v>
      </c>
      <c r="F10" s="229">
        <f t="shared" ref="F10" si="2">AVERAGE(C10:E10)</f>
        <v>108660069537.66667</v>
      </c>
      <c r="G10" s="229">
        <f>SUM(G5:G9)</f>
        <v>56631435233.333336</v>
      </c>
      <c r="H10" s="229">
        <f>SUM(H5:H9)</f>
        <v>58468860302.5</v>
      </c>
      <c r="I10" s="229">
        <f>SUM(I5:I9)</f>
        <v>59601364139.333336</v>
      </c>
      <c r="J10" s="288">
        <f t="shared" ref="J10" si="3">AVERAGE(G10:I10)</f>
        <v>58233886558.388893</v>
      </c>
      <c r="K10" s="394"/>
    </row>
    <row r="11" spans="1:11" ht="18" x14ac:dyDescent="0.35">
      <c r="A11" s="151">
        <v>3</v>
      </c>
      <c r="B11" s="158" t="s">
        <v>2132</v>
      </c>
      <c r="C11" s="227">
        <v>7947297500</v>
      </c>
      <c r="D11" s="227">
        <v>5058290000</v>
      </c>
      <c r="E11" s="227">
        <v>4594202690</v>
      </c>
      <c r="F11" s="228">
        <f>IFERROR(AVERAGE(C11:E11),0)</f>
        <v>5866596730</v>
      </c>
      <c r="G11" s="227">
        <v>1095000000</v>
      </c>
      <c r="H11" s="227">
        <v>3034890000</v>
      </c>
      <c r="I11" s="227">
        <v>2078750000</v>
      </c>
      <c r="J11" s="287">
        <f>IFERROR(AVERAGE(G11:I11),0)</f>
        <v>2069546666.6666667</v>
      </c>
      <c r="K11" s="394" t="s">
        <v>4000</v>
      </c>
    </row>
    <row r="12" spans="1:11" ht="18" x14ac:dyDescent="0.35">
      <c r="A12" s="151">
        <v>4</v>
      </c>
      <c r="B12" s="158" t="s">
        <v>2133</v>
      </c>
      <c r="C12" s="227">
        <v>4041375600</v>
      </c>
      <c r="D12" s="227">
        <v>2607881817</v>
      </c>
      <c r="E12" s="227">
        <v>1513092000</v>
      </c>
      <c r="F12" s="228">
        <f>IFERROR(AVERAGE(C12:E12),0)</f>
        <v>2720783139</v>
      </c>
      <c r="G12" s="227">
        <v>20817784527</v>
      </c>
      <c r="H12" s="227">
        <v>19170934400</v>
      </c>
      <c r="I12" s="227">
        <v>13816819000</v>
      </c>
      <c r="J12" s="287">
        <f>IFERROR(AVERAGE(G12:I12),0)</f>
        <v>17935179309</v>
      </c>
      <c r="K12" s="394"/>
    </row>
    <row r="13" spans="1:11" x14ac:dyDescent="0.3">
      <c r="A13" s="430" t="s">
        <v>1554</v>
      </c>
      <c r="B13" s="431"/>
      <c r="C13" s="229">
        <f t="shared" ref="C13:J13" si="4">SUM(C11:C12)</f>
        <v>11988673100</v>
      </c>
      <c r="D13" s="229">
        <f t="shared" si="4"/>
        <v>7666171817</v>
      </c>
      <c r="E13" s="229">
        <f t="shared" si="4"/>
        <v>6107294690</v>
      </c>
      <c r="F13" s="229">
        <f t="shared" si="4"/>
        <v>8587379869</v>
      </c>
      <c r="G13" s="229">
        <f t="shared" si="4"/>
        <v>21912784527</v>
      </c>
      <c r="H13" s="229">
        <f t="shared" si="4"/>
        <v>22205824400</v>
      </c>
      <c r="I13" s="229">
        <f t="shared" si="4"/>
        <v>15895569000</v>
      </c>
      <c r="J13" s="288">
        <f t="shared" si="4"/>
        <v>20004725975.666668</v>
      </c>
      <c r="K13" s="394"/>
    </row>
    <row r="14" spans="1:11" ht="18" x14ac:dyDescent="0.35">
      <c r="A14" s="151">
        <v>5</v>
      </c>
      <c r="B14" s="158" t="s">
        <v>2134</v>
      </c>
      <c r="C14" s="227">
        <v>665325000</v>
      </c>
      <c r="D14" s="227">
        <v>105780000</v>
      </c>
      <c r="E14" s="227">
        <v>119320000</v>
      </c>
      <c r="F14" s="229">
        <f>IFERROR(AVERAGE(C14:E14),0)</f>
        <v>296808333.33333331</v>
      </c>
      <c r="G14" s="227">
        <v>99000000</v>
      </c>
      <c r="H14" s="227">
        <v>15000000</v>
      </c>
      <c r="I14" s="227">
        <v>12500000</v>
      </c>
      <c r="J14" s="287">
        <f>IFERROR(AVERAGE(G14:I14),0)</f>
        <v>42166666.666666664</v>
      </c>
      <c r="K14" s="394" t="s">
        <v>4001</v>
      </c>
    </row>
    <row r="15" spans="1:11" ht="18" x14ac:dyDescent="0.35">
      <c r="A15" s="151">
        <v>6</v>
      </c>
      <c r="B15" s="158" t="s">
        <v>2135</v>
      </c>
      <c r="C15" s="227">
        <v>1191362000</v>
      </c>
      <c r="D15" s="227">
        <v>2061672000.4599998</v>
      </c>
      <c r="E15" s="227">
        <v>3532856484.5</v>
      </c>
      <c r="F15" s="229">
        <f t="shared" ref="F15:F16" si="5">IFERROR(AVERAGE(C15:E15),0)</f>
        <v>2261963494.9866667</v>
      </c>
      <c r="G15" s="227">
        <v>183769933.33333331</v>
      </c>
      <c r="H15" s="227">
        <v>1983672366.4599998</v>
      </c>
      <c r="I15" s="227">
        <v>211132790</v>
      </c>
      <c r="J15" s="287">
        <f t="shared" ref="J15:J16" si="6">IFERROR(AVERAGE(G15:I15),0)</f>
        <v>792858363.26444435</v>
      </c>
      <c r="K15" s="394"/>
    </row>
    <row r="16" spans="1:11" ht="18" x14ac:dyDescent="0.35">
      <c r="A16" s="151">
        <v>6</v>
      </c>
      <c r="B16" s="158" t="s">
        <v>2136</v>
      </c>
      <c r="C16" s="227">
        <v>974800000</v>
      </c>
      <c r="D16" s="227">
        <v>1256525000</v>
      </c>
      <c r="E16" s="227">
        <v>7824369091.9841118</v>
      </c>
      <c r="F16" s="229">
        <f t="shared" si="5"/>
        <v>3351898030.6613708</v>
      </c>
      <c r="G16" s="227">
        <v>260362375</v>
      </c>
      <c r="H16" s="227">
        <v>186075100</v>
      </c>
      <c r="I16" s="227">
        <v>504514967.11411232</v>
      </c>
      <c r="J16" s="287">
        <f t="shared" si="6"/>
        <v>316984147.37137079</v>
      </c>
      <c r="K16" s="394"/>
    </row>
    <row r="17" spans="1:11" x14ac:dyDescent="0.3">
      <c r="A17" s="428" t="s">
        <v>1554</v>
      </c>
      <c r="B17" s="429"/>
      <c r="C17" s="229">
        <f t="shared" ref="C17:J17" si="7">SUM(C14:C16)</f>
        <v>2831487000</v>
      </c>
      <c r="D17" s="229">
        <f t="shared" si="7"/>
        <v>3423977000.46</v>
      </c>
      <c r="E17" s="229">
        <f t="shared" si="7"/>
        <v>11476545576.484112</v>
      </c>
      <c r="F17" s="229">
        <f t="shared" si="7"/>
        <v>5910669858.9813709</v>
      </c>
      <c r="G17" s="229">
        <f t="shared" si="7"/>
        <v>543132308.33333325</v>
      </c>
      <c r="H17" s="229">
        <f t="shared" si="7"/>
        <v>2184747466.46</v>
      </c>
      <c r="I17" s="229">
        <f t="shared" si="7"/>
        <v>728147757.11411238</v>
      </c>
      <c r="J17" s="288">
        <f t="shared" si="7"/>
        <v>1152009177.3024817</v>
      </c>
      <c r="K17" s="394"/>
    </row>
    <row r="18" spans="1:11" x14ac:dyDescent="0.3">
      <c r="A18" s="430" t="s">
        <v>1599</v>
      </c>
      <c r="B18" s="431"/>
      <c r="C18" s="230">
        <f t="shared" ref="C18:J18" si="8">SUM(C10,C13,C17)</f>
        <v>119835717664</v>
      </c>
      <c r="D18" s="230">
        <f t="shared" si="8"/>
        <v>119490810144.46001</v>
      </c>
      <c r="E18" s="230">
        <f t="shared" si="8"/>
        <v>130147829988.48412</v>
      </c>
      <c r="F18" s="230">
        <f t="shared" si="8"/>
        <v>123158119265.64804</v>
      </c>
      <c r="G18" s="230">
        <f t="shared" si="8"/>
        <v>79087352068.666672</v>
      </c>
      <c r="H18" s="230">
        <f t="shared" si="8"/>
        <v>82859432168.960007</v>
      </c>
      <c r="I18" s="230">
        <f t="shared" si="8"/>
        <v>76225080896.447449</v>
      </c>
      <c r="J18" s="230">
        <f t="shared" si="8"/>
        <v>79390621711.358032</v>
      </c>
    </row>
    <row r="19" spans="1:11" x14ac:dyDescent="0.3">
      <c r="A19" s="306"/>
      <c r="B19" s="307"/>
      <c r="C19" s="308"/>
      <c r="D19" s="308"/>
      <c r="E19" s="308"/>
      <c r="F19" s="308"/>
      <c r="G19" s="308"/>
      <c r="H19" s="308"/>
      <c r="I19" s="308"/>
      <c r="J19" s="308"/>
    </row>
    <row r="21" spans="1:11" x14ac:dyDescent="0.3">
      <c r="B21" s="305" t="s">
        <v>4039</v>
      </c>
    </row>
  </sheetData>
  <protectedRanges>
    <protectedRange sqref="C5:E9 G5:I9 C11:E12 C14:E16 G14:I16" name="Tabel 4a"/>
    <protectedRange sqref="G11:I12" name="Tabel 4a_1"/>
  </protectedRanges>
  <mergeCells count="12">
    <mergeCell ref="A17:B17"/>
    <mergeCell ref="A18:B18"/>
    <mergeCell ref="K2:K3"/>
    <mergeCell ref="A2:A3"/>
    <mergeCell ref="B2:B3"/>
    <mergeCell ref="C2:F2"/>
    <mergeCell ref="G2:J2"/>
    <mergeCell ref="A10:B10"/>
    <mergeCell ref="A13:B13"/>
    <mergeCell ref="K4:K10"/>
    <mergeCell ref="K11:K13"/>
    <mergeCell ref="K14:K17"/>
  </mergeCells>
  <dataValidations count="1">
    <dataValidation type="decimal" operator="greaterThanOrEqual" allowBlank="1" showDropDown="1" showInputMessage="1" showErrorMessage="1" prompt="Masukan data yang valid. Data yang dimasukan harus dalam bentuk angka biasa tanpa koma (,) dan titik (.). Contoh: Jumlah yang dimasukan Rp 1.500.000 maka data yang dimasukan adalah 1500000" sqref="C5:E9 G5:I9 C11:E12 G14:I16 C14:E16 G11:I12" xr:uid="{2CE5DD7C-6BB1-4E08-89D7-EBA282729D12}">
      <formula1>0</formula1>
    </dataValidation>
  </dataValidations>
  <hyperlinks>
    <hyperlink ref="K4" r:id="rId1" xr:uid="{4DCF1FBB-912E-4B9B-802D-AAAD97E58FDA}"/>
    <hyperlink ref="K11" r:id="rId2" xr:uid="{77C3CCF7-793D-4692-9491-5DBDB6661548}"/>
    <hyperlink ref="K14" r:id="rId3" xr:uid="{E8E44418-3F06-4D28-845D-DB9858102C28}"/>
    <hyperlink ref="B21" location="'Daftar Sheet'!A1" display="&lt;&lt;&lt; Daftar Sheet" xr:uid="{D24CC282-FAF4-451D-9C9F-7A9B8C3203EA}"/>
  </hyperlinks>
  <pageMargins left="0.7" right="0.7" top="0.75" bottom="0.75" header="0.3" footer="0.3"/>
  <legacy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FEE97-6389-4ACF-8783-B85F12383997}">
  <dimension ref="A2:C9"/>
  <sheetViews>
    <sheetView workbookViewId="0"/>
  </sheetViews>
  <sheetFormatPr defaultRowHeight="14.4" x14ac:dyDescent="0.3"/>
  <cols>
    <col min="1" max="1" width="8.77734375" style="10"/>
    <col min="2" max="2" width="35.77734375" customWidth="1"/>
    <col min="3" max="3" width="81.5546875" bestFit="1" customWidth="1"/>
  </cols>
  <sheetData>
    <row r="2" spans="1:3" x14ac:dyDescent="0.3">
      <c r="A2" s="2" t="s">
        <v>51</v>
      </c>
      <c r="B2" s="2" t="s">
        <v>2336</v>
      </c>
      <c r="C2" s="2" t="s">
        <v>137</v>
      </c>
    </row>
    <row r="3" spans="1:3" ht="43.2" x14ac:dyDescent="0.3">
      <c r="A3" s="309">
        <v>1</v>
      </c>
      <c r="B3" s="310" t="s">
        <v>4062</v>
      </c>
      <c r="C3" s="387" t="s">
        <v>4063</v>
      </c>
    </row>
    <row r="4" spans="1:3" ht="28.8" x14ac:dyDescent="0.3">
      <c r="A4" s="309">
        <v>2</v>
      </c>
      <c r="B4" s="268" t="s">
        <v>4064</v>
      </c>
      <c r="C4" s="433"/>
    </row>
    <row r="5" spans="1:3" x14ac:dyDescent="0.3">
      <c r="A5" s="3"/>
      <c r="B5" s="30"/>
      <c r="C5" s="30"/>
    </row>
    <row r="6" spans="1:3" x14ac:dyDescent="0.3">
      <c r="A6" s="3"/>
      <c r="B6" s="30"/>
      <c r="C6" s="30"/>
    </row>
    <row r="9" spans="1:3" x14ac:dyDescent="0.3">
      <c r="B9" s="305" t="s">
        <v>4039</v>
      </c>
    </row>
  </sheetData>
  <mergeCells count="1">
    <mergeCell ref="C3:C4"/>
  </mergeCells>
  <hyperlinks>
    <hyperlink ref="C3" r:id="rId1" xr:uid="{188520DC-8D25-4554-AB81-81C6D1B594EB}"/>
    <hyperlink ref="B9" location="'Daftar Sheet'!A1" display="&lt;&lt;&lt; Daftar Sheet" xr:uid="{AA980355-A177-40D0-A2EC-3609096127A6}"/>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83F2B-B191-4919-9D7F-75EF330F4C91}">
  <dimension ref="A2:C8"/>
  <sheetViews>
    <sheetView zoomScale="85" zoomScaleNormal="85" workbookViewId="0">
      <selection activeCell="B8" sqref="B8"/>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67" t="s">
        <v>51</v>
      </c>
      <c r="B2" s="267" t="s">
        <v>2336</v>
      </c>
      <c r="C2" s="267" t="s">
        <v>137</v>
      </c>
    </row>
    <row r="3" spans="1:3" x14ac:dyDescent="0.3">
      <c r="A3" s="3" t="s">
        <v>3947</v>
      </c>
      <c r="B3" s="30" t="s">
        <v>3950</v>
      </c>
      <c r="C3" s="387" t="s">
        <v>3952</v>
      </c>
    </row>
    <row r="4" spans="1:3" x14ac:dyDescent="0.3">
      <c r="A4" s="3" t="s">
        <v>3948</v>
      </c>
      <c r="B4" s="30" t="s">
        <v>3953</v>
      </c>
      <c r="C4" s="382"/>
    </row>
    <row r="5" spans="1:3" x14ac:dyDescent="0.3">
      <c r="A5" s="3" t="s">
        <v>3949</v>
      </c>
      <c r="B5" s="30" t="s">
        <v>3951</v>
      </c>
      <c r="C5" s="383"/>
    </row>
    <row r="8" spans="1:3" x14ac:dyDescent="0.3">
      <c r="B8" s="305" t="s">
        <v>4039</v>
      </c>
    </row>
  </sheetData>
  <mergeCells count="1">
    <mergeCell ref="C3:C5"/>
  </mergeCells>
  <hyperlinks>
    <hyperlink ref="C3" r:id="rId1" xr:uid="{15F8E1A4-9CDB-4237-A86A-BFAA7AA6BB3E}"/>
    <hyperlink ref="B8" location="'Daftar Sheet'!A1" display="&lt;&lt;&lt; Daftar Sheet" xr:uid="{2BB8FD29-78D0-49F1-B3D0-7C10D1877867}"/>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A3CC-4BE9-47DF-A06B-5D2F9272011D}">
  <dimension ref="A2:C8"/>
  <sheetViews>
    <sheetView zoomScale="85" zoomScaleNormal="85" workbookViewId="0">
      <selection activeCell="B8" sqref="B8"/>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67" t="s">
        <v>51</v>
      </c>
      <c r="B2" s="267" t="s">
        <v>2336</v>
      </c>
      <c r="C2" s="267" t="s">
        <v>137</v>
      </c>
    </row>
    <row r="3" spans="1:3" ht="43.2" x14ac:dyDescent="0.3">
      <c r="A3" s="3">
        <v>1</v>
      </c>
      <c r="B3" s="268" t="s">
        <v>3954</v>
      </c>
      <c r="C3" s="387" t="s">
        <v>3955</v>
      </c>
    </row>
    <row r="4" spans="1:3" x14ac:dyDescent="0.3">
      <c r="A4" s="3"/>
      <c r="B4" s="30"/>
      <c r="C4" s="382"/>
    </row>
    <row r="5" spans="1:3" x14ac:dyDescent="0.3">
      <c r="A5" s="3"/>
      <c r="B5" s="30"/>
      <c r="C5" s="383"/>
    </row>
    <row r="8" spans="1:3" x14ac:dyDescent="0.3">
      <c r="B8" s="305" t="s">
        <v>4039</v>
      </c>
    </row>
  </sheetData>
  <mergeCells count="1">
    <mergeCell ref="C3:C5"/>
  </mergeCells>
  <hyperlinks>
    <hyperlink ref="C3" r:id="rId1" xr:uid="{E1EB4CC7-F704-465E-BE8D-41C559BABCE3}"/>
    <hyperlink ref="B8" location="'Daftar Sheet'!A1" display="&lt;&lt;&lt; Daftar Sheet" xr:uid="{EE375C52-D863-4B0F-B7F2-7C549E205F0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02FF-A485-404E-A3B6-B7DFC111E3F6}">
  <dimension ref="A2:C8"/>
  <sheetViews>
    <sheetView zoomScale="85" zoomScaleNormal="85" workbookViewId="0">
      <selection activeCell="B8" sqref="B8"/>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67" t="s">
        <v>51</v>
      </c>
      <c r="B2" s="267" t="s">
        <v>2336</v>
      </c>
      <c r="C2" s="267" t="s">
        <v>137</v>
      </c>
    </row>
    <row r="3" spans="1:3" x14ac:dyDescent="0.3">
      <c r="A3" s="3" t="s">
        <v>3947</v>
      </c>
      <c r="B3" s="268" t="s">
        <v>3957</v>
      </c>
      <c r="C3" s="387" t="s">
        <v>3958</v>
      </c>
    </row>
    <row r="4" spans="1:3" x14ac:dyDescent="0.3">
      <c r="A4" s="3" t="s">
        <v>3948</v>
      </c>
      <c r="B4" s="30" t="s">
        <v>3956</v>
      </c>
      <c r="C4" s="382"/>
    </row>
    <row r="5" spans="1:3" x14ac:dyDescent="0.3">
      <c r="A5" s="3"/>
      <c r="B5" s="30"/>
      <c r="C5" s="383"/>
    </row>
    <row r="8" spans="1:3" x14ac:dyDescent="0.3">
      <c r="B8" s="305" t="s">
        <v>4039</v>
      </c>
    </row>
  </sheetData>
  <mergeCells count="1">
    <mergeCell ref="C3:C5"/>
  </mergeCells>
  <hyperlinks>
    <hyperlink ref="C3" r:id="rId1" xr:uid="{8D47BD91-1219-4EF1-9D76-A95282ADB3C3}"/>
    <hyperlink ref="B8" location="'Daftar Sheet'!A1" display="&lt;&lt;&lt; Daftar Sheet" xr:uid="{4C865638-EDFF-4860-A010-90F5CBF8CFEE}"/>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BB4D-AA17-4803-AD96-AEF63D7021A0}">
  <dimension ref="A2:C10"/>
  <sheetViews>
    <sheetView zoomScale="85" zoomScaleNormal="85" workbookViewId="0">
      <selection activeCell="B10" sqref="B10"/>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 t="s">
        <v>51</v>
      </c>
      <c r="B2" s="2" t="s">
        <v>2336</v>
      </c>
      <c r="C2" s="2" t="s">
        <v>137</v>
      </c>
    </row>
    <row r="3" spans="1:3" ht="43.2" x14ac:dyDescent="0.3">
      <c r="A3" s="3" t="s">
        <v>3947</v>
      </c>
      <c r="B3" s="268" t="s">
        <v>3961</v>
      </c>
      <c r="C3" s="387" t="s">
        <v>3966</v>
      </c>
    </row>
    <row r="4" spans="1:3" ht="86.4" x14ac:dyDescent="0.3">
      <c r="A4" s="3" t="s">
        <v>3948</v>
      </c>
      <c r="B4" s="268" t="s">
        <v>3962</v>
      </c>
      <c r="C4" s="434"/>
    </row>
    <row r="5" spans="1:3" ht="57.6" x14ac:dyDescent="0.3">
      <c r="A5" s="3" t="s">
        <v>3949</v>
      </c>
      <c r="B5" s="268" t="s">
        <v>3963</v>
      </c>
      <c r="C5" s="434"/>
    </row>
    <row r="6" spans="1:3" ht="43.2" x14ac:dyDescent="0.3">
      <c r="A6" s="3" t="s">
        <v>3959</v>
      </c>
      <c r="B6" s="268" t="s">
        <v>3964</v>
      </c>
      <c r="C6" s="434"/>
    </row>
    <row r="7" spans="1:3" ht="28.8" x14ac:dyDescent="0.3">
      <c r="A7" s="3" t="s">
        <v>3960</v>
      </c>
      <c r="B7" s="268" t="s">
        <v>3965</v>
      </c>
      <c r="C7" s="433"/>
    </row>
    <row r="10" spans="1:3" x14ac:dyDescent="0.3">
      <c r="B10" s="305" t="s">
        <v>4039</v>
      </c>
    </row>
  </sheetData>
  <mergeCells count="1">
    <mergeCell ref="C3:C7"/>
  </mergeCells>
  <hyperlinks>
    <hyperlink ref="C3" r:id="rId1" xr:uid="{AD7C12E2-1645-4738-A8E7-B6983A044162}"/>
    <hyperlink ref="B10" location="'Daftar Sheet'!A1" display="&lt;&lt;&lt; Daftar Sheet" xr:uid="{18712A2B-6212-4BA4-9C1B-DF0F7D15680A}"/>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BFB1-F932-4B67-8854-0A202AE62FEA}">
  <dimension ref="A2:P100"/>
  <sheetViews>
    <sheetView zoomScale="85" zoomScaleNormal="85" workbookViewId="0">
      <pane xSplit="3" ySplit="3" topLeftCell="D97" activePane="bottomRight" state="frozen"/>
      <selection pane="topRight" activeCell="D1" sqref="D1"/>
      <selection pane="bottomLeft" activeCell="A4" sqref="A4"/>
      <selection pane="bottomRight" activeCell="C100" sqref="C100"/>
    </sheetView>
  </sheetViews>
  <sheetFormatPr defaultRowHeight="14.4" x14ac:dyDescent="0.3"/>
  <cols>
    <col min="1" max="1" width="3.77734375" style="10" bestFit="1" customWidth="1"/>
    <col min="2" max="2" width="8.77734375" style="10"/>
    <col min="3" max="3" width="15.44140625" style="10" bestFit="1" customWidth="1"/>
    <col min="4" max="4" width="50.33203125" bestFit="1" customWidth="1"/>
    <col min="5" max="5" width="12.21875" style="10" customWidth="1"/>
    <col min="6" max="6" width="11.6640625" style="111" customWidth="1"/>
    <col min="7" max="7" width="8.77734375" style="111"/>
    <col min="8" max="8" width="13.21875" style="111" customWidth="1"/>
    <col min="9" max="9" width="15.21875" style="1" customWidth="1"/>
    <col min="10" max="10" width="8.77734375" style="1"/>
    <col min="11" max="11" width="12.33203125" style="1" bestFit="1" customWidth="1"/>
    <col min="12" max="12" width="12" style="1" customWidth="1"/>
    <col min="13" max="13" width="13.109375" style="1" customWidth="1"/>
    <col min="14" max="14" width="18.109375" style="1" customWidth="1"/>
    <col min="15" max="15" width="13.88671875" style="10" customWidth="1"/>
    <col min="16" max="16" width="81.44140625" bestFit="1" customWidth="1"/>
  </cols>
  <sheetData>
    <row r="2" spans="1:16" s="10" customFormat="1" ht="43.5" customHeight="1" x14ac:dyDescent="0.3">
      <c r="A2" s="391" t="s">
        <v>51</v>
      </c>
      <c r="B2" s="391" t="s">
        <v>1603</v>
      </c>
      <c r="C2" s="391" t="s">
        <v>1604</v>
      </c>
      <c r="D2" s="391" t="s">
        <v>1605</v>
      </c>
      <c r="E2" s="390" t="s">
        <v>1704</v>
      </c>
      <c r="F2" s="390" t="s">
        <v>1606</v>
      </c>
      <c r="G2" s="390"/>
      <c r="H2" s="390"/>
      <c r="I2" s="390" t="s">
        <v>1607</v>
      </c>
      <c r="J2" s="391" t="s">
        <v>1608</v>
      </c>
      <c r="K2" s="391"/>
      <c r="L2" s="391"/>
      <c r="M2" s="391"/>
      <c r="N2" s="439" t="s">
        <v>1708</v>
      </c>
      <c r="O2" s="439" t="s">
        <v>1709</v>
      </c>
      <c r="P2" s="391" t="s">
        <v>137</v>
      </c>
    </row>
    <row r="3" spans="1:16" s="10" customFormat="1" ht="57.6" x14ac:dyDescent="0.3">
      <c r="A3" s="391"/>
      <c r="B3" s="391"/>
      <c r="C3" s="391"/>
      <c r="D3" s="391"/>
      <c r="E3" s="390"/>
      <c r="F3" s="108" t="s">
        <v>1609</v>
      </c>
      <c r="G3" s="108" t="s">
        <v>757</v>
      </c>
      <c r="H3" s="108" t="s">
        <v>1610</v>
      </c>
      <c r="I3" s="390"/>
      <c r="J3" s="2" t="s">
        <v>1611</v>
      </c>
      <c r="K3" s="2" t="s">
        <v>1705</v>
      </c>
      <c r="L3" s="108" t="s">
        <v>1706</v>
      </c>
      <c r="M3" s="108" t="s">
        <v>1707</v>
      </c>
      <c r="N3" s="440"/>
      <c r="O3" s="440"/>
      <c r="P3" s="391"/>
    </row>
    <row r="4" spans="1:16" ht="14.55" customHeight="1" x14ac:dyDescent="0.3">
      <c r="A4" s="3">
        <v>1</v>
      </c>
      <c r="B4" s="381">
        <v>1</v>
      </c>
      <c r="C4" s="3">
        <v>1000012</v>
      </c>
      <c r="D4" s="30" t="s">
        <v>1612</v>
      </c>
      <c r="E4" s="3"/>
      <c r="F4" s="110">
        <v>2</v>
      </c>
      <c r="G4" s="110"/>
      <c r="H4" s="110"/>
      <c r="I4" s="33"/>
      <c r="J4" s="33" t="s">
        <v>1016</v>
      </c>
      <c r="K4" s="33" t="s">
        <v>1016</v>
      </c>
      <c r="L4" s="33" t="s">
        <v>1016</v>
      </c>
      <c r="M4" s="33"/>
      <c r="N4" s="33" t="s">
        <v>1016</v>
      </c>
      <c r="O4" s="3" t="s">
        <v>1613</v>
      </c>
      <c r="P4" s="438" t="s">
        <v>3967</v>
      </c>
    </row>
    <row r="5" spans="1:16" x14ac:dyDescent="0.3">
      <c r="A5" s="3">
        <v>2</v>
      </c>
      <c r="B5" s="382"/>
      <c r="C5" s="3"/>
      <c r="D5" s="126" t="s">
        <v>1614</v>
      </c>
      <c r="E5" s="3"/>
      <c r="F5" s="110">
        <v>2</v>
      </c>
      <c r="G5" s="110"/>
      <c r="H5" s="110"/>
      <c r="I5" s="33"/>
      <c r="J5" s="33"/>
      <c r="K5" s="33"/>
      <c r="L5" s="33"/>
      <c r="M5" s="33"/>
      <c r="N5" s="33"/>
      <c r="O5" s="3" t="s">
        <v>1613</v>
      </c>
      <c r="P5" s="438"/>
    </row>
    <row r="6" spans="1:16" x14ac:dyDescent="0.3">
      <c r="A6" s="3">
        <v>3</v>
      </c>
      <c r="B6" s="382"/>
      <c r="C6" s="3"/>
      <c r="D6" s="126" t="s">
        <v>1615</v>
      </c>
      <c r="E6" s="3"/>
      <c r="F6" s="110">
        <v>2</v>
      </c>
      <c r="G6" s="110"/>
      <c r="H6" s="110"/>
      <c r="I6" s="33"/>
      <c r="J6" s="33"/>
      <c r="K6" s="33"/>
      <c r="L6" s="33"/>
      <c r="M6" s="33"/>
      <c r="N6" s="33"/>
      <c r="O6" s="3" t="s">
        <v>1613</v>
      </c>
      <c r="P6" s="438"/>
    </row>
    <row r="7" spans="1:16" x14ac:dyDescent="0.3">
      <c r="A7" s="3">
        <v>4</v>
      </c>
      <c r="B7" s="382"/>
      <c r="C7" s="3"/>
      <c r="D7" s="126" t="s">
        <v>1616</v>
      </c>
      <c r="E7" s="3"/>
      <c r="F7" s="110">
        <v>2</v>
      </c>
      <c r="G7" s="110"/>
      <c r="H7" s="110"/>
      <c r="I7" s="33"/>
      <c r="J7" s="33"/>
      <c r="K7" s="33"/>
      <c r="L7" s="33"/>
      <c r="M7" s="33"/>
      <c r="N7" s="33"/>
      <c r="O7" s="3" t="s">
        <v>1613</v>
      </c>
      <c r="P7" s="438"/>
    </row>
    <row r="8" spans="1:16" x14ac:dyDescent="0.3">
      <c r="A8" s="3">
        <v>5</v>
      </c>
      <c r="B8" s="382"/>
      <c r="C8" s="3"/>
      <c r="D8" s="126" t="s">
        <v>1617</v>
      </c>
      <c r="E8" s="3"/>
      <c r="F8" s="110">
        <v>2</v>
      </c>
      <c r="G8" s="110"/>
      <c r="H8" s="110"/>
      <c r="I8" s="33"/>
      <c r="J8" s="33"/>
      <c r="K8" s="33"/>
      <c r="L8" s="33"/>
      <c r="M8" s="33"/>
      <c r="N8" s="33"/>
      <c r="O8" s="3" t="s">
        <v>1613</v>
      </c>
      <c r="P8" s="438"/>
    </row>
    <row r="9" spans="1:16" x14ac:dyDescent="0.3">
      <c r="A9" s="3">
        <v>6</v>
      </c>
      <c r="B9" s="382"/>
      <c r="C9" s="3"/>
      <c r="D9" s="126" t="s">
        <v>1618</v>
      </c>
      <c r="E9" s="3"/>
      <c r="F9" s="110">
        <v>2</v>
      </c>
      <c r="G9" s="110"/>
      <c r="H9" s="110"/>
      <c r="I9" s="33"/>
      <c r="J9" s="33"/>
      <c r="K9" s="33"/>
      <c r="L9" s="33"/>
      <c r="M9" s="33"/>
      <c r="N9" s="33"/>
      <c r="O9" s="3" t="s">
        <v>1613</v>
      </c>
      <c r="P9" s="438"/>
    </row>
    <row r="10" spans="1:16" x14ac:dyDescent="0.3">
      <c r="A10" s="3">
        <v>7</v>
      </c>
      <c r="B10" s="382"/>
      <c r="C10" s="3">
        <v>1000072</v>
      </c>
      <c r="D10" s="30" t="s">
        <v>1619</v>
      </c>
      <c r="E10" s="3"/>
      <c r="F10" s="110">
        <v>2</v>
      </c>
      <c r="G10" s="110"/>
      <c r="H10" s="110"/>
      <c r="I10" s="33"/>
      <c r="J10" s="33" t="s">
        <v>1016</v>
      </c>
      <c r="K10" s="33" t="s">
        <v>1016</v>
      </c>
      <c r="L10" s="33" t="s">
        <v>1016</v>
      </c>
      <c r="M10" s="33"/>
      <c r="N10" s="33" t="s">
        <v>1016</v>
      </c>
      <c r="O10" s="3" t="s">
        <v>1620</v>
      </c>
      <c r="P10" s="438"/>
    </row>
    <row r="11" spans="1:16" x14ac:dyDescent="0.3">
      <c r="A11" s="3">
        <v>8</v>
      </c>
      <c r="B11" s="382"/>
      <c r="C11" s="3">
        <v>1000101</v>
      </c>
      <c r="D11" s="30" t="s">
        <v>1621</v>
      </c>
      <c r="E11" s="3"/>
      <c r="F11" s="110"/>
      <c r="G11" s="110"/>
      <c r="H11" s="110">
        <v>1</v>
      </c>
      <c r="I11" s="33"/>
      <c r="J11" s="33" t="s">
        <v>1016</v>
      </c>
      <c r="K11" s="33" t="s">
        <v>1016</v>
      </c>
      <c r="L11" s="33" t="s">
        <v>1016</v>
      </c>
      <c r="M11" s="33"/>
      <c r="N11" s="33" t="s">
        <v>1016</v>
      </c>
      <c r="O11" s="3" t="s">
        <v>1620</v>
      </c>
      <c r="P11" s="438"/>
    </row>
    <row r="12" spans="1:16" x14ac:dyDescent="0.3">
      <c r="A12" s="3">
        <v>9</v>
      </c>
      <c r="B12" s="382"/>
      <c r="C12" s="3">
        <v>1100013</v>
      </c>
      <c r="D12" s="30" t="s">
        <v>1622</v>
      </c>
      <c r="E12" s="3"/>
      <c r="F12" s="110">
        <v>3</v>
      </c>
      <c r="G12" s="110"/>
      <c r="H12" s="110"/>
      <c r="I12" s="33"/>
      <c r="J12" s="33"/>
      <c r="K12" s="33" t="s">
        <v>1016</v>
      </c>
      <c r="L12" s="33" t="s">
        <v>1016</v>
      </c>
      <c r="M12" s="33"/>
      <c r="N12" s="33" t="s">
        <v>1016</v>
      </c>
      <c r="O12" s="3" t="s">
        <v>1613</v>
      </c>
      <c r="P12" s="438"/>
    </row>
    <row r="13" spans="1:16" x14ac:dyDescent="0.3">
      <c r="A13" s="3">
        <v>10</v>
      </c>
      <c r="B13" s="382"/>
      <c r="C13" s="3">
        <v>1100023</v>
      </c>
      <c r="D13" s="30" t="s">
        <v>1623</v>
      </c>
      <c r="E13" s="3"/>
      <c r="F13" s="110">
        <v>3</v>
      </c>
      <c r="G13" s="110"/>
      <c r="H13" s="110"/>
      <c r="I13" s="33"/>
      <c r="J13" s="33"/>
      <c r="K13" s="33" t="s">
        <v>1016</v>
      </c>
      <c r="L13" s="33" t="s">
        <v>1016</v>
      </c>
      <c r="M13" s="33"/>
      <c r="N13" s="33" t="s">
        <v>1016</v>
      </c>
      <c r="O13" s="3" t="s">
        <v>1613</v>
      </c>
      <c r="P13" s="438"/>
    </row>
    <row r="14" spans="1:16" x14ac:dyDescent="0.3">
      <c r="A14" s="3">
        <v>11</v>
      </c>
      <c r="B14" s="382"/>
      <c r="C14" s="3">
        <v>1100033</v>
      </c>
      <c r="D14" s="30" t="s">
        <v>1624</v>
      </c>
      <c r="E14" s="3"/>
      <c r="F14" s="110">
        <v>3</v>
      </c>
      <c r="G14" s="110"/>
      <c r="H14" s="110"/>
      <c r="I14" s="33"/>
      <c r="J14" s="33"/>
      <c r="K14" s="33" t="s">
        <v>1016</v>
      </c>
      <c r="L14" s="33" t="s">
        <v>1016</v>
      </c>
      <c r="M14" s="33"/>
      <c r="N14" s="33" t="s">
        <v>1016</v>
      </c>
      <c r="O14" s="3" t="s">
        <v>1613</v>
      </c>
      <c r="P14" s="438"/>
    </row>
    <row r="15" spans="1:16" x14ac:dyDescent="0.3">
      <c r="A15" s="3">
        <v>12</v>
      </c>
      <c r="B15" s="382"/>
      <c r="C15" s="3">
        <v>1100053</v>
      </c>
      <c r="D15" s="30" t="s">
        <v>1625</v>
      </c>
      <c r="E15" s="3"/>
      <c r="F15" s="110">
        <v>3</v>
      </c>
      <c r="G15" s="110"/>
      <c r="H15" s="110"/>
      <c r="I15" s="33"/>
      <c r="J15" s="33"/>
      <c r="K15" s="33" t="s">
        <v>1016</v>
      </c>
      <c r="L15" s="33" t="s">
        <v>1016</v>
      </c>
      <c r="M15" s="33"/>
      <c r="N15" s="33" t="s">
        <v>1016</v>
      </c>
      <c r="O15" s="3" t="s">
        <v>1613</v>
      </c>
      <c r="P15" s="438"/>
    </row>
    <row r="16" spans="1:16" x14ac:dyDescent="0.3">
      <c r="A16" s="3">
        <v>13</v>
      </c>
      <c r="B16" s="383"/>
      <c r="C16" s="3">
        <v>1130013</v>
      </c>
      <c r="D16" s="30" t="s">
        <v>1626</v>
      </c>
      <c r="E16" s="3" t="s">
        <v>1016</v>
      </c>
      <c r="F16" s="110">
        <v>3</v>
      </c>
      <c r="G16" s="110"/>
      <c r="H16" s="110"/>
      <c r="I16" s="33"/>
      <c r="J16" s="33" t="s">
        <v>1016</v>
      </c>
      <c r="K16" s="33" t="s">
        <v>1016</v>
      </c>
      <c r="L16" s="33" t="s">
        <v>1016</v>
      </c>
      <c r="M16" s="33" t="s">
        <v>1016</v>
      </c>
      <c r="N16" s="33" t="s">
        <v>1016</v>
      </c>
      <c r="O16" s="3" t="s">
        <v>1627</v>
      </c>
      <c r="P16" s="438"/>
    </row>
    <row r="17" spans="1:16" x14ac:dyDescent="0.3">
      <c r="A17" s="3">
        <v>14</v>
      </c>
      <c r="B17" s="381">
        <v>2</v>
      </c>
      <c r="C17" s="3">
        <v>1000132</v>
      </c>
      <c r="D17" s="30" t="s">
        <v>1628</v>
      </c>
      <c r="E17" s="3"/>
      <c r="F17" s="110">
        <v>2</v>
      </c>
      <c r="G17" s="110"/>
      <c r="H17" s="110"/>
      <c r="I17" s="33"/>
      <c r="J17" s="33"/>
      <c r="K17" s="33" t="s">
        <v>1016</v>
      </c>
      <c r="L17" s="33" t="s">
        <v>1016</v>
      </c>
      <c r="M17" s="33"/>
      <c r="N17" s="33" t="s">
        <v>1016</v>
      </c>
      <c r="O17" s="3" t="s">
        <v>1613</v>
      </c>
      <c r="P17" s="284" t="s">
        <v>3968</v>
      </c>
    </row>
    <row r="18" spans="1:16" x14ac:dyDescent="0.3">
      <c r="A18" s="3">
        <v>15</v>
      </c>
      <c r="B18" s="382"/>
      <c r="C18" s="3">
        <v>1000092</v>
      </c>
      <c r="D18" s="30" t="s">
        <v>1629</v>
      </c>
      <c r="E18" s="3"/>
      <c r="F18" s="110">
        <v>2</v>
      </c>
      <c r="G18" s="110"/>
      <c r="H18" s="110"/>
      <c r="I18" s="33"/>
      <c r="J18" s="33" t="s">
        <v>1016</v>
      </c>
      <c r="K18" s="33" t="s">
        <v>1016</v>
      </c>
      <c r="L18" s="33" t="s">
        <v>1016</v>
      </c>
      <c r="M18" s="33"/>
      <c r="N18" s="33" t="s">
        <v>1016</v>
      </c>
      <c r="O18" s="3" t="s">
        <v>1620</v>
      </c>
      <c r="P18" s="434" t="s">
        <v>3969</v>
      </c>
    </row>
    <row r="19" spans="1:16" x14ac:dyDescent="0.3">
      <c r="A19" s="3">
        <v>16</v>
      </c>
      <c r="B19" s="382"/>
      <c r="C19" s="3">
        <v>1000082</v>
      </c>
      <c r="D19" s="30" t="s">
        <v>1630</v>
      </c>
      <c r="E19" s="3"/>
      <c r="F19" s="110">
        <v>2</v>
      </c>
      <c r="G19" s="110"/>
      <c r="H19" s="110"/>
      <c r="I19" s="33"/>
      <c r="J19" s="33" t="s">
        <v>1016</v>
      </c>
      <c r="K19" s="33" t="s">
        <v>1016</v>
      </c>
      <c r="L19" s="33" t="s">
        <v>1016</v>
      </c>
      <c r="M19" s="33"/>
      <c r="N19" s="33" t="s">
        <v>1016</v>
      </c>
      <c r="O19" s="3" t="s">
        <v>1620</v>
      </c>
      <c r="P19" s="382"/>
    </row>
    <row r="20" spans="1:16" x14ac:dyDescent="0.3">
      <c r="A20" s="3">
        <v>17</v>
      </c>
      <c r="B20" s="382"/>
      <c r="C20" s="3">
        <v>1000111</v>
      </c>
      <c r="D20" s="30" t="s">
        <v>1631</v>
      </c>
      <c r="E20" s="3"/>
      <c r="F20" s="110"/>
      <c r="G20" s="110"/>
      <c r="H20" s="110">
        <v>1</v>
      </c>
      <c r="I20" s="33"/>
      <c r="J20" s="33"/>
      <c r="K20" s="33"/>
      <c r="L20" s="33"/>
      <c r="M20" s="33"/>
      <c r="N20" s="33" t="s">
        <v>1016</v>
      </c>
      <c r="O20" s="3" t="s">
        <v>1620</v>
      </c>
      <c r="P20" s="382"/>
    </row>
    <row r="21" spans="1:16" x14ac:dyDescent="0.3">
      <c r="A21" s="3">
        <v>18</v>
      </c>
      <c r="B21" s="382"/>
      <c r="C21" s="3">
        <v>1000122</v>
      </c>
      <c r="D21" s="30" t="s">
        <v>1632</v>
      </c>
      <c r="E21" s="3"/>
      <c r="F21" s="110">
        <v>2</v>
      </c>
      <c r="G21" s="110"/>
      <c r="H21" s="110"/>
      <c r="I21" s="33"/>
      <c r="J21" s="33" t="s">
        <v>1016</v>
      </c>
      <c r="K21" s="33" t="s">
        <v>1016</v>
      </c>
      <c r="L21" s="33" t="s">
        <v>1016</v>
      </c>
      <c r="M21" s="33"/>
      <c r="N21" s="33" t="s">
        <v>1016</v>
      </c>
      <c r="O21" s="3" t="s">
        <v>1613</v>
      </c>
      <c r="P21" s="382"/>
    </row>
    <row r="22" spans="1:16" x14ac:dyDescent="0.3">
      <c r="A22" s="3">
        <v>19</v>
      </c>
      <c r="B22" s="382"/>
      <c r="C22" s="3">
        <v>1130022</v>
      </c>
      <c r="D22" s="30" t="s">
        <v>1633</v>
      </c>
      <c r="E22" s="3"/>
      <c r="F22" s="110">
        <v>2</v>
      </c>
      <c r="G22" s="110"/>
      <c r="H22" s="110"/>
      <c r="I22" s="33"/>
      <c r="J22" s="33"/>
      <c r="K22" s="33"/>
      <c r="L22" s="33"/>
      <c r="M22" s="33"/>
      <c r="N22" s="33" t="s">
        <v>1016</v>
      </c>
      <c r="O22" s="3" t="s">
        <v>1613</v>
      </c>
      <c r="P22" s="382"/>
    </row>
    <row r="23" spans="1:16" x14ac:dyDescent="0.3">
      <c r="A23" s="3">
        <v>20</v>
      </c>
      <c r="B23" s="382"/>
      <c r="C23" s="3">
        <v>1130032</v>
      </c>
      <c r="D23" s="30" t="s">
        <v>1634</v>
      </c>
      <c r="E23" s="3"/>
      <c r="F23" s="110">
        <v>2</v>
      </c>
      <c r="G23" s="110"/>
      <c r="H23" s="110"/>
      <c r="I23" s="33"/>
      <c r="J23" s="33"/>
      <c r="K23" s="33" t="s">
        <v>1016</v>
      </c>
      <c r="L23" s="33" t="s">
        <v>1016</v>
      </c>
      <c r="M23" s="33"/>
      <c r="N23" s="33" t="s">
        <v>1016</v>
      </c>
      <c r="O23" s="3" t="s">
        <v>1613</v>
      </c>
      <c r="P23" s="382"/>
    </row>
    <row r="24" spans="1:16" x14ac:dyDescent="0.3">
      <c r="A24" s="3">
        <v>21</v>
      </c>
      <c r="B24" s="382"/>
      <c r="C24" s="3">
        <v>1130042</v>
      </c>
      <c r="D24" s="30" t="s">
        <v>1635</v>
      </c>
      <c r="E24" s="3" t="s">
        <v>1016</v>
      </c>
      <c r="F24" s="110">
        <v>2</v>
      </c>
      <c r="G24" s="110"/>
      <c r="H24" s="110"/>
      <c r="I24" s="33"/>
      <c r="J24" s="33" t="s">
        <v>1016</v>
      </c>
      <c r="K24" s="33" t="s">
        <v>1016</v>
      </c>
      <c r="L24" s="33" t="s">
        <v>1016</v>
      </c>
      <c r="M24" s="33" t="s">
        <v>1016</v>
      </c>
      <c r="N24" s="33" t="s">
        <v>1016</v>
      </c>
      <c r="O24" s="3" t="s">
        <v>1627</v>
      </c>
      <c r="P24" s="382"/>
    </row>
    <row r="25" spans="1:16" x14ac:dyDescent="0.3">
      <c r="A25" s="3">
        <v>22</v>
      </c>
      <c r="B25" s="382"/>
      <c r="C25" s="3">
        <v>1130152</v>
      </c>
      <c r="D25" s="30" t="s">
        <v>1636</v>
      </c>
      <c r="E25" s="3" t="s">
        <v>1016</v>
      </c>
      <c r="F25" s="110">
        <v>2</v>
      </c>
      <c r="G25" s="110"/>
      <c r="H25" s="110"/>
      <c r="I25" s="33"/>
      <c r="J25" s="33" t="s">
        <v>1016</v>
      </c>
      <c r="K25" s="33" t="s">
        <v>1016</v>
      </c>
      <c r="L25" s="33" t="s">
        <v>1016</v>
      </c>
      <c r="M25" s="33" t="s">
        <v>1016</v>
      </c>
      <c r="N25" s="33" t="s">
        <v>1016</v>
      </c>
      <c r="O25" s="3" t="s">
        <v>1627</v>
      </c>
      <c r="P25" s="382"/>
    </row>
    <row r="26" spans="1:16" x14ac:dyDescent="0.3">
      <c r="A26" s="3">
        <v>23</v>
      </c>
      <c r="B26" s="382"/>
      <c r="C26" s="3">
        <v>1130222</v>
      </c>
      <c r="D26" s="30" t="s">
        <v>1637</v>
      </c>
      <c r="E26" s="3" t="s">
        <v>1016</v>
      </c>
      <c r="F26" s="110">
        <v>2</v>
      </c>
      <c r="G26" s="110"/>
      <c r="H26" s="110"/>
      <c r="I26" s="33"/>
      <c r="J26" s="33" t="s">
        <v>1016</v>
      </c>
      <c r="K26" s="33" t="s">
        <v>1016</v>
      </c>
      <c r="L26" s="33" t="s">
        <v>1016</v>
      </c>
      <c r="M26" s="33" t="s">
        <v>1016</v>
      </c>
      <c r="N26" s="33" t="s">
        <v>1016</v>
      </c>
      <c r="O26" s="3" t="s">
        <v>1627</v>
      </c>
      <c r="P26" s="382"/>
    </row>
    <row r="27" spans="1:16" x14ac:dyDescent="0.3">
      <c r="A27" s="3">
        <v>24</v>
      </c>
      <c r="B27" s="383"/>
      <c r="C27" s="3">
        <v>1130381</v>
      </c>
      <c r="D27" s="126" t="s">
        <v>1638</v>
      </c>
      <c r="E27" s="3" t="s">
        <v>1016</v>
      </c>
      <c r="F27" s="110"/>
      <c r="G27" s="110"/>
      <c r="H27" s="110">
        <v>1</v>
      </c>
      <c r="I27" s="33"/>
      <c r="J27" s="33" t="s">
        <v>1016</v>
      </c>
      <c r="K27" s="33" t="s">
        <v>1016</v>
      </c>
      <c r="L27" s="33" t="s">
        <v>1016</v>
      </c>
      <c r="M27" s="33" t="s">
        <v>1016</v>
      </c>
      <c r="N27" s="33" t="s">
        <v>1016</v>
      </c>
      <c r="O27" s="3" t="s">
        <v>1627</v>
      </c>
      <c r="P27" s="382"/>
    </row>
    <row r="28" spans="1:16" x14ac:dyDescent="0.3">
      <c r="A28" s="3">
        <v>25</v>
      </c>
      <c r="B28" s="381">
        <v>3</v>
      </c>
      <c r="C28" s="3">
        <v>1100042</v>
      </c>
      <c r="D28" s="30" t="s">
        <v>1639</v>
      </c>
      <c r="E28" s="3"/>
      <c r="F28" s="110">
        <v>2</v>
      </c>
      <c r="G28" s="110"/>
      <c r="H28" s="110"/>
      <c r="I28" s="33"/>
      <c r="J28" s="33"/>
      <c r="K28" s="33" t="s">
        <v>1016</v>
      </c>
      <c r="L28" s="33" t="s">
        <v>1016</v>
      </c>
      <c r="M28" s="33"/>
      <c r="N28" s="33" t="s">
        <v>1016</v>
      </c>
      <c r="O28" s="3" t="s">
        <v>1613</v>
      </c>
      <c r="P28" s="282"/>
    </row>
    <row r="29" spans="1:16" x14ac:dyDescent="0.3">
      <c r="A29" s="3">
        <v>26</v>
      </c>
      <c r="B29" s="382"/>
      <c r="C29" s="3">
        <v>1130082</v>
      </c>
      <c r="D29" s="30" t="s">
        <v>1640</v>
      </c>
      <c r="E29" s="3"/>
      <c r="F29" s="110">
        <v>2</v>
      </c>
      <c r="G29" s="110"/>
      <c r="H29" s="110"/>
      <c r="I29" s="33"/>
      <c r="J29" s="33"/>
      <c r="K29" s="33" t="s">
        <v>1016</v>
      </c>
      <c r="L29" s="33" t="s">
        <v>1016</v>
      </c>
      <c r="M29" s="33"/>
      <c r="N29" s="33" t="s">
        <v>1016</v>
      </c>
      <c r="O29" s="3" t="s">
        <v>1613</v>
      </c>
      <c r="P29" s="282"/>
    </row>
    <row r="30" spans="1:16" x14ac:dyDescent="0.3">
      <c r="A30" s="3">
        <v>27</v>
      </c>
      <c r="B30" s="382"/>
      <c r="C30" s="3">
        <v>1130092</v>
      </c>
      <c r="D30" s="30" t="s">
        <v>1641</v>
      </c>
      <c r="E30" s="3"/>
      <c r="F30" s="110">
        <v>2</v>
      </c>
      <c r="G30" s="110"/>
      <c r="H30" s="110"/>
      <c r="I30" s="33"/>
      <c r="J30" s="33"/>
      <c r="K30" s="33" t="s">
        <v>1016</v>
      </c>
      <c r="L30" s="33" t="s">
        <v>1016</v>
      </c>
      <c r="M30" s="33"/>
      <c r="N30" s="33" t="s">
        <v>1016</v>
      </c>
      <c r="O30" s="3" t="s">
        <v>1613</v>
      </c>
      <c r="P30" s="282"/>
    </row>
    <row r="31" spans="1:16" x14ac:dyDescent="0.3">
      <c r="A31" s="3">
        <v>28</v>
      </c>
      <c r="B31" s="382"/>
      <c r="C31" s="3">
        <v>1130242</v>
      </c>
      <c r="D31" s="30" t="s">
        <v>1642</v>
      </c>
      <c r="E31" s="3" t="s">
        <v>1016</v>
      </c>
      <c r="F31" s="110">
        <v>2</v>
      </c>
      <c r="G31" s="110"/>
      <c r="H31" s="110"/>
      <c r="I31" s="33"/>
      <c r="J31" s="33" t="s">
        <v>1016</v>
      </c>
      <c r="K31" s="33" t="s">
        <v>1016</v>
      </c>
      <c r="L31" s="33" t="s">
        <v>1016</v>
      </c>
      <c r="M31" s="33" t="s">
        <v>1016</v>
      </c>
      <c r="N31" s="33" t="s">
        <v>1016</v>
      </c>
      <c r="O31" s="3" t="s">
        <v>1627</v>
      </c>
      <c r="P31" s="282"/>
    </row>
    <row r="32" spans="1:16" x14ac:dyDescent="0.3">
      <c r="A32" s="3">
        <v>29</v>
      </c>
      <c r="B32" s="382"/>
      <c r="C32" s="3">
        <v>1130162</v>
      </c>
      <c r="D32" s="30" t="s">
        <v>1643</v>
      </c>
      <c r="E32" s="3" t="s">
        <v>1016</v>
      </c>
      <c r="F32" s="110">
        <v>2</v>
      </c>
      <c r="G32" s="110"/>
      <c r="H32" s="110"/>
      <c r="I32" s="33"/>
      <c r="J32" s="33" t="s">
        <v>1016</v>
      </c>
      <c r="K32" s="33" t="s">
        <v>1016</v>
      </c>
      <c r="L32" s="33" t="s">
        <v>1016</v>
      </c>
      <c r="M32" s="33" t="s">
        <v>1016</v>
      </c>
      <c r="N32" s="33" t="s">
        <v>1016</v>
      </c>
      <c r="O32" s="3" t="s">
        <v>1627</v>
      </c>
      <c r="P32" s="282"/>
    </row>
    <row r="33" spans="1:16" x14ac:dyDescent="0.3">
      <c r="A33" s="3">
        <v>30</v>
      </c>
      <c r="B33" s="382"/>
      <c r="C33" s="3">
        <v>1130203</v>
      </c>
      <c r="D33" s="30" t="s">
        <v>1644</v>
      </c>
      <c r="E33" s="3" t="s">
        <v>1016</v>
      </c>
      <c r="F33" s="110">
        <v>3</v>
      </c>
      <c r="G33" s="110"/>
      <c r="H33" s="110"/>
      <c r="I33" s="33"/>
      <c r="J33" s="33"/>
      <c r="K33" s="33" t="s">
        <v>1016</v>
      </c>
      <c r="L33" s="33" t="s">
        <v>1016</v>
      </c>
      <c r="M33" s="33" t="s">
        <v>1016</v>
      </c>
      <c r="N33" s="33" t="s">
        <v>1016</v>
      </c>
      <c r="O33" s="3" t="s">
        <v>1627</v>
      </c>
      <c r="P33" s="282"/>
    </row>
    <row r="34" spans="1:16" x14ac:dyDescent="0.3">
      <c r="A34" s="3">
        <v>31</v>
      </c>
      <c r="B34" s="382"/>
      <c r="C34" s="3">
        <v>1130251</v>
      </c>
      <c r="D34" s="126" t="s">
        <v>1645</v>
      </c>
      <c r="E34" s="3" t="s">
        <v>1016</v>
      </c>
      <c r="F34" s="110"/>
      <c r="G34" s="110"/>
      <c r="H34" s="110">
        <v>1</v>
      </c>
      <c r="I34" s="33"/>
      <c r="J34" s="33" t="s">
        <v>1016</v>
      </c>
      <c r="K34" s="33" t="s">
        <v>1016</v>
      </c>
      <c r="L34" s="33" t="s">
        <v>1016</v>
      </c>
      <c r="M34" s="33" t="s">
        <v>1016</v>
      </c>
      <c r="N34" s="33" t="s">
        <v>1016</v>
      </c>
      <c r="O34" s="3" t="s">
        <v>1627</v>
      </c>
      <c r="P34" s="282"/>
    </row>
    <row r="35" spans="1:16" x14ac:dyDescent="0.3">
      <c r="A35" s="3">
        <v>32</v>
      </c>
      <c r="B35" s="382"/>
      <c r="C35" s="3">
        <v>1130232</v>
      </c>
      <c r="D35" s="30" t="s">
        <v>1646</v>
      </c>
      <c r="E35" s="3" t="s">
        <v>1016</v>
      </c>
      <c r="F35" s="110">
        <v>2</v>
      </c>
      <c r="G35" s="110"/>
      <c r="H35" s="110"/>
      <c r="I35" s="33"/>
      <c r="J35" s="33" t="s">
        <v>1016</v>
      </c>
      <c r="K35" s="33" t="s">
        <v>1016</v>
      </c>
      <c r="L35" s="33" t="s">
        <v>1016</v>
      </c>
      <c r="M35" s="33" t="s">
        <v>1016</v>
      </c>
      <c r="N35" s="33" t="s">
        <v>1016</v>
      </c>
      <c r="O35" s="3" t="s">
        <v>1627</v>
      </c>
      <c r="P35" s="282"/>
    </row>
    <row r="36" spans="1:16" x14ac:dyDescent="0.3">
      <c r="A36" s="3">
        <v>33</v>
      </c>
      <c r="B36" s="382"/>
      <c r="C36" s="3">
        <v>1130141</v>
      </c>
      <c r="D36" s="30" t="s">
        <v>1647</v>
      </c>
      <c r="E36" s="3" t="s">
        <v>1016</v>
      </c>
      <c r="F36" s="110"/>
      <c r="G36" s="110"/>
      <c r="H36" s="110">
        <v>1</v>
      </c>
      <c r="I36" s="33"/>
      <c r="J36" s="33" t="s">
        <v>1016</v>
      </c>
      <c r="K36" s="33" t="s">
        <v>1016</v>
      </c>
      <c r="L36" s="33" t="s">
        <v>1016</v>
      </c>
      <c r="M36" s="33" t="s">
        <v>1016</v>
      </c>
      <c r="N36" s="33" t="s">
        <v>1016</v>
      </c>
      <c r="O36" s="3" t="s">
        <v>1627</v>
      </c>
      <c r="P36" s="282"/>
    </row>
    <row r="37" spans="1:16" x14ac:dyDescent="0.3">
      <c r="A37" s="3">
        <v>34</v>
      </c>
      <c r="B37" s="382"/>
      <c r="C37" s="3">
        <v>1130183</v>
      </c>
      <c r="D37" s="30" t="s">
        <v>1648</v>
      </c>
      <c r="E37" s="3" t="s">
        <v>1016</v>
      </c>
      <c r="F37" s="110">
        <v>3</v>
      </c>
      <c r="G37" s="110"/>
      <c r="H37" s="110"/>
      <c r="I37" s="33"/>
      <c r="J37" s="33" t="s">
        <v>1016</v>
      </c>
      <c r="K37" s="33" t="s">
        <v>1016</v>
      </c>
      <c r="L37" s="33" t="s">
        <v>1016</v>
      </c>
      <c r="M37" s="33" t="s">
        <v>1016</v>
      </c>
      <c r="N37" s="33" t="s">
        <v>1016</v>
      </c>
      <c r="O37" s="3" t="s">
        <v>1627</v>
      </c>
      <c r="P37" s="282"/>
    </row>
    <row r="38" spans="1:16" x14ac:dyDescent="0.3">
      <c r="A38" s="3">
        <v>35</v>
      </c>
      <c r="B38" s="383"/>
      <c r="C38" s="3">
        <v>1130261</v>
      </c>
      <c r="D38" s="30" t="s">
        <v>1649</v>
      </c>
      <c r="E38" s="3" t="s">
        <v>1016</v>
      </c>
      <c r="F38" s="110"/>
      <c r="G38" s="110"/>
      <c r="H38" s="110">
        <v>1</v>
      </c>
      <c r="I38" s="33"/>
      <c r="J38" s="33" t="s">
        <v>1016</v>
      </c>
      <c r="K38" s="33" t="s">
        <v>1016</v>
      </c>
      <c r="L38" s="33" t="s">
        <v>1016</v>
      </c>
      <c r="M38" s="33" t="s">
        <v>1016</v>
      </c>
      <c r="N38" s="33" t="s">
        <v>1016</v>
      </c>
      <c r="O38" s="3" t="s">
        <v>1627</v>
      </c>
      <c r="P38" s="282"/>
    </row>
    <row r="39" spans="1:16" x14ac:dyDescent="0.3">
      <c r="A39" s="3">
        <v>36</v>
      </c>
      <c r="B39" s="381">
        <v>4</v>
      </c>
      <c r="C39" s="3">
        <v>1130293</v>
      </c>
      <c r="D39" s="30" t="s">
        <v>1650</v>
      </c>
      <c r="E39" s="3" t="s">
        <v>1016</v>
      </c>
      <c r="F39" s="110">
        <v>3</v>
      </c>
      <c r="G39" s="110"/>
      <c r="H39" s="110"/>
      <c r="I39" s="33"/>
      <c r="J39" s="33" t="s">
        <v>1016</v>
      </c>
      <c r="K39" s="33" t="s">
        <v>1016</v>
      </c>
      <c r="L39" s="33" t="s">
        <v>1016</v>
      </c>
      <c r="M39" s="33" t="s">
        <v>1016</v>
      </c>
      <c r="N39" s="33" t="s">
        <v>1016</v>
      </c>
      <c r="O39" s="3" t="s">
        <v>1627</v>
      </c>
      <c r="P39" s="282"/>
    </row>
    <row r="40" spans="1:16" x14ac:dyDescent="0.3">
      <c r="A40" s="3">
        <v>37</v>
      </c>
      <c r="B40" s="382"/>
      <c r="C40" s="3">
        <v>1130173</v>
      </c>
      <c r="D40" s="30" t="s">
        <v>1651</v>
      </c>
      <c r="E40" s="3" t="s">
        <v>1016</v>
      </c>
      <c r="F40" s="110">
        <v>3</v>
      </c>
      <c r="G40" s="110"/>
      <c r="H40" s="110"/>
      <c r="I40" s="33"/>
      <c r="J40" s="33" t="s">
        <v>1016</v>
      </c>
      <c r="K40" s="33" t="s">
        <v>1016</v>
      </c>
      <c r="L40" s="33" t="s">
        <v>1016</v>
      </c>
      <c r="M40" s="33" t="s">
        <v>1016</v>
      </c>
      <c r="N40" s="33" t="s">
        <v>1016</v>
      </c>
      <c r="O40" s="3" t="s">
        <v>1627</v>
      </c>
      <c r="P40" s="282"/>
    </row>
    <row r="41" spans="1:16" x14ac:dyDescent="0.3">
      <c r="A41" s="3">
        <v>38</v>
      </c>
      <c r="B41" s="382"/>
      <c r="C41" s="3">
        <v>1130212</v>
      </c>
      <c r="D41" s="30" t="s">
        <v>1652</v>
      </c>
      <c r="E41" s="3" t="s">
        <v>1016</v>
      </c>
      <c r="F41" s="110">
        <v>2</v>
      </c>
      <c r="G41" s="110"/>
      <c r="H41" s="110"/>
      <c r="I41" s="33"/>
      <c r="J41" s="33" t="s">
        <v>1016</v>
      </c>
      <c r="K41" s="33" t="s">
        <v>1016</v>
      </c>
      <c r="L41" s="33" t="s">
        <v>1016</v>
      </c>
      <c r="M41" s="33" t="s">
        <v>1016</v>
      </c>
      <c r="N41" s="33" t="s">
        <v>1016</v>
      </c>
      <c r="O41" s="3" t="s">
        <v>1627</v>
      </c>
      <c r="P41" s="282"/>
    </row>
    <row r="42" spans="1:16" x14ac:dyDescent="0.3">
      <c r="A42" s="3">
        <v>39</v>
      </c>
      <c r="B42" s="382"/>
      <c r="C42" s="3">
        <v>1130313</v>
      </c>
      <c r="D42" s="30" t="s">
        <v>1653</v>
      </c>
      <c r="E42" s="3" t="s">
        <v>1016</v>
      </c>
      <c r="F42" s="110">
        <v>3</v>
      </c>
      <c r="G42" s="110"/>
      <c r="H42" s="110"/>
      <c r="I42" s="33"/>
      <c r="J42" s="33" t="s">
        <v>1016</v>
      </c>
      <c r="K42" s="33" t="s">
        <v>1016</v>
      </c>
      <c r="L42" s="33" t="s">
        <v>1016</v>
      </c>
      <c r="M42" s="33" t="s">
        <v>1016</v>
      </c>
      <c r="N42" s="33" t="s">
        <v>1016</v>
      </c>
      <c r="O42" s="3" t="s">
        <v>1627</v>
      </c>
      <c r="P42" s="282"/>
    </row>
    <row r="43" spans="1:16" x14ac:dyDescent="0.3">
      <c r="A43" s="3">
        <v>40</v>
      </c>
      <c r="B43" s="382"/>
      <c r="C43" s="3">
        <v>1130342</v>
      </c>
      <c r="D43" s="30" t="s">
        <v>1654</v>
      </c>
      <c r="E43" s="3" t="s">
        <v>1016</v>
      </c>
      <c r="F43" s="110">
        <v>2</v>
      </c>
      <c r="G43" s="110"/>
      <c r="H43" s="110"/>
      <c r="I43" s="33"/>
      <c r="J43" s="33" t="s">
        <v>1016</v>
      </c>
      <c r="K43" s="33" t="s">
        <v>1016</v>
      </c>
      <c r="L43" s="33" t="s">
        <v>1016</v>
      </c>
      <c r="M43" s="33" t="s">
        <v>1016</v>
      </c>
      <c r="N43" s="33" t="s">
        <v>1016</v>
      </c>
      <c r="O43" s="3" t="s">
        <v>1627</v>
      </c>
      <c r="P43" s="282"/>
    </row>
    <row r="44" spans="1:16" x14ac:dyDescent="0.3">
      <c r="A44" s="3">
        <v>41</v>
      </c>
      <c r="B44" s="382"/>
      <c r="C44" s="3">
        <v>1130462</v>
      </c>
      <c r="D44" s="30" t="s">
        <v>1655</v>
      </c>
      <c r="E44" s="3" t="s">
        <v>1016</v>
      </c>
      <c r="F44" s="110">
        <v>2</v>
      </c>
      <c r="G44" s="110"/>
      <c r="H44" s="110"/>
      <c r="I44" s="33"/>
      <c r="J44" s="33" t="s">
        <v>1016</v>
      </c>
      <c r="K44" s="33" t="s">
        <v>1016</v>
      </c>
      <c r="L44" s="33" t="s">
        <v>1016</v>
      </c>
      <c r="M44" s="33" t="s">
        <v>1016</v>
      </c>
      <c r="N44" s="33" t="s">
        <v>1016</v>
      </c>
      <c r="O44" s="3" t="s">
        <v>1627</v>
      </c>
      <c r="P44" s="282"/>
    </row>
    <row r="45" spans="1:16" x14ac:dyDescent="0.3">
      <c r="A45" s="3">
        <v>42</v>
      </c>
      <c r="B45" s="382"/>
      <c r="C45" s="3">
        <v>1130471</v>
      </c>
      <c r="D45" s="30" t="s">
        <v>1735</v>
      </c>
      <c r="E45" s="3" t="s">
        <v>1016</v>
      </c>
      <c r="F45" s="110"/>
      <c r="G45" s="110"/>
      <c r="H45" s="110">
        <v>1</v>
      </c>
      <c r="I45" s="33"/>
      <c r="J45" s="33" t="s">
        <v>1016</v>
      </c>
      <c r="K45" s="33" t="s">
        <v>1016</v>
      </c>
      <c r="L45" s="33" t="s">
        <v>1016</v>
      </c>
      <c r="M45" s="33"/>
      <c r="N45" s="33" t="s">
        <v>1016</v>
      </c>
      <c r="O45" s="3" t="s">
        <v>1627</v>
      </c>
      <c r="P45" s="282"/>
    </row>
    <row r="46" spans="1:16" x14ac:dyDescent="0.3">
      <c r="A46" s="3">
        <v>43</v>
      </c>
      <c r="B46" s="382"/>
      <c r="C46" s="3">
        <v>1130192</v>
      </c>
      <c r="D46" s="30" t="s">
        <v>1656</v>
      </c>
      <c r="E46" s="3" t="s">
        <v>1016</v>
      </c>
      <c r="F46" s="110">
        <v>2</v>
      </c>
      <c r="G46" s="110"/>
      <c r="H46" s="110"/>
      <c r="I46" s="33"/>
      <c r="J46" s="33" t="s">
        <v>1016</v>
      </c>
      <c r="K46" s="33" t="s">
        <v>1016</v>
      </c>
      <c r="L46" s="33" t="s">
        <v>1016</v>
      </c>
      <c r="M46" s="33" t="s">
        <v>1016</v>
      </c>
      <c r="N46" s="33" t="s">
        <v>1016</v>
      </c>
      <c r="O46" s="3" t="s">
        <v>1627</v>
      </c>
      <c r="P46" s="282"/>
    </row>
    <row r="47" spans="1:16" x14ac:dyDescent="0.3">
      <c r="A47" s="3">
        <v>44</v>
      </c>
      <c r="B47" s="382"/>
      <c r="C47" s="3">
        <v>1130271</v>
      </c>
      <c r="D47" s="30" t="s">
        <v>1736</v>
      </c>
      <c r="E47" s="3" t="s">
        <v>1016</v>
      </c>
      <c r="F47" s="110"/>
      <c r="G47" s="110"/>
      <c r="H47" s="110">
        <v>1</v>
      </c>
      <c r="I47" s="33"/>
      <c r="J47" s="33" t="s">
        <v>1016</v>
      </c>
      <c r="K47" s="33" t="s">
        <v>1016</v>
      </c>
      <c r="L47" s="33" t="s">
        <v>1016</v>
      </c>
      <c r="M47" s="33"/>
      <c r="N47" s="33" t="s">
        <v>1016</v>
      </c>
      <c r="O47" s="3" t="s">
        <v>1627</v>
      </c>
      <c r="P47" s="282"/>
    </row>
    <row r="48" spans="1:16" x14ac:dyDescent="0.3">
      <c r="A48" s="3">
        <v>45</v>
      </c>
      <c r="B48" s="383"/>
      <c r="C48" s="3">
        <v>1100062</v>
      </c>
      <c r="D48" s="30" t="s">
        <v>1657</v>
      </c>
      <c r="E48" s="3"/>
      <c r="F48" s="110">
        <v>2</v>
      </c>
      <c r="G48" s="110"/>
      <c r="H48" s="110"/>
      <c r="I48" s="33"/>
      <c r="J48" s="33"/>
      <c r="K48" s="33"/>
      <c r="L48" s="33"/>
      <c r="M48" s="33"/>
      <c r="N48" s="33" t="s">
        <v>1016</v>
      </c>
      <c r="O48" s="3" t="s">
        <v>1627</v>
      </c>
      <c r="P48" s="282"/>
    </row>
    <row r="49" spans="1:16" x14ac:dyDescent="0.3">
      <c r="A49" s="3">
        <v>46</v>
      </c>
      <c r="B49" s="381">
        <v>5</v>
      </c>
      <c r="C49" s="3">
        <v>1130303</v>
      </c>
      <c r="D49" s="30" t="s">
        <v>1658</v>
      </c>
      <c r="E49" s="3" t="s">
        <v>1016</v>
      </c>
      <c r="F49" s="110">
        <v>3</v>
      </c>
      <c r="G49" s="110"/>
      <c r="H49" s="110"/>
      <c r="I49" s="33"/>
      <c r="J49" s="33" t="s">
        <v>1016</v>
      </c>
      <c r="K49" s="33" t="s">
        <v>1016</v>
      </c>
      <c r="L49" s="33" t="s">
        <v>1016</v>
      </c>
      <c r="M49" s="33" t="s">
        <v>1016</v>
      </c>
      <c r="N49" s="33" t="s">
        <v>1016</v>
      </c>
      <c r="O49" s="3" t="s">
        <v>1627</v>
      </c>
      <c r="P49" s="282"/>
    </row>
    <row r="50" spans="1:16" x14ac:dyDescent="0.3">
      <c r="A50" s="3">
        <v>47</v>
      </c>
      <c r="B50" s="382"/>
      <c r="C50" s="3">
        <v>1130322</v>
      </c>
      <c r="D50" s="30" t="s">
        <v>1659</v>
      </c>
      <c r="E50" s="3" t="s">
        <v>1016</v>
      </c>
      <c r="F50" s="110">
        <v>1</v>
      </c>
      <c r="G50" s="110"/>
      <c r="H50" s="110">
        <v>1</v>
      </c>
      <c r="I50" s="33"/>
      <c r="J50" s="33" t="s">
        <v>1016</v>
      </c>
      <c r="K50" s="33" t="s">
        <v>1016</v>
      </c>
      <c r="L50" s="33" t="s">
        <v>1016</v>
      </c>
      <c r="M50" s="33" t="s">
        <v>1016</v>
      </c>
      <c r="N50" s="33" t="s">
        <v>1016</v>
      </c>
      <c r="O50" s="3" t="s">
        <v>1627</v>
      </c>
      <c r="P50" s="282"/>
    </row>
    <row r="51" spans="1:16" x14ac:dyDescent="0.3">
      <c r="A51" s="3">
        <v>48</v>
      </c>
      <c r="B51" s="382"/>
      <c r="C51" s="3">
        <v>1130412</v>
      </c>
      <c r="D51" s="126" t="s">
        <v>1660</v>
      </c>
      <c r="E51" s="3" t="s">
        <v>1016</v>
      </c>
      <c r="F51" s="110">
        <v>2</v>
      </c>
      <c r="G51" s="110"/>
      <c r="H51" s="110"/>
      <c r="I51" s="33"/>
      <c r="J51" s="33"/>
      <c r="K51" s="33"/>
      <c r="L51" s="33"/>
      <c r="M51" s="33"/>
      <c r="N51" s="33" t="s">
        <v>1016</v>
      </c>
      <c r="O51" s="3" t="s">
        <v>1627</v>
      </c>
      <c r="P51" s="282"/>
    </row>
    <row r="52" spans="1:16" x14ac:dyDescent="0.3">
      <c r="A52" s="3">
        <v>49</v>
      </c>
      <c r="B52" s="382"/>
      <c r="C52" s="3">
        <v>1130352</v>
      </c>
      <c r="D52" s="30" t="s">
        <v>1661</v>
      </c>
      <c r="E52" s="3" t="s">
        <v>1016</v>
      </c>
      <c r="F52" s="110">
        <v>2</v>
      </c>
      <c r="G52" s="110"/>
      <c r="H52" s="110"/>
      <c r="I52" s="33"/>
      <c r="J52" s="33" t="s">
        <v>1016</v>
      </c>
      <c r="K52" s="33" t="s">
        <v>1016</v>
      </c>
      <c r="L52" s="33" t="s">
        <v>1016</v>
      </c>
      <c r="M52" s="33" t="s">
        <v>1016</v>
      </c>
      <c r="N52" s="33" t="s">
        <v>1016</v>
      </c>
      <c r="O52" s="3" t="s">
        <v>1627</v>
      </c>
      <c r="P52" s="282"/>
    </row>
    <row r="53" spans="1:16" x14ac:dyDescent="0.3">
      <c r="A53" s="3">
        <v>50</v>
      </c>
      <c r="B53" s="382"/>
      <c r="C53" s="3">
        <v>1130122</v>
      </c>
      <c r="D53" s="30" t="s">
        <v>1662</v>
      </c>
      <c r="E53" s="3"/>
      <c r="F53" s="110">
        <v>2</v>
      </c>
      <c r="G53" s="110"/>
      <c r="H53" s="110"/>
      <c r="I53" s="33"/>
      <c r="J53" s="33" t="s">
        <v>1016</v>
      </c>
      <c r="K53" s="33" t="s">
        <v>1016</v>
      </c>
      <c r="L53" s="33" t="s">
        <v>1016</v>
      </c>
      <c r="M53" s="33"/>
      <c r="N53" s="33" t="s">
        <v>1016</v>
      </c>
      <c r="O53" s="3" t="s">
        <v>1627</v>
      </c>
      <c r="P53" s="282"/>
    </row>
    <row r="54" spans="1:16" x14ac:dyDescent="0.3">
      <c r="A54" s="3">
        <v>51</v>
      </c>
      <c r="B54" s="382"/>
      <c r="C54" s="3">
        <v>1130362</v>
      </c>
      <c r="D54" s="30" t="s">
        <v>1663</v>
      </c>
      <c r="E54" s="3" t="s">
        <v>1016</v>
      </c>
      <c r="F54" s="110">
        <v>2</v>
      </c>
      <c r="G54" s="110"/>
      <c r="H54" s="110"/>
      <c r="I54" s="33"/>
      <c r="J54" s="33" t="s">
        <v>1016</v>
      </c>
      <c r="K54" s="33" t="s">
        <v>1016</v>
      </c>
      <c r="L54" s="33" t="s">
        <v>1016</v>
      </c>
      <c r="M54" s="33" t="s">
        <v>1016</v>
      </c>
      <c r="N54" s="33" t="s">
        <v>1016</v>
      </c>
      <c r="O54" s="3" t="s">
        <v>1627</v>
      </c>
      <c r="P54" s="282"/>
    </row>
    <row r="55" spans="1:16" x14ac:dyDescent="0.3">
      <c r="A55" s="3">
        <v>52</v>
      </c>
      <c r="B55" s="382"/>
      <c r="C55" s="3">
        <v>1130371</v>
      </c>
      <c r="D55" s="126" t="s">
        <v>1664</v>
      </c>
      <c r="E55" s="3" t="s">
        <v>1016</v>
      </c>
      <c r="F55" s="110"/>
      <c r="G55" s="110"/>
      <c r="H55" s="110">
        <v>1</v>
      </c>
      <c r="I55" s="33"/>
      <c r="J55" s="33" t="s">
        <v>1016</v>
      </c>
      <c r="K55" s="33" t="s">
        <v>1016</v>
      </c>
      <c r="L55" s="33" t="s">
        <v>1016</v>
      </c>
      <c r="M55" s="33"/>
      <c r="N55" s="33" t="s">
        <v>1016</v>
      </c>
      <c r="O55" s="3" t="s">
        <v>1627</v>
      </c>
      <c r="P55" s="282"/>
    </row>
    <row r="56" spans="1:16" x14ac:dyDescent="0.3">
      <c r="A56" s="3">
        <v>53</v>
      </c>
      <c r="B56" s="382"/>
      <c r="C56" s="3">
        <v>1130391</v>
      </c>
      <c r="D56" s="30" t="s">
        <v>1665</v>
      </c>
      <c r="E56" s="3" t="s">
        <v>1016</v>
      </c>
      <c r="F56" s="110"/>
      <c r="G56" s="110"/>
      <c r="H56" s="110">
        <v>1</v>
      </c>
      <c r="I56" s="33"/>
      <c r="J56" s="33" t="s">
        <v>1016</v>
      </c>
      <c r="K56" s="33" t="s">
        <v>1016</v>
      </c>
      <c r="L56" s="33" t="s">
        <v>1016</v>
      </c>
      <c r="M56" s="33" t="s">
        <v>1016</v>
      </c>
      <c r="N56" s="33" t="s">
        <v>1016</v>
      </c>
      <c r="O56" s="3" t="s">
        <v>1627</v>
      </c>
      <c r="P56" s="282"/>
    </row>
    <row r="57" spans="1:16" x14ac:dyDescent="0.3">
      <c r="A57" s="3">
        <v>54</v>
      </c>
      <c r="B57" s="382"/>
      <c r="C57" s="3">
        <v>1130452</v>
      </c>
      <c r="D57" s="30" t="s">
        <v>1666</v>
      </c>
      <c r="E57" s="3" t="s">
        <v>1016</v>
      </c>
      <c r="F57" s="110"/>
      <c r="G57" s="110"/>
      <c r="H57" s="110">
        <v>2</v>
      </c>
      <c r="I57" s="33"/>
      <c r="J57" s="33" t="s">
        <v>1016</v>
      </c>
      <c r="K57" s="33" t="s">
        <v>1016</v>
      </c>
      <c r="L57" s="33" t="s">
        <v>1016</v>
      </c>
      <c r="M57" s="33" t="s">
        <v>1016</v>
      </c>
      <c r="N57" s="33" t="s">
        <v>1016</v>
      </c>
      <c r="O57" s="3" t="s">
        <v>1627</v>
      </c>
      <c r="P57" s="282"/>
    </row>
    <row r="58" spans="1:16" x14ac:dyDescent="0.3">
      <c r="A58" s="3">
        <v>55</v>
      </c>
      <c r="B58" s="382"/>
      <c r="C58" s="3"/>
      <c r="D58" s="30" t="s">
        <v>1667</v>
      </c>
      <c r="E58" s="3"/>
      <c r="F58" s="110">
        <v>2</v>
      </c>
      <c r="G58" s="110"/>
      <c r="H58" s="110"/>
      <c r="I58" s="33"/>
      <c r="J58" s="33"/>
      <c r="K58" s="33"/>
      <c r="L58" s="33"/>
      <c r="M58" s="33"/>
      <c r="N58" s="33"/>
      <c r="O58" s="3" t="s">
        <v>1627</v>
      </c>
      <c r="P58" s="282"/>
    </row>
    <row r="59" spans="1:16" x14ac:dyDescent="0.3">
      <c r="A59" s="3">
        <v>56</v>
      </c>
      <c r="B59" s="383"/>
      <c r="C59" s="3"/>
      <c r="D59" s="30" t="s">
        <v>1668</v>
      </c>
      <c r="E59" s="3"/>
      <c r="F59" s="110">
        <v>2</v>
      </c>
      <c r="G59" s="110"/>
      <c r="H59" s="110"/>
      <c r="I59" s="33"/>
      <c r="J59" s="33"/>
      <c r="K59" s="33"/>
      <c r="L59" s="33"/>
      <c r="M59" s="33"/>
      <c r="N59" s="33"/>
      <c r="O59" s="3" t="s">
        <v>1627</v>
      </c>
      <c r="P59" s="282"/>
    </row>
    <row r="60" spans="1:16" x14ac:dyDescent="0.3">
      <c r="A60" s="3">
        <v>57</v>
      </c>
      <c r="B60" s="381">
        <v>6</v>
      </c>
      <c r="C60" s="3">
        <v>1130382</v>
      </c>
      <c r="D60" s="30" t="s">
        <v>1669</v>
      </c>
      <c r="E60" s="3" t="s">
        <v>1016</v>
      </c>
      <c r="F60" s="110">
        <v>2</v>
      </c>
      <c r="G60" s="110"/>
      <c r="H60" s="110"/>
      <c r="I60" s="33"/>
      <c r="J60" s="33" t="s">
        <v>1016</v>
      </c>
      <c r="K60" s="33" t="s">
        <v>1016</v>
      </c>
      <c r="L60" s="33" t="s">
        <v>1016</v>
      </c>
      <c r="M60" s="33"/>
      <c r="N60" s="33" t="s">
        <v>1016</v>
      </c>
      <c r="O60" s="3" t="s">
        <v>1627</v>
      </c>
      <c r="P60" s="282"/>
    </row>
    <row r="61" spans="1:16" x14ac:dyDescent="0.3">
      <c r="A61" s="3">
        <v>58</v>
      </c>
      <c r="B61" s="382"/>
      <c r="C61" s="3">
        <v>1130432</v>
      </c>
      <c r="D61" s="30" t="s">
        <v>1670</v>
      </c>
      <c r="E61" s="3" t="s">
        <v>1016</v>
      </c>
      <c r="F61" s="110">
        <v>2</v>
      </c>
      <c r="G61" s="110"/>
      <c r="H61" s="110"/>
      <c r="I61" s="33"/>
      <c r="J61" s="33" t="s">
        <v>1016</v>
      </c>
      <c r="K61" s="33" t="s">
        <v>1016</v>
      </c>
      <c r="L61" s="33" t="s">
        <v>1016</v>
      </c>
      <c r="M61" s="33" t="s">
        <v>1016</v>
      </c>
      <c r="N61" s="33" t="s">
        <v>1016</v>
      </c>
      <c r="O61" s="3" t="s">
        <v>1627</v>
      </c>
      <c r="P61" s="282"/>
    </row>
    <row r="62" spans="1:16" x14ac:dyDescent="0.3">
      <c r="A62" s="3">
        <v>59</v>
      </c>
      <c r="B62" s="382"/>
      <c r="C62" s="3">
        <v>1130442</v>
      </c>
      <c r="D62" s="30" t="s">
        <v>1671</v>
      </c>
      <c r="E62" s="3" t="s">
        <v>1016</v>
      </c>
      <c r="F62" s="110">
        <v>2</v>
      </c>
      <c r="G62" s="110"/>
      <c r="H62" s="110"/>
      <c r="I62" s="33"/>
      <c r="J62" s="33" t="s">
        <v>1016</v>
      </c>
      <c r="K62" s="33" t="s">
        <v>1016</v>
      </c>
      <c r="L62" s="33" t="s">
        <v>1016</v>
      </c>
      <c r="M62" s="33" t="s">
        <v>1016</v>
      </c>
      <c r="N62" s="33" t="s">
        <v>1016</v>
      </c>
      <c r="O62" s="3" t="s">
        <v>1627</v>
      </c>
      <c r="P62" s="282"/>
    </row>
    <row r="63" spans="1:16" x14ac:dyDescent="0.3">
      <c r="A63" s="3">
        <v>60</v>
      </c>
      <c r="B63" s="382"/>
      <c r="C63" s="3">
        <v>1130112</v>
      </c>
      <c r="D63" s="30" t="s">
        <v>1672</v>
      </c>
      <c r="E63" s="3" t="s">
        <v>1016</v>
      </c>
      <c r="F63" s="110">
        <v>2</v>
      </c>
      <c r="G63" s="110"/>
      <c r="H63" s="110"/>
      <c r="I63" s="33"/>
      <c r="J63" s="33" t="s">
        <v>1016</v>
      </c>
      <c r="K63" s="33" t="s">
        <v>1016</v>
      </c>
      <c r="L63" s="33" t="s">
        <v>1016</v>
      </c>
      <c r="M63" s="33"/>
      <c r="N63" s="33" t="s">
        <v>1016</v>
      </c>
      <c r="O63" s="3" t="s">
        <v>1627</v>
      </c>
      <c r="P63" s="282"/>
    </row>
    <row r="64" spans="1:16" x14ac:dyDescent="0.3">
      <c r="A64" s="3">
        <v>61</v>
      </c>
      <c r="B64" s="382"/>
      <c r="C64" s="3">
        <v>1130402</v>
      </c>
      <c r="D64" s="30" t="s">
        <v>1673</v>
      </c>
      <c r="E64" s="3" t="s">
        <v>1016</v>
      </c>
      <c r="F64" s="110">
        <v>2</v>
      </c>
      <c r="G64" s="110"/>
      <c r="H64" s="110"/>
      <c r="I64" s="33"/>
      <c r="J64" s="33"/>
      <c r="K64" s="33"/>
      <c r="L64" s="33"/>
      <c r="M64" s="33"/>
      <c r="N64" s="33" t="s">
        <v>1016</v>
      </c>
      <c r="O64" s="3" t="s">
        <v>1627</v>
      </c>
      <c r="P64" s="282"/>
    </row>
    <row r="65" spans="1:16" x14ac:dyDescent="0.3">
      <c r="A65" s="3">
        <v>62</v>
      </c>
      <c r="B65" s="382"/>
      <c r="C65" s="3">
        <v>1130481</v>
      </c>
      <c r="D65" s="30" t="s">
        <v>1674</v>
      </c>
      <c r="E65" s="3" t="s">
        <v>1016</v>
      </c>
      <c r="F65" s="110"/>
      <c r="G65" s="110"/>
      <c r="H65" s="110">
        <v>1</v>
      </c>
      <c r="I65" s="33"/>
      <c r="J65" s="33"/>
      <c r="K65" s="33"/>
      <c r="L65" s="33"/>
      <c r="M65" s="33"/>
      <c r="N65" s="33" t="s">
        <v>1016</v>
      </c>
      <c r="O65" s="3" t="s">
        <v>1627</v>
      </c>
      <c r="P65" s="282"/>
    </row>
    <row r="66" spans="1:16" x14ac:dyDescent="0.3">
      <c r="A66" s="3">
        <v>63</v>
      </c>
      <c r="B66" s="382"/>
      <c r="C66" s="3">
        <v>1130332</v>
      </c>
      <c r="D66" s="30" t="s">
        <v>1675</v>
      </c>
      <c r="E66" s="3" t="s">
        <v>1016</v>
      </c>
      <c r="F66" s="110">
        <v>2</v>
      </c>
      <c r="G66" s="110"/>
      <c r="H66" s="110"/>
      <c r="I66" s="33"/>
      <c r="J66" s="33" t="s">
        <v>1016</v>
      </c>
      <c r="K66" s="33" t="s">
        <v>1016</v>
      </c>
      <c r="L66" s="33" t="s">
        <v>1016</v>
      </c>
      <c r="M66" s="33" t="s">
        <v>1016</v>
      </c>
      <c r="N66" s="33" t="s">
        <v>1016</v>
      </c>
      <c r="O66" s="3" t="s">
        <v>1627</v>
      </c>
      <c r="P66" s="282"/>
    </row>
    <row r="67" spans="1:16" x14ac:dyDescent="0.3">
      <c r="A67" s="3">
        <v>64</v>
      </c>
      <c r="B67" s="382"/>
      <c r="C67" s="3">
        <v>1130491</v>
      </c>
      <c r="D67" s="126" t="s">
        <v>1676</v>
      </c>
      <c r="E67" s="3" t="s">
        <v>1016</v>
      </c>
      <c r="F67" s="110"/>
      <c r="G67" s="110"/>
      <c r="H67" s="110">
        <v>1</v>
      </c>
      <c r="I67" s="33"/>
      <c r="J67" s="33"/>
      <c r="K67" s="33"/>
      <c r="L67" s="33"/>
      <c r="M67" s="33"/>
      <c r="N67" s="33" t="s">
        <v>1016</v>
      </c>
      <c r="O67" s="3" t="s">
        <v>1627</v>
      </c>
      <c r="P67" s="282"/>
    </row>
    <row r="68" spans="1:16" x14ac:dyDescent="0.3">
      <c r="A68" s="3">
        <v>65</v>
      </c>
      <c r="B68" s="382"/>
      <c r="C68" s="3">
        <v>1130532</v>
      </c>
      <c r="D68" s="126" t="s">
        <v>1677</v>
      </c>
      <c r="E68" s="3"/>
      <c r="F68" s="110"/>
      <c r="G68" s="110"/>
      <c r="H68" s="110">
        <v>2</v>
      </c>
      <c r="I68" s="33"/>
      <c r="J68" s="33"/>
      <c r="K68" s="33"/>
      <c r="L68" s="33"/>
      <c r="M68" s="33"/>
      <c r="N68" s="33"/>
      <c r="O68" s="3" t="s">
        <v>1627</v>
      </c>
      <c r="P68" s="282"/>
    </row>
    <row r="69" spans="1:16" x14ac:dyDescent="0.3">
      <c r="A69" s="3">
        <v>66</v>
      </c>
      <c r="B69" s="382"/>
      <c r="C69" s="3">
        <v>1000143</v>
      </c>
      <c r="D69" s="126" t="s">
        <v>1678</v>
      </c>
      <c r="E69" s="3"/>
      <c r="F69" s="110"/>
      <c r="G69" s="110"/>
      <c r="H69" s="110">
        <v>3</v>
      </c>
      <c r="I69" s="33"/>
      <c r="J69" s="33"/>
      <c r="K69" s="33"/>
      <c r="L69" s="33"/>
      <c r="M69" s="33"/>
      <c r="N69" s="33"/>
      <c r="O69" s="3" t="s">
        <v>1627</v>
      </c>
      <c r="P69" s="282"/>
    </row>
    <row r="70" spans="1:16" x14ac:dyDescent="0.3">
      <c r="A70" s="3">
        <v>67</v>
      </c>
      <c r="B70" s="383"/>
      <c r="C70" s="3"/>
      <c r="D70" s="30" t="s">
        <v>1679</v>
      </c>
      <c r="E70" s="3"/>
      <c r="F70" s="110">
        <v>2</v>
      </c>
      <c r="G70" s="110"/>
      <c r="H70" s="110"/>
      <c r="I70" s="33"/>
      <c r="J70" s="33"/>
      <c r="K70" s="33"/>
      <c r="L70" s="33"/>
      <c r="M70" s="33"/>
      <c r="N70" s="33"/>
      <c r="O70" s="3" t="s">
        <v>1627</v>
      </c>
      <c r="P70" s="282"/>
    </row>
    <row r="71" spans="1:16" x14ac:dyDescent="0.3">
      <c r="A71" s="3">
        <v>68</v>
      </c>
      <c r="B71" s="381">
        <v>7</v>
      </c>
      <c r="C71" s="3">
        <v>1130492</v>
      </c>
      <c r="D71" s="30" t="s">
        <v>1680</v>
      </c>
      <c r="E71" s="3" t="s">
        <v>1016</v>
      </c>
      <c r="F71" s="110">
        <v>1</v>
      </c>
      <c r="G71" s="110"/>
      <c r="H71" s="110">
        <v>1</v>
      </c>
      <c r="I71" s="33"/>
      <c r="J71" s="33" t="s">
        <v>1016</v>
      </c>
      <c r="K71" s="33" t="s">
        <v>1016</v>
      </c>
      <c r="L71" s="33" t="s">
        <v>1016</v>
      </c>
      <c r="M71" s="33" t="s">
        <v>1016</v>
      </c>
      <c r="N71" s="33" t="s">
        <v>1016</v>
      </c>
      <c r="O71" s="3" t="s">
        <v>1627</v>
      </c>
      <c r="P71" s="282"/>
    </row>
    <row r="72" spans="1:16" x14ac:dyDescent="0.3">
      <c r="A72" s="3">
        <v>69</v>
      </c>
      <c r="B72" s="382"/>
      <c r="C72" s="3">
        <v>1130502</v>
      </c>
      <c r="D72" s="30" t="s">
        <v>1734</v>
      </c>
      <c r="E72" s="3" t="s">
        <v>1016</v>
      </c>
      <c r="F72" s="110">
        <v>1</v>
      </c>
      <c r="G72" s="110"/>
      <c r="H72" s="110">
        <v>1</v>
      </c>
      <c r="I72" s="33"/>
      <c r="J72" s="33" t="s">
        <v>1016</v>
      </c>
      <c r="K72" s="33" t="s">
        <v>1016</v>
      </c>
      <c r="L72" s="33" t="s">
        <v>1016</v>
      </c>
      <c r="M72" s="33" t="s">
        <v>1016</v>
      </c>
      <c r="N72" s="33" t="s">
        <v>1016</v>
      </c>
      <c r="O72" s="3" t="s">
        <v>1627</v>
      </c>
      <c r="P72" s="282"/>
    </row>
    <row r="73" spans="1:16" x14ac:dyDescent="0.3">
      <c r="A73" s="3">
        <v>70</v>
      </c>
      <c r="B73" s="382"/>
      <c r="C73" s="3">
        <v>1130512</v>
      </c>
      <c r="D73" s="30" t="s">
        <v>1681</v>
      </c>
      <c r="E73" s="3" t="s">
        <v>1016</v>
      </c>
      <c r="F73" s="110">
        <v>2</v>
      </c>
      <c r="G73" s="110"/>
      <c r="H73" s="110"/>
      <c r="I73" s="33"/>
      <c r="J73" s="33" t="s">
        <v>1016</v>
      </c>
      <c r="K73" s="33" t="s">
        <v>1016</v>
      </c>
      <c r="L73" s="33" t="s">
        <v>1016</v>
      </c>
      <c r="M73" s="33" t="s">
        <v>1016</v>
      </c>
      <c r="N73" s="33" t="s">
        <v>1016</v>
      </c>
      <c r="O73" s="3" t="s">
        <v>1627</v>
      </c>
      <c r="P73" s="282"/>
    </row>
    <row r="74" spans="1:16" x14ac:dyDescent="0.3">
      <c r="A74" s="3">
        <v>71</v>
      </c>
      <c r="B74" s="382"/>
      <c r="C74" s="3">
        <v>1130522</v>
      </c>
      <c r="D74" s="30" t="s">
        <v>1682</v>
      </c>
      <c r="E74" s="3" t="s">
        <v>1016</v>
      </c>
      <c r="F74" s="110">
        <v>2</v>
      </c>
      <c r="G74" s="110"/>
      <c r="H74" s="110"/>
      <c r="I74" s="33"/>
      <c r="J74" s="33" t="s">
        <v>1016</v>
      </c>
      <c r="K74" s="33" t="s">
        <v>1016</v>
      </c>
      <c r="L74" s="33" t="s">
        <v>1016</v>
      </c>
      <c r="M74" s="33" t="s">
        <v>1016</v>
      </c>
      <c r="N74" s="33" t="s">
        <v>1016</v>
      </c>
      <c r="O74" s="3" t="s">
        <v>1627</v>
      </c>
      <c r="P74" s="282"/>
    </row>
    <row r="75" spans="1:16" x14ac:dyDescent="0.3">
      <c r="A75" s="3">
        <v>72</v>
      </c>
      <c r="B75" s="382"/>
      <c r="C75" s="3">
        <v>1130572</v>
      </c>
      <c r="D75" s="30" t="s">
        <v>1683</v>
      </c>
      <c r="E75" s="3" t="s">
        <v>1016</v>
      </c>
      <c r="F75" s="110">
        <v>2</v>
      </c>
      <c r="G75" s="110"/>
      <c r="H75" s="110"/>
      <c r="I75" s="33"/>
      <c r="J75" s="33" t="s">
        <v>1016</v>
      </c>
      <c r="K75" s="33" t="s">
        <v>1016</v>
      </c>
      <c r="L75" s="33" t="s">
        <v>1016</v>
      </c>
      <c r="M75" s="33" t="s">
        <v>1016</v>
      </c>
      <c r="N75" s="33" t="s">
        <v>1016</v>
      </c>
      <c r="O75" s="3" t="s">
        <v>1627</v>
      </c>
      <c r="P75" s="282"/>
    </row>
    <row r="76" spans="1:16" x14ac:dyDescent="0.3">
      <c r="A76" s="3">
        <v>73</v>
      </c>
      <c r="B76" s="382"/>
      <c r="C76" s="3">
        <v>1130543</v>
      </c>
      <c r="D76" s="126" t="s">
        <v>1684</v>
      </c>
      <c r="E76" s="3" t="s">
        <v>1016</v>
      </c>
      <c r="F76" s="110"/>
      <c r="G76" s="110"/>
      <c r="H76" s="110">
        <v>3</v>
      </c>
      <c r="I76" s="33"/>
      <c r="J76" s="33"/>
      <c r="K76" s="33"/>
      <c r="L76" s="33"/>
      <c r="M76" s="33"/>
      <c r="N76" s="33"/>
      <c r="O76" s="3" t="s">
        <v>1627</v>
      </c>
      <c r="P76" s="282"/>
    </row>
    <row r="77" spans="1:16" x14ac:dyDescent="0.3">
      <c r="A77" s="3">
        <v>74</v>
      </c>
      <c r="B77" s="382"/>
      <c r="C77" s="3">
        <v>1130501</v>
      </c>
      <c r="D77" s="30" t="s">
        <v>1737</v>
      </c>
      <c r="E77" s="3" t="s">
        <v>1016</v>
      </c>
      <c r="F77" s="110"/>
      <c r="G77" s="110"/>
      <c r="H77" s="110">
        <v>1</v>
      </c>
      <c r="I77" s="33"/>
      <c r="J77" s="33"/>
      <c r="K77" s="33"/>
      <c r="L77" s="33"/>
      <c r="M77" s="33"/>
      <c r="N77" s="33" t="s">
        <v>1016</v>
      </c>
      <c r="O77" s="3" t="s">
        <v>1627</v>
      </c>
      <c r="P77" s="282"/>
    </row>
    <row r="78" spans="1:16" x14ac:dyDescent="0.3">
      <c r="A78" s="3">
        <v>75</v>
      </c>
      <c r="B78" s="382"/>
      <c r="C78" s="3"/>
      <c r="D78" s="30" t="s">
        <v>1685</v>
      </c>
      <c r="E78" s="3"/>
      <c r="F78" s="110">
        <v>2</v>
      </c>
      <c r="G78" s="110"/>
      <c r="H78" s="110"/>
      <c r="I78" s="33"/>
      <c r="J78" s="33"/>
      <c r="K78" s="33"/>
      <c r="L78" s="33"/>
      <c r="M78" s="33"/>
      <c r="N78" s="33"/>
      <c r="O78" s="3" t="s">
        <v>1627</v>
      </c>
      <c r="P78" s="282"/>
    </row>
    <row r="79" spans="1:16" x14ac:dyDescent="0.3">
      <c r="A79" s="3">
        <v>76</v>
      </c>
      <c r="B79" s="383"/>
      <c r="C79" s="3"/>
      <c r="D79" s="30" t="s">
        <v>1686</v>
      </c>
      <c r="E79" s="3"/>
      <c r="F79" s="110">
        <v>2</v>
      </c>
      <c r="G79" s="110"/>
      <c r="H79" s="110"/>
      <c r="I79" s="33"/>
      <c r="J79" s="33"/>
      <c r="K79" s="33"/>
      <c r="L79" s="33"/>
      <c r="M79" s="33"/>
      <c r="N79" s="33"/>
      <c r="O79" s="3" t="s">
        <v>1627</v>
      </c>
      <c r="P79" s="282"/>
    </row>
    <row r="80" spans="1:16" x14ac:dyDescent="0.3">
      <c r="A80" s="3">
        <v>77</v>
      </c>
      <c r="B80" s="3">
        <v>8</v>
      </c>
      <c r="C80" s="3">
        <v>1130554</v>
      </c>
      <c r="D80" s="126" t="s">
        <v>1687</v>
      </c>
      <c r="E80" s="3" t="s">
        <v>1016</v>
      </c>
      <c r="F80" s="110"/>
      <c r="G80" s="110">
        <v>1</v>
      </c>
      <c r="H80" s="110">
        <v>3</v>
      </c>
      <c r="I80" s="33"/>
      <c r="J80" s="33"/>
      <c r="K80" s="33"/>
      <c r="L80" s="33"/>
      <c r="M80" s="33"/>
      <c r="N80" s="33"/>
      <c r="O80" s="3" t="s">
        <v>1627</v>
      </c>
      <c r="P80" s="282"/>
    </row>
    <row r="81" spans="1:16" x14ac:dyDescent="0.3">
      <c r="A81" s="3">
        <v>78</v>
      </c>
      <c r="B81" s="435" t="s">
        <v>1710</v>
      </c>
      <c r="C81" s="3">
        <v>1130582</v>
      </c>
      <c r="D81" s="30" t="s">
        <v>1688</v>
      </c>
      <c r="E81" s="3" t="s">
        <v>1016</v>
      </c>
      <c r="F81" s="110">
        <v>2</v>
      </c>
      <c r="G81" s="110"/>
      <c r="H81" s="110"/>
      <c r="I81" s="33"/>
      <c r="J81" s="33" t="s">
        <v>1016</v>
      </c>
      <c r="K81" s="33" t="s">
        <v>1016</v>
      </c>
      <c r="L81" s="33" t="s">
        <v>1016</v>
      </c>
      <c r="M81" s="33" t="s">
        <v>1016</v>
      </c>
      <c r="N81" s="33" t="s">
        <v>1016</v>
      </c>
      <c r="O81" s="3" t="s">
        <v>1627</v>
      </c>
      <c r="P81" s="282"/>
    </row>
    <row r="82" spans="1:16" x14ac:dyDescent="0.3">
      <c r="A82" s="3">
        <v>79</v>
      </c>
      <c r="B82" s="436"/>
      <c r="C82" s="3">
        <v>1139592</v>
      </c>
      <c r="D82" s="30" t="s">
        <v>1689</v>
      </c>
      <c r="E82" s="3" t="s">
        <v>1016</v>
      </c>
      <c r="F82" s="110">
        <v>2</v>
      </c>
      <c r="G82" s="110"/>
      <c r="H82" s="110"/>
      <c r="I82" s="33"/>
      <c r="J82" s="33"/>
      <c r="K82" s="33"/>
      <c r="L82" s="33"/>
      <c r="M82" s="33"/>
      <c r="N82" s="33" t="s">
        <v>1016</v>
      </c>
      <c r="O82" s="3" t="s">
        <v>1627</v>
      </c>
      <c r="P82" s="282"/>
    </row>
    <row r="83" spans="1:16" x14ac:dyDescent="0.3">
      <c r="A83" s="3">
        <v>80</v>
      </c>
      <c r="B83" s="436"/>
      <c r="C83" s="3">
        <v>1130602</v>
      </c>
      <c r="D83" s="30" t="s">
        <v>1690</v>
      </c>
      <c r="E83" s="3" t="s">
        <v>1016</v>
      </c>
      <c r="F83" s="110">
        <v>2</v>
      </c>
      <c r="G83" s="110"/>
      <c r="H83" s="110"/>
      <c r="I83" s="33"/>
      <c r="J83" s="33" t="s">
        <v>1016</v>
      </c>
      <c r="K83" s="33" t="s">
        <v>1016</v>
      </c>
      <c r="L83" s="33" t="s">
        <v>1016</v>
      </c>
      <c r="M83" s="33" t="s">
        <v>1016</v>
      </c>
      <c r="N83" s="33" t="s">
        <v>1016</v>
      </c>
      <c r="O83" s="3" t="s">
        <v>1627</v>
      </c>
      <c r="P83" s="282"/>
    </row>
    <row r="84" spans="1:16" x14ac:dyDescent="0.3">
      <c r="A84" s="3">
        <v>81</v>
      </c>
      <c r="B84" s="436"/>
      <c r="C84" s="3">
        <v>1139622</v>
      </c>
      <c r="D84" s="30" t="s">
        <v>1691</v>
      </c>
      <c r="E84" s="3"/>
      <c r="F84" s="110">
        <v>2</v>
      </c>
      <c r="G84" s="110"/>
      <c r="H84" s="110"/>
      <c r="I84" s="33"/>
      <c r="J84" s="33"/>
      <c r="K84" s="33"/>
      <c r="L84" s="33"/>
      <c r="M84" s="33"/>
      <c r="N84" s="33" t="s">
        <v>1016</v>
      </c>
      <c r="O84" s="3" t="s">
        <v>1627</v>
      </c>
      <c r="P84" s="282"/>
    </row>
    <row r="85" spans="1:16" x14ac:dyDescent="0.3">
      <c r="A85" s="3">
        <v>82</v>
      </c>
      <c r="B85" s="436"/>
      <c r="C85" s="3">
        <v>1139642</v>
      </c>
      <c r="D85" s="30" t="s">
        <v>1692</v>
      </c>
      <c r="E85" s="3" t="s">
        <v>1016</v>
      </c>
      <c r="F85" s="110">
        <v>2</v>
      </c>
      <c r="G85" s="110"/>
      <c r="H85" s="110"/>
      <c r="I85" s="33"/>
      <c r="J85" s="33" t="s">
        <v>1016</v>
      </c>
      <c r="K85" s="33" t="s">
        <v>1016</v>
      </c>
      <c r="L85" s="33" t="s">
        <v>1016</v>
      </c>
      <c r="M85" s="33" t="s">
        <v>1016</v>
      </c>
      <c r="N85" s="33" t="s">
        <v>1016</v>
      </c>
      <c r="O85" s="3" t="s">
        <v>1627</v>
      </c>
      <c r="P85" s="282"/>
    </row>
    <row r="86" spans="1:16" x14ac:dyDescent="0.3">
      <c r="A86" s="3">
        <v>83</v>
      </c>
      <c r="B86" s="436"/>
      <c r="C86" s="3">
        <v>1130672</v>
      </c>
      <c r="D86" s="30" t="s">
        <v>1693</v>
      </c>
      <c r="E86" s="3" t="s">
        <v>1016</v>
      </c>
      <c r="F86" s="110">
        <v>2</v>
      </c>
      <c r="G86" s="110"/>
      <c r="H86" s="110"/>
      <c r="I86" s="33"/>
      <c r="J86" s="33" t="s">
        <v>1016</v>
      </c>
      <c r="K86" s="33" t="s">
        <v>1016</v>
      </c>
      <c r="L86" s="33" t="s">
        <v>1016</v>
      </c>
      <c r="M86" s="33" t="s">
        <v>1016</v>
      </c>
      <c r="N86" s="33" t="s">
        <v>1016</v>
      </c>
      <c r="O86" s="3" t="s">
        <v>1627</v>
      </c>
      <c r="P86" s="282"/>
    </row>
    <row r="87" spans="1:16" x14ac:dyDescent="0.3">
      <c r="A87" s="3">
        <v>84</v>
      </c>
      <c r="B87" s="436"/>
      <c r="C87" s="3">
        <v>1130682</v>
      </c>
      <c r="D87" s="30" t="s">
        <v>1694</v>
      </c>
      <c r="E87" s="3" t="s">
        <v>1016</v>
      </c>
      <c r="F87" s="110">
        <v>2</v>
      </c>
      <c r="G87" s="110"/>
      <c r="H87" s="110"/>
      <c r="I87" s="33"/>
      <c r="J87" s="33" t="s">
        <v>1016</v>
      </c>
      <c r="K87" s="33" t="s">
        <v>1016</v>
      </c>
      <c r="L87" s="33" t="s">
        <v>1016</v>
      </c>
      <c r="M87" s="33" t="s">
        <v>1016</v>
      </c>
      <c r="N87" s="33" t="s">
        <v>1016</v>
      </c>
      <c r="O87" s="3" t="s">
        <v>1627</v>
      </c>
      <c r="P87" s="282"/>
    </row>
    <row r="88" spans="1:16" x14ac:dyDescent="0.3">
      <c r="A88" s="3">
        <v>85</v>
      </c>
      <c r="B88" s="436"/>
      <c r="C88" s="3">
        <v>1130702</v>
      </c>
      <c r="D88" s="30" t="s">
        <v>1695</v>
      </c>
      <c r="E88" s="3" t="s">
        <v>1016</v>
      </c>
      <c r="F88" s="110">
        <v>2</v>
      </c>
      <c r="G88" s="110"/>
      <c r="H88" s="110"/>
      <c r="I88" s="33"/>
      <c r="J88" s="33" t="s">
        <v>1016</v>
      </c>
      <c r="K88" s="33" t="s">
        <v>1016</v>
      </c>
      <c r="L88" s="33" t="s">
        <v>1016</v>
      </c>
      <c r="M88" s="33" t="s">
        <v>1016</v>
      </c>
      <c r="N88" s="33" t="s">
        <v>1016</v>
      </c>
      <c r="O88" s="3" t="s">
        <v>1627</v>
      </c>
      <c r="P88" s="282"/>
    </row>
    <row r="89" spans="1:16" x14ac:dyDescent="0.3">
      <c r="A89" s="3">
        <v>86</v>
      </c>
      <c r="B89" s="436"/>
      <c r="C89" s="3">
        <v>1130712</v>
      </c>
      <c r="D89" s="30" t="s">
        <v>1696</v>
      </c>
      <c r="E89" s="3" t="s">
        <v>1016</v>
      </c>
      <c r="F89" s="110">
        <v>2</v>
      </c>
      <c r="G89" s="110"/>
      <c r="H89" s="110"/>
      <c r="I89" s="33"/>
      <c r="J89" s="33" t="s">
        <v>1016</v>
      </c>
      <c r="K89" s="33" t="s">
        <v>1016</v>
      </c>
      <c r="L89" s="33" t="s">
        <v>1016</v>
      </c>
      <c r="M89" s="33" t="s">
        <v>1016</v>
      </c>
      <c r="N89" s="33" t="s">
        <v>1016</v>
      </c>
      <c r="O89" s="3" t="s">
        <v>1627</v>
      </c>
      <c r="P89" s="282"/>
    </row>
    <row r="90" spans="1:16" x14ac:dyDescent="0.3">
      <c r="A90" s="3">
        <v>87</v>
      </c>
      <c r="B90" s="436"/>
      <c r="C90" s="3">
        <v>1130732</v>
      </c>
      <c r="D90" s="30" t="s">
        <v>1697</v>
      </c>
      <c r="E90" s="3" t="s">
        <v>1016</v>
      </c>
      <c r="F90" s="110">
        <v>2</v>
      </c>
      <c r="G90" s="110"/>
      <c r="H90" s="110"/>
      <c r="I90" s="33"/>
      <c r="J90" s="33" t="s">
        <v>1016</v>
      </c>
      <c r="K90" s="33" t="s">
        <v>1016</v>
      </c>
      <c r="L90" s="33" t="s">
        <v>1016</v>
      </c>
      <c r="M90" s="33" t="s">
        <v>1016</v>
      </c>
      <c r="N90" s="33" t="s">
        <v>1016</v>
      </c>
      <c r="O90" s="3" t="s">
        <v>1627</v>
      </c>
      <c r="P90" s="282"/>
    </row>
    <row r="91" spans="1:16" x14ac:dyDescent="0.3">
      <c r="A91" s="3">
        <v>88</v>
      </c>
      <c r="B91" s="436"/>
      <c r="C91" s="3">
        <v>1130742</v>
      </c>
      <c r="D91" s="30" t="s">
        <v>1698</v>
      </c>
      <c r="E91" s="3" t="s">
        <v>1016</v>
      </c>
      <c r="F91" s="110">
        <v>2</v>
      </c>
      <c r="G91" s="110"/>
      <c r="H91" s="110"/>
      <c r="I91" s="33"/>
      <c r="J91" s="33" t="s">
        <v>1016</v>
      </c>
      <c r="K91" s="33" t="s">
        <v>1016</v>
      </c>
      <c r="L91" s="33" t="s">
        <v>1016</v>
      </c>
      <c r="M91" s="33" t="s">
        <v>1016</v>
      </c>
      <c r="N91" s="33" t="s">
        <v>1016</v>
      </c>
      <c r="O91" s="3" t="s">
        <v>1627</v>
      </c>
      <c r="P91" s="282"/>
    </row>
    <row r="92" spans="1:16" x14ac:dyDescent="0.3">
      <c r="A92" s="3">
        <v>89</v>
      </c>
      <c r="B92" s="436"/>
      <c r="C92" s="3">
        <v>1130132</v>
      </c>
      <c r="D92" s="30" t="s">
        <v>1699</v>
      </c>
      <c r="E92" s="3" t="s">
        <v>1016</v>
      </c>
      <c r="F92" s="110">
        <v>2</v>
      </c>
      <c r="G92" s="110"/>
      <c r="H92" s="110"/>
      <c r="I92" s="33"/>
      <c r="J92" s="33" t="s">
        <v>1016</v>
      </c>
      <c r="K92" s="33" t="s">
        <v>1016</v>
      </c>
      <c r="L92" s="33" t="s">
        <v>1016</v>
      </c>
      <c r="M92" s="33" t="s">
        <v>1016</v>
      </c>
      <c r="N92" s="33" t="s">
        <v>1016</v>
      </c>
      <c r="O92" s="3" t="s">
        <v>1627</v>
      </c>
      <c r="P92" s="282"/>
    </row>
    <row r="93" spans="1:16" x14ac:dyDescent="0.3">
      <c r="A93" s="3">
        <v>90</v>
      </c>
      <c r="B93" s="436"/>
      <c r="C93" s="3">
        <v>1130562</v>
      </c>
      <c r="D93" s="126" t="s">
        <v>1700</v>
      </c>
      <c r="E93" s="3" t="s">
        <v>1016</v>
      </c>
      <c r="F93" s="110">
        <v>2</v>
      </c>
      <c r="G93" s="110"/>
      <c r="H93" s="110"/>
      <c r="I93" s="33"/>
      <c r="J93" s="33"/>
      <c r="K93" s="33"/>
      <c r="L93" s="33"/>
      <c r="M93" s="33"/>
      <c r="N93" s="33" t="s">
        <v>1016</v>
      </c>
      <c r="O93" s="3" t="s">
        <v>1627</v>
      </c>
      <c r="P93" s="282"/>
    </row>
    <row r="94" spans="1:16" x14ac:dyDescent="0.3">
      <c r="A94" s="3">
        <v>91</v>
      </c>
      <c r="B94" s="436"/>
      <c r="C94" s="3">
        <v>1130612</v>
      </c>
      <c r="D94" s="126" t="s">
        <v>1701</v>
      </c>
      <c r="E94" s="3" t="s">
        <v>1016</v>
      </c>
      <c r="F94" s="110">
        <v>2</v>
      </c>
      <c r="G94" s="110"/>
      <c r="H94" s="110"/>
      <c r="I94" s="33"/>
      <c r="J94" s="33"/>
      <c r="K94" s="33"/>
      <c r="L94" s="33"/>
      <c r="M94" s="33"/>
      <c r="N94" s="33" t="s">
        <v>1016</v>
      </c>
      <c r="O94" s="3" t="s">
        <v>1627</v>
      </c>
      <c r="P94" s="282"/>
    </row>
    <row r="95" spans="1:16" x14ac:dyDescent="0.3">
      <c r="A95" s="3">
        <v>92</v>
      </c>
      <c r="B95" s="436"/>
      <c r="C95" s="3">
        <v>1130652</v>
      </c>
      <c r="D95" s="30" t="s">
        <v>1702</v>
      </c>
      <c r="E95" s="3" t="s">
        <v>1016</v>
      </c>
      <c r="F95" s="110">
        <v>2</v>
      </c>
      <c r="G95" s="110"/>
      <c r="H95" s="110"/>
      <c r="I95" s="33"/>
      <c r="J95" s="33" t="s">
        <v>1016</v>
      </c>
      <c r="K95" s="33" t="s">
        <v>1016</v>
      </c>
      <c r="L95" s="33" t="s">
        <v>1016</v>
      </c>
      <c r="M95" s="33" t="s">
        <v>1016</v>
      </c>
      <c r="N95" s="33"/>
      <c r="O95" s="3" t="s">
        <v>1627</v>
      </c>
      <c r="P95" s="282"/>
    </row>
    <row r="96" spans="1:16" x14ac:dyDescent="0.3">
      <c r="A96" s="3">
        <v>93</v>
      </c>
      <c r="B96" s="437"/>
      <c r="C96" s="3">
        <v>1130632</v>
      </c>
      <c r="D96" s="126" t="s">
        <v>1703</v>
      </c>
      <c r="E96" s="3" t="s">
        <v>1016</v>
      </c>
      <c r="F96" s="110">
        <v>2</v>
      </c>
      <c r="G96" s="110"/>
      <c r="H96" s="110"/>
      <c r="I96" s="33"/>
      <c r="J96" s="33"/>
      <c r="K96" s="33"/>
      <c r="L96" s="33"/>
      <c r="M96" s="33"/>
      <c r="N96" s="33"/>
      <c r="O96" s="3" t="s">
        <v>1627</v>
      </c>
      <c r="P96" s="283"/>
    </row>
    <row r="100" spans="3:3" x14ac:dyDescent="0.3">
      <c r="C100" s="305" t="s">
        <v>4039</v>
      </c>
    </row>
  </sheetData>
  <mergeCells count="21">
    <mergeCell ref="F2:H2"/>
    <mergeCell ref="I2:I3"/>
    <mergeCell ref="J2:M2"/>
    <mergeCell ref="B39:B48"/>
    <mergeCell ref="P18:P27"/>
    <mergeCell ref="N2:N3"/>
    <mergeCell ref="O2:O3"/>
    <mergeCell ref="P2:P3"/>
    <mergeCell ref="B4:B16"/>
    <mergeCell ref="B17:B27"/>
    <mergeCell ref="B49:B59"/>
    <mergeCell ref="B60:B70"/>
    <mergeCell ref="B71:B79"/>
    <mergeCell ref="B81:B96"/>
    <mergeCell ref="P4:P16"/>
    <mergeCell ref="B28:B38"/>
    <mergeCell ref="A2:A3"/>
    <mergeCell ref="B2:B3"/>
    <mergeCell ref="C2:C3"/>
    <mergeCell ref="D2:D3"/>
    <mergeCell ref="E2:E3"/>
  </mergeCells>
  <hyperlinks>
    <hyperlink ref="P4" r:id="rId1" display="https://drive.google.com/drive/folders/1S9wCvsCUXsv5Hq4_6_XPO0E1Gw2bpP1e?usp=sharing" xr:uid="{7E132529-EFAD-4618-BD86-A31292ED23B0}"/>
    <hyperlink ref="P18" r:id="rId2" xr:uid="{B73DE29A-A31C-40B9-86A3-284527FA4626}"/>
    <hyperlink ref="C100" location="'Daftar Sheet'!A1" display="&lt;&lt;&lt; Daftar Sheet" xr:uid="{25AA460F-4EF1-49F1-99F9-9AB5DE58E1B5}"/>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E0A2-7B51-444A-BA68-6517F4A467A0}">
  <dimension ref="A2:C10"/>
  <sheetViews>
    <sheetView zoomScale="85" zoomScaleNormal="85" workbookViewId="0">
      <selection activeCell="B10" sqref="B10"/>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 t="s">
        <v>51</v>
      </c>
      <c r="B2" s="2" t="s">
        <v>2336</v>
      </c>
      <c r="C2" s="2" t="s">
        <v>137</v>
      </c>
    </row>
    <row r="3" spans="1:3" x14ac:dyDescent="0.3">
      <c r="A3" s="3">
        <v>1</v>
      </c>
      <c r="B3" s="268" t="s">
        <v>3970</v>
      </c>
      <c r="C3" s="387" t="s">
        <v>3971</v>
      </c>
    </row>
    <row r="4" spans="1:3" x14ac:dyDescent="0.3">
      <c r="A4" s="3"/>
      <c r="B4" s="268"/>
      <c r="C4" s="434"/>
    </row>
    <row r="5" spans="1:3" x14ac:dyDescent="0.3">
      <c r="A5" s="3"/>
      <c r="B5" s="268"/>
      <c r="C5" s="434"/>
    </row>
    <row r="6" spans="1:3" x14ac:dyDescent="0.3">
      <c r="A6" s="3"/>
      <c r="B6" s="268"/>
      <c r="C6" s="434"/>
    </row>
    <row r="7" spans="1:3" x14ac:dyDescent="0.3">
      <c r="A7" s="3"/>
      <c r="B7" s="268"/>
      <c r="C7" s="433"/>
    </row>
    <row r="10" spans="1:3" x14ac:dyDescent="0.3">
      <c r="B10" s="305" t="s">
        <v>4039</v>
      </c>
    </row>
  </sheetData>
  <mergeCells count="1">
    <mergeCell ref="C3:C7"/>
  </mergeCells>
  <hyperlinks>
    <hyperlink ref="C3" r:id="rId1" xr:uid="{CA4A961A-78C9-4350-81C8-0146DC060B7D}"/>
    <hyperlink ref="B10" location="'Daftar Sheet'!A1" display="&lt;&lt;&lt; Daftar Sheet" xr:uid="{DA177D44-3D81-4D8D-8DBB-754A7D303A91}"/>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E23AC-1988-4FAA-A262-BF0A46CC8F26}">
  <dimension ref="A2:C10"/>
  <sheetViews>
    <sheetView zoomScale="85" zoomScaleNormal="85" workbookViewId="0">
      <selection activeCell="B10" sqref="B10"/>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 t="s">
        <v>51</v>
      </c>
      <c r="B2" s="2" t="s">
        <v>2336</v>
      </c>
      <c r="C2" s="2" t="s">
        <v>137</v>
      </c>
    </row>
    <row r="3" spans="1:3" x14ac:dyDescent="0.3">
      <c r="A3" s="3" t="s">
        <v>3947</v>
      </c>
      <c r="B3" s="268" t="s">
        <v>3972</v>
      </c>
      <c r="C3" s="387" t="s">
        <v>3975</v>
      </c>
    </row>
    <row r="4" spans="1:3" x14ac:dyDescent="0.3">
      <c r="A4" s="3" t="s">
        <v>3948</v>
      </c>
      <c r="B4" s="268" t="s">
        <v>3973</v>
      </c>
      <c r="C4" s="434"/>
    </row>
    <row r="5" spans="1:3" ht="43.2" x14ac:dyDescent="0.3">
      <c r="A5" s="3" t="s">
        <v>3949</v>
      </c>
      <c r="B5" s="268" t="s">
        <v>3974</v>
      </c>
      <c r="C5" s="434"/>
    </row>
    <row r="6" spans="1:3" x14ac:dyDescent="0.3">
      <c r="A6" s="3"/>
      <c r="B6" s="268"/>
      <c r="C6" s="434"/>
    </row>
    <row r="7" spans="1:3" x14ac:dyDescent="0.3">
      <c r="A7" s="3"/>
      <c r="B7" s="268"/>
      <c r="C7" s="433"/>
    </row>
    <row r="10" spans="1:3" x14ac:dyDescent="0.3">
      <c r="B10" s="305" t="s">
        <v>4039</v>
      </c>
    </row>
  </sheetData>
  <mergeCells count="1">
    <mergeCell ref="C3:C7"/>
  </mergeCells>
  <hyperlinks>
    <hyperlink ref="C3" r:id="rId1" xr:uid="{43A4835F-0D25-4184-9383-52B06B17E721}"/>
    <hyperlink ref="B10" location="'Daftar Sheet'!A1" display="&lt;&lt;&lt; Daftar Sheet" xr:uid="{C5869B1F-5814-4D5A-AF70-B66D7E471204}"/>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1B118-C0AB-4AE9-801B-D45DB337F4E7}">
  <dimension ref="A1:E22"/>
  <sheetViews>
    <sheetView topLeftCell="A7" workbookViewId="0">
      <selection activeCell="B22" sqref="B22"/>
    </sheetView>
  </sheetViews>
  <sheetFormatPr defaultRowHeight="14.4" x14ac:dyDescent="0.3"/>
  <cols>
    <col min="1" max="1" width="3.21875" bestFit="1" customWidth="1"/>
    <col min="2" max="2" width="50.33203125" bestFit="1" customWidth="1"/>
    <col min="4" max="4" width="10" bestFit="1" customWidth="1"/>
    <col min="5" max="5" width="79.21875" bestFit="1" customWidth="1"/>
  </cols>
  <sheetData>
    <row r="1" spans="1:5" x14ac:dyDescent="0.3">
      <c r="E1" s="10"/>
    </row>
    <row r="2" spans="1:5" x14ac:dyDescent="0.3">
      <c r="A2" s="391" t="s">
        <v>0</v>
      </c>
      <c r="B2" s="391" t="s">
        <v>1767</v>
      </c>
      <c r="C2" s="391" t="s">
        <v>1603</v>
      </c>
      <c r="D2" s="391" t="s">
        <v>1768</v>
      </c>
      <c r="E2" s="391" t="s">
        <v>137</v>
      </c>
    </row>
    <row r="3" spans="1:5" x14ac:dyDescent="0.3">
      <c r="A3" s="391"/>
      <c r="B3" s="391"/>
      <c r="C3" s="391"/>
      <c r="D3" s="391"/>
      <c r="E3" s="391"/>
    </row>
    <row r="4" spans="1:5" x14ac:dyDescent="0.3">
      <c r="A4" s="3">
        <v>1</v>
      </c>
      <c r="B4" s="30" t="s">
        <v>1769</v>
      </c>
      <c r="C4" s="3">
        <v>1</v>
      </c>
      <c r="D4" s="3">
        <v>3</v>
      </c>
      <c r="E4" s="387" t="s">
        <v>3976</v>
      </c>
    </row>
    <row r="5" spans="1:5" x14ac:dyDescent="0.3">
      <c r="A5" s="3">
        <v>2</v>
      </c>
      <c r="B5" s="30" t="s">
        <v>1623</v>
      </c>
      <c r="C5" s="3">
        <v>1</v>
      </c>
      <c r="D5" s="3">
        <v>3</v>
      </c>
      <c r="E5" s="382"/>
    </row>
    <row r="6" spans="1:5" x14ac:dyDescent="0.3">
      <c r="A6" s="3">
        <v>3</v>
      </c>
      <c r="B6" s="30" t="s">
        <v>1624</v>
      </c>
      <c r="C6" s="3">
        <v>1</v>
      </c>
      <c r="D6" s="3">
        <v>3</v>
      </c>
      <c r="E6" s="382"/>
    </row>
    <row r="7" spans="1:5" x14ac:dyDescent="0.3">
      <c r="A7" s="3">
        <v>4</v>
      </c>
      <c r="B7" s="30" t="s">
        <v>1625</v>
      </c>
      <c r="C7" s="3">
        <v>1</v>
      </c>
      <c r="D7" s="3">
        <v>3</v>
      </c>
      <c r="E7" s="382"/>
    </row>
    <row r="8" spans="1:5" x14ac:dyDescent="0.3">
      <c r="A8" s="3">
        <v>5</v>
      </c>
      <c r="B8" s="30" t="s">
        <v>1633</v>
      </c>
      <c r="C8" s="3">
        <v>2</v>
      </c>
      <c r="D8" s="3">
        <v>2</v>
      </c>
      <c r="E8" s="382"/>
    </row>
    <row r="9" spans="1:5" x14ac:dyDescent="0.3">
      <c r="A9" s="3">
        <v>6</v>
      </c>
      <c r="B9" s="30" t="s">
        <v>1634</v>
      </c>
      <c r="C9" s="3">
        <v>2</v>
      </c>
      <c r="D9" s="3">
        <v>2</v>
      </c>
      <c r="E9" s="382"/>
    </row>
    <row r="10" spans="1:5" x14ac:dyDescent="0.3">
      <c r="A10" s="3">
        <v>7</v>
      </c>
      <c r="B10" s="30" t="s">
        <v>1635</v>
      </c>
      <c r="C10" s="3">
        <v>2</v>
      </c>
      <c r="D10" s="3">
        <v>2</v>
      </c>
      <c r="E10" s="382"/>
    </row>
    <row r="11" spans="1:5" x14ac:dyDescent="0.3">
      <c r="A11" s="3">
        <v>8</v>
      </c>
      <c r="B11" s="30" t="s">
        <v>1636</v>
      </c>
      <c r="C11" s="3">
        <v>2</v>
      </c>
      <c r="D11" s="3">
        <v>2</v>
      </c>
      <c r="E11" s="382"/>
    </row>
    <row r="12" spans="1:5" x14ac:dyDescent="0.3">
      <c r="A12" s="3">
        <v>9</v>
      </c>
      <c r="B12" s="30" t="s">
        <v>1639</v>
      </c>
      <c r="C12" s="3">
        <v>3</v>
      </c>
      <c r="D12" s="3">
        <v>2</v>
      </c>
      <c r="E12" s="382"/>
    </row>
    <row r="13" spans="1:5" x14ac:dyDescent="0.3">
      <c r="A13" s="3">
        <v>10</v>
      </c>
      <c r="B13" s="30" t="s">
        <v>1640</v>
      </c>
      <c r="C13" s="3">
        <v>3</v>
      </c>
      <c r="D13" s="3">
        <v>2</v>
      </c>
      <c r="E13" s="382"/>
    </row>
    <row r="14" spans="1:5" x14ac:dyDescent="0.3">
      <c r="A14" s="3">
        <v>11</v>
      </c>
      <c r="B14" s="30" t="s">
        <v>1641</v>
      </c>
      <c r="C14" s="3">
        <v>3</v>
      </c>
      <c r="D14" s="3">
        <v>2</v>
      </c>
      <c r="E14" s="382"/>
    </row>
    <row r="15" spans="1:5" x14ac:dyDescent="0.3">
      <c r="A15" s="3">
        <v>12</v>
      </c>
      <c r="B15" s="30" t="s">
        <v>1642</v>
      </c>
      <c r="C15" s="3">
        <v>3</v>
      </c>
      <c r="D15" s="3">
        <v>2</v>
      </c>
      <c r="E15" s="382"/>
    </row>
    <row r="16" spans="1:5" x14ac:dyDescent="0.3">
      <c r="A16" s="3">
        <v>13</v>
      </c>
      <c r="B16" s="30" t="s">
        <v>1770</v>
      </c>
      <c r="C16" s="3">
        <v>3</v>
      </c>
      <c r="D16" s="3">
        <v>2</v>
      </c>
      <c r="E16" s="382"/>
    </row>
    <row r="17" spans="1:5" x14ac:dyDescent="0.3">
      <c r="A17" s="3">
        <v>14</v>
      </c>
      <c r="B17" s="30" t="s">
        <v>1652</v>
      </c>
      <c r="C17" s="3">
        <v>4</v>
      </c>
      <c r="D17" s="3">
        <v>2</v>
      </c>
      <c r="E17" s="382"/>
    </row>
    <row r="18" spans="1:5" x14ac:dyDescent="0.3">
      <c r="A18" s="3"/>
      <c r="B18" s="30"/>
      <c r="C18" s="3"/>
      <c r="D18" s="3"/>
      <c r="E18" s="382"/>
    </row>
    <row r="19" spans="1:5" x14ac:dyDescent="0.3">
      <c r="A19" s="3"/>
      <c r="B19" s="30"/>
      <c r="C19" s="3"/>
      <c r="D19" s="3"/>
      <c r="E19" s="383"/>
    </row>
    <row r="22" spans="1:5" x14ac:dyDescent="0.3">
      <c r="B22" s="305" t="s">
        <v>4039</v>
      </c>
    </row>
  </sheetData>
  <mergeCells count="6">
    <mergeCell ref="E4:E19"/>
    <mergeCell ref="A2:A3"/>
    <mergeCell ref="B2:B3"/>
    <mergeCell ref="C2:C3"/>
    <mergeCell ref="D2:D3"/>
    <mergeCell ref="E2:E3"/>
  </mergeCells>
  <hyperlinks>
    <hyperlink ref="E4" r:id="rId1" xr:uid="{96D8FF3D-948A-4449-B23D-AE995327C5DE}"/>
    <hyperlink ref="B22" location="'Daftar Sheet'!A1" display="&lt;&lt;&lt; Daftar Sheet" xr:uid="{AF6039BE-05FF-4E11-81BD-66811AA9F8FD}"/>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44FE-AF19-4BB3-B8F0-7B45D9A73776}">
  <dimension ref="A2:E10"/>
  <sheetViews>
    <sheetView workbookViewId="0">
      <selection activeCell="B10" sqref="B10"/>
    </sheetView>
  </sheetViews>
  <sheetFormatPr defaultRowHeight="14.4" x14ac:dyDescent="0.3"/>
  <cols>
    <col min="2" max="2" width="30.77734375" bestFit="1" customWidth="1"/>
    <col min="3" max="3" width="8.5546875" style="10" bestFit="1" customWidth="1"/>
    <col min="4" max="4" width="88.5546875" bestFit="1" customWidth="1"/>
    <col min="5" max="5" width="82" bestFit="1" customWidth="1"/>
  </cols>
  <sheetData>
    <row r="2" spans="1:5" x14ac:dyDescent="0.3">
      <c r="A2" s="2" t="s">
        <v>0</v>
      </c>
      <c r="B2" s="2" t="s">
        <v>1771</v>
      </c>
      <c r="C2" s="2" t="s">
        <v>1603</v>
      </c>
      <c r="D2" s="2" t="s">
        <v>1772</v>
      </c>
      <c r="E2" s="2" t="s">
        <v>137</v>
      </c>
    </row>
    <row r="3" spans="1:5" x14ac:dyDescent="0.3">
      <c r="A3" s="3">
        <v>1</v>
      </c>
      <c r="B3" s="30" t="s">
        <v>1734</v>
      </c>
      <c r="C3" s="3">
        <v>7</v>
      </c>
      <c r="D3" s="30" t="s">
        <v>1773</v>
      </c>
      <c r="E3" s="387" t="s">
        <v>3977</v>
      </c>
    </row>
    <row r="4" spans="1:5" x14ac:dyDescent="0.3">
      <c r="A4" s="3">
        <v>2</v>
      </c>
      <c r="B4" s="30"/>
      <c r="C4" s="3"/>
      <c r="D4" s="30"/>
      <c r="E4" s="382"/>
    </row>
    <row r="5" spans="1:5" x14ac:dyDescent="0.3">
      <c r="A5" s="3">
        <v>3</v>
      </c>
      <c r="B5" s="30"/>
      <c r="C5" s="3"/>
      <c r="D5" s="30"/>
      <c r="E5" s="382"/>
    </row>
    <row r="6" spans="1:5" x14ac:dyDescent="0.3">
      <c r="A6" s="3">
        <v>4</v>
      </c>
      <c r="B6" s="30"/>
      <c r="C6" s="3"/>
      <c r="D6" s="30"/>
      <c r="E6" s="382"/>
    </row>
    <row r="7" spans="1:5" x14ac:dyDescent="0.3">
      <c r="A7" s="3">
        <v>5</v>
      </c>
      <c r="B7" s="30"/>
      <c r="C7" s="3"/>
      <c r="D7" s="30"/>
      <c r="E7" s="383"/>
    </row>
    <row r="10" spans="1:5" x14ac:dyDescent="0.3">
      <c r="B10" s="305" t="s">
        <v>4039</v>
      </c>
    </row>
  </sheetData>
  <mergeCells count="1">
    <mergeCell ref="E3:E7"/>
  </mergeCells>
  <hyperlinks>
    <hyperlink ref="E3" r:id="rId1" xr:uid="{DCB52506-2AC9-4F0B-9D45-7454F67784AB}"/>
    <hyperlink ref="B10" location="'Daftar Sheet'!A1" display="&lt;&lt;&lt; Daftar Sheet" xr:uid="{96C1BE00-C9C0-41CE-A2F0-66D98DFE2686}"/>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F37B-5B71-45BF-BABA-A5F5855E9F13}">
  <dimension ref="A2:N42"/>
  <sheetViews>
    <sheetView zoomScale="85" zoomScaleNormal="85" workbookViewId="0">
      <pane xSplit="2" ySplit="3" topLeftCell="C28" activePane="bottomRight" state="frozen"/>
      <selection pane="topRight" activeCell="C1" sqref="C1"/>
      <selection pane="bottomLeft" activeCell="A4" sqref="A4"/>
      <selection pane="bottomRight" activeCell="B42" sqref="B42"/>
    </sheetView>
  </sheetViews>
  <sheetFormatPr defaultRowHeight="14.4" x14ac:dyDescent="0.3"/>
  <cols>
    <col min="1" max="1" width="8.77734375" style="10"/>
    <col min="2" max="2" width="23.6640625" bestFit="1" customWidth="1"/>
    <col min="3" max="3" width="22.77734375" bestFit="1" customWidth="1"/>
    <col min="4" max="4" width="16" bestFit="1" customWidth="1"/>
    <col min="5" max="13" width="8.77734375" style="10"/>
    <col min="14" max="14" width="79.77734375" bestFit="1" customWidth="1"/>
  </cols>
  <sheetData>
    <row r="2" spans="1:14" ht="24.45" customHeight="1" x14ac:dyDescent="0.3">
      <c r="A2" s="391" t="s">
        <v>51</v>
      </c>
      <c r="B2" s="391" t="s">
        <v>1755</v>
      </c>
      <c r="C2" s="391" t="s">
        <v>1756</v>
      </c>
      <c r="D2" s="391"/>
      <c r="E2" s="391" t="s">
        <v>1757</v>
      </c>
      <c r="F2" s="391"/>
      <c r="G2" s="391"/>
      <c r="H2" s="390" t="s">
        <v>1758</v>
      </c>
      <c r="I2" s="390"/>
      <c r="J2" s="390"/>
      <c r="K2" s="390" t="s">
        <v>1759</v>
      </c>
      <c r="L2" s="390"/>
      <c r="M2" s="390"/>
      <c r="N2" s="391" t="s">
        <v>137</v>
      </c>
    </row>
    <row r="3" spans="1:14" x14ac:dyDescent="0.3">
      <c r="A3" s="391"/>
      <c r="B3" s="391"/>
      <c r="C3" s="2" t="s">
        <v>1760</v>
      </c>
      <c r="D3" s="2" t="s">
        <v>1761</v>
      </c>
      <c r="E3" s="2" t="s">
        <v>1551</v>
      </c>
      <c r="F3" s="2" t="s">
        <v>1552</v>
      </c>
      <c r="G3" s="2" t="s">
        <v>1553</v>
      </c>
      <c r="H3" s="2" t="s">
        <v>1551</v>
      </c>
      <c r="I3" s="2" t="s">
        <v>1552</v>
      </c>
      <c r="J3" s="2" t="s">
        <v>1553</v>
      </c>
      <c r="K3" s="2" t="s">
        <v>1551</v>
      </c>
      <c r="L3" s="2" t="s">
        <v>1552</v>
      </c>
      <c r="M3" s="2" t="s">
        <v>1553</v>
      </c>
      <c r="N3" s="391"/>
    </row>
    <row r="4" spans="1:14" x14ac:dyDescent="0.3">
      <c r="A4" s="3">
        <v>1</v>
      </c>
      <c r="B4" s="30" t="s">
        <v>1020</v>
      </c>
      <c r="C4" s="30" t="s">
        <v>36</v>
      </c>
      <c r="D4" s="30" t="s">
        <v>1763</v>
      </c>
      <c r="E4" s="3">
        <v>0</v>
      </c>
      <c r="F4" s="3">
        <v>0</v>
      </c>
      <c r="G4" s="3">
        <v>7</v>
      </c>
      <c r="H4" s="3">
        <v>0</v>
      </c>
      <c r="I4" s="3">
        <v>0</v>
      </c>
      <c r="J4" s="3">
        <v>56</v>
      </c>
      <c r="K4" s="3">
        <v>0</v>
      </c>
      <c r="L4" s="3">
        <v>0</v>
      </c>
      <c r="M4" s="3">
        <v>0</v>
      </c>
      <c r="N4" s="394" t="s">
        <v>1766</v>
      </c>
    </row>
    <row r="5" spans="1:14" x14ac:dyDescent="0.3">
      <c r="A5" s="3">
        <v>2</v>
      </c>
      <c r="B5" s="30" t="s">
        <v>1563</v>
      </c>
      <c r="C5" s="30" t="s">
        <v>36</v>
      </c>
      <c r="D5" s="30" t="s">
        <v>1763</v>
      </c>
      <c r="E5" s="3">
        <v>12</v>
      </c>
      <c r="F5" s="3">
        <v>16</v>
      </c>
      <c r="G5" s="3">
        <v>24</v>
      </c>
      <c r="H5" s="3">
        <v>56</v>
      </c>
      <c r="I5" s="3">
        <v>32</v>
      </c>
      <c r="J5" s="3">
        <v>56</v>
      </c>
      <c r="K5" s="3">
        <v>13</v>
      </c>
      <c r="L5" s="3">
        <v>12</v>
      </c>
      <c r="M5" s="3">
        <v>13</v>
      </c>
      <c r="N5" s="394"/>
    </row>
    <row r="6" spans="1:14" x14ac:dyDescent="0.3">
      <c r="A6" s="3">
        <v>3</v>
      </c>
      <c r="B6" s="30" t="s">
        <v>543</v>
      </c>
      <c r="C6" s="30" t="s">
        <v>47</v>
      </c>
      <c r="D6" s="30" t="s">
        <v>1765</v>
      </c>
      <c r="E6" s="3">
        <v>11</v>
      </c>
      <c r="F6" s="3">
        <v>22</v>
      </c>
      <c r="G6" s="3">
        <v>36</v>
      </c>
      <c r="H6" s="3">
        <v>48</v>
      </c>
      <c r="I6" s="3">
        <v>64</v>
      </c>
      <c r="J6" s="3">
        <v>56</v>
      </c>
      <c r="K6" s="3">
        <v>12</v>
      </c>
      <c r="L6" s="3">
        <v>10</v>
      </c>
      <c r="M6" s="3">
        <v>9</v>
      </c>
      <c r="N6" s="394"/>
    </row>
    <row r="7" spans="1:14" x14ac:dyDescent="0.3">
      <c r="A7" s="3">
        <v>4</v>
      </c>
      <c r="B7" s="30" t="s">
        <v>1564</v>
      </c>
      <c r="C7" s="30" t="s">
        <v>36</v>
      </c>
      <c r="D7" s="30" t="s">
        <v>1763</v>
      </c>
      <c r="E7" s="3">
        <v>12</v>
      </c>
      <c r="F7" s="3">
        <v>16</v>
      </c>
      <c r="G7" s="3">
        <v>13</v>
      </c>
      <c r="H7" s="3">
        <v>32</v>
      </c>
      <c r="I7" s="3">
        <v>24</v>
      </c>
      <c r="J7" s="3">
        <v>48</v>
      </c>
      <c r="K7" s="3">
        <v>9</v>
      </c>
      <c r="L7" s="3">
        <v>9</v>
      </c>
      <c r="M7" s="3">
        <v>11</v>
      </c>
      <c r="N7" s="394"/>
    </row>
    <row r="8" spans="1:14" x14ac:dyDescent="0.3">
      <c r="A8" s="3">
        <v>5</v>
      </c>
      <c r="B8" s="30" t="s">
        <v>356</v>
      </c>
      <c r="C8" s="30" t="s">
        <v>36</v>
      </c>
      <c r="D8" s="30" t="s">
        <v>1763</v>
      </c>
      <c r="E8" s="3">
        <v>7</v>
      </c>
      <c r="F8" s="3">
        <v>9</v>
      </c>
      <c r="G8" s="3">
        <v>17</v>
      </c>
      <c r="H8" s="3">
        <v>40</v>
      </c>
      <c r="I8" s="3">
        <v>16</v>
      </c>
      <c r="J8" s="3">
        <v>48</v>
      </c>
      <c r="K8" s="3">
        <v>9</v>
      </c>
      <c r="L8" s="3">
        <v>9</v>
      </c>
      <c r="M8" s="3">
        <v>9</v>
      </c>
      <c r="N8" s="394"/>
    </row>
    <row r="9" spans="1:14" x14ac:dyDescent="0.3">
      <c r="A9" s="3">
        <v>6</v>
      </c>
      <c r="B9" s="30" t="s">
        <v>387</v>
      </c>
      <c r="C9" s="30" t="s">
        <v>47</v>
      </c>
      <c r="D9" s="30" t="s">
        <v>1763</v>
      </c>
      <c r="E9" s="3">
        <v>11</v>
      </c>
      <c r="F9" s="3">
        <v>13</v>
      </c>
      <c r="G9" s="3">
        <v>19</v>
      </c>
      <c r="H9" s="3">
        <v>40</v>
      </c>
      <c r="I9" s="3">
        <v>8</v>
      </c>
      <c r="J9" s="3">
        <v>48</v>
      </c>
      <c r="K9" s="3">
        <v>11</v>
      </c>
      <c r="L9" s="3">
        <v>5</v>
      </c>
      <c r="M9" s="3">
        <v>12</v>
      </c>
      <c r="N9" s="394"/>
    </row>
    <row r="10" spans="1:14" x14ac:dyDescent="0.3">
      <c r="A10" s="3">
        <v>7</v>
      </c>
      <c r="B10" s="30" t="s">
        <v>568</v>
      </c>
      <c r="C10" s="30" t="s">
        <v>36</v>
      </c>
      <c r="D10" s="30" t="s">
        <v>1762</v>
      </c>
      <c r="E10" s="3">
        <v>0</v>
      </c>
      <c r="F10" s="3">
        <v>0</v>
      </c>
      <c r="G10" s="3">
        <v>0</v>
      </c>
      <c r="H10" s="3">
        <v>0</v>
      </c>
      <c r="I10" s="3">
        <v>0</v>
      </c>
      <c r="J10" s="3">
        <v>0</v>
      </c>
      <c r="K10" s="3">
        <v>0</v>
      </c>
      <c r="L10" s="3">
        <v>0</v>
      </c>
      <c r="M10" s="3">
        <v>0</v>
      </c>
      <c r="N10" s="394"/>
    </row>
    <row r="11" spans="1:14" x14ac:dyDescent="0.3">
      <c r="A11" s="3">
        <v>8</v>
      </c>
      <c r="B11" s="30" t="s">
        <v>415</v>
      </c>
      <c r="C11" s="30" t="s">
        <v>47</v>
      </c>
      <c r="D11" s="30" t="s">
        <v>1764</v>
      </c>
      <c r="E11" s="3">
        <v>8</v>
      </c>
      <c r="F11" s="3">
        <v>9</v>
      </c>
      <c r="G11" s="3">
        <v>19</v>
      </c>
      <c r="H11" s="3">
        <v>32</v>
      </c>
      <c r="I11" s="3">
        <v>8</v>
      </c>
      <c r="J11" s="3">
        <v>56</v>
      </c>
      <c r="K11" s="3">
        <v>5</v>
      </c>
      <c r="L11" s="3">
        <v>20</v>
      </c>
      <c r="M11" s="3">
        <v>13</v>
      </c>
      <c r="N11" s="394"/>
    </row>
    <row r="12" spans="1:14" x14ac:dyDescent="0.3">
      <c r="A12" s="3">
        <v>9</v>
      </c>
      <c r="B12" s="30" t="s">
        <v>398</v>
      </c>
      <c r="C12" s="30" t="s">
        <v>36</v>
      </c>
      <c r="D12" s="30" t="s">
        <v>1763</v>
      </c>
      <c r="E12" s="3">
        <v>0</v>
      </c>
      <c r="F12" s="3">
        <v>0</v>
      </c>
      <c r="G12" s="3">
        <v>0</v>
      </c>
      <c r="H12" s="3">
        <v>0</v>
      </c>
      <c r="I12" s="3">
        <v>0</v>
      </c>
      <c r="J12" s="3">
        <v>0</v>
      </c>
      <c r="K12" s="3">
        <v>17</v>
      </c>
      <c r="L12" s="3">
        <v>10</v>
      </c>
      <c r="M12" s="3">
        <v>10</v>
      </c>
      <c r="N12" s="394"/>
    </row>
    <row r="13" spans="1:14" x14ac:dyDescent="0.3">
      <c r="A13" s="3">
        <v>10</v>
      </c>
      <c r="B13" s="30" t="s">
        <v>1027</v>
      </c>
      <c r="C13" s="30" t="s">
        <v>47</v>
      </c>
      <c r="D13" s="30" t="s">
        <v>1764</v>
      </c>
      <c r="E13" s="3">
        <v>10</v>
      </c>
      <c r="F13" s="3">
        <v>12</v>
      </c>
      <c r="G13" s="3">
        <v>17</v>
      </c>
      <c r="H13" s="3">
        <v>24</v>
      </c>
      <c r="I13" s="3">
        <v>16</v>
      </c>
      <c r="J13" s="3">
        <v>48</v>
      </c>
      <c r="K13" s="3">
        <v>14</v>
      </c>
      <c r="L13" s="3">
        <v>20</v>
      </c>
      <c r="M13" s="3">
        <v>12</v>
      </c>
      <c r="N13" s="394"/>
    </row>
    <row r="14" spans="1:14" x14ac:dyDescent="0.3">
      <c r="A14" s="3">
        <v>11</v>
      </c>
      <c r="B14" s="30" t="s">
        <v>362</v>
      </c>
      <c r="C14" s="30" t="s">
        <v>36</v>
      </c>
      <c r="D14" s="30" t="s">
        <v>1763</v>
      </c>
      <c r="E14" s="3">
        <v>0</v>
      </c>
      <c r="F14" s="3">
        <v>0</v>
      </c>
      <c r="G14" s="3">
        <v>6</v>
      </c>
      <c r="H14" s="3">
        <v>0</v>
      </c>
      <c r="I14" s="3">
        <v>0</v>
      </c>
      <c r="J14" s="3">
        <v>48</v>
      </c>
      <c r="K14" s="3">
        <v>8</v>
      </c>
      <c r="L14" s="3">
        <v>20</v>
      </c>
      <c r="M14" s="3">
        <v>10</v>
      </c>
      <c r="N14" s="394"/>
    </row>
    <row r="15" spans="1:14" x14ac:dyDescent="0.3">
      <c r="A15" s="3">
        <v>12</v>
      </c>
      <c r="B15" s="30" t="s">
        <v>1058</v>
      </c>
      <c r="C15" s="30" t="s">
        <v>36</v>
      </c>
      <c r="D15" s="30" t="s">
        <v>1763</v>
      </c>
      <c r="E15" s="3">
        <v>0</v>
      </c>
      <c r="F15" s="3">
        <v>13</v>
      </c>
      <c r="G15" s="3">
        <v>13</v>
      </c>
      <c r="H15" s="3">
        <v>0</v>
      </c>
      <c r="I15" s="3">
        <v>8</v>
      </c>
      <c r="J15" s="3">
        <v>56</v>
      </c>
      <c r="K15" s="3">
        <v>14</v>
      </c>
      <c r="L15" s="3">
        <v>11</v>
      </c>
      <c r="M15" s="3">
        <v>11</v>
      </c>
      <c r="N15" s="394"/>
    </row>
    <row r="16" spans="1:14" x14ac:dyDescent="0.3">
      <c r="A16" s="3">
        <v>13</v>
      </c>
      <c r="B16" s="30" t="s">
        <v>572</v>
      </c>
      <c r="C16" s="30" t="s">
        <v>36</v>
      </c>
      <c r="D16" s="30" t="s">
        <v>1763</v>
      </c>
      <c r="E16" s="3">
        <v>11</v>
      </c>
      <c r="F16" s="3">
        <v>20</v>
      </c>
      <c r="G16" s="3">
        <v>23</v>
      </c>
      <c r="H16" s="3">
        <v>64</v>
      </c>
      <c r="I16" s="3">
        <v>64</v>
      </c>
      <c r="J16" s="3">
        <v>56</v>
      </c>
      <c r="K16" s="3">
        <v>8</v>
      </c>
      <c r="L16" s="3">
        <v>9</v>
      </c>
      <c r="M16" s="3">
        <v>12</v>
      </c>
      <c r="N16" s="394"/>
    </row>
    <row r="17" spans="1:14" x14ac:dyDescent="0.3">
      <c r="A17" s="3">
        <v>14</v>
      </c>
      <c r="B17" s="30" t="s">
        <v>401</v>
      </c>
      <c r="C17" s="30" t="s">
        <v>47</v>
      </c>
      <c r="D17" s="30" t="s">
        <v>1764</v>
      </c>
      <c r="E17" s="3">
        <v>7</v>
      </c>
      <c r="F17" s="3">
        <v>8</v>
      </c>
      <c r="G17" s="3">
        <v>14</v>
      </c>
      <c r="H17" s="3">
        <v>32</v>
      </c>
      <c r="I17" s="3">
        <v>16</v>
      </c>
      <c r="J17" s="3">
        <v>48</v>
      </c>
      <c r="K17" s="3">
        <v>23</v>
      </c>
      <c r="L17" s="3">
        <v>11</v>
      </c>
      <c r="M17" s="3">
        <v>12</v>
      </c>
      <c r="N17" s="394"/>
    </row>
    <row r="18" spans="1:14" x14ac:dyDescent="0.3">
      <c r="A18" s="3">
        <v>15</v>
      </c>
      <c r="B18" s="30" t="s">
        <v>546</v>
      </c>
      <c r="C18" s="30" t="s">
        <v>47</v>
      </c>
      <c r="D18" s="30" t="s">
        <v>1765</v>
      </c>
      <c r="E18" s="3">
        <v>4</v>
      </c>
      <c r="F18" s="3">
        <v>15</v>
      </c>
      <c r="G18" s="3">
        <v>21</v>
      </c>
      <c r="H18" s="3">
        <v>16</v>
      </c>
      <c r="I18" s="3">
        <v>64</v>
      </c>
      <c r="J18" s="3">
        <v>56</v>
      </c>
      <c r="K18" s="3">
        <v>10</v>
      </c>
      <c r="L18" s="3">
        <v>5</v>
      </c>
      <c r="M18" s="3">
        <v>14</v>
      </c>
      <c r="N18" s="394"/>
    </row>
    <row r="19" spans="1:14" x14ac:dyDescent="0.3">
      <c r="A19" s="3">
        <v>16</v>
      </c>
      <c r="B19" s="30" t="s">
        <v>366</v>
      </c>
      <c r="C19" s="30" t="s">
        <v>36</v>
      </c>
      <c r="D19" s="30" t="s">
        <v>1763</v>
      </c>
      <c r="E19" s="3">
        <v>0</v>
      </c>
      <c r="F19" s="3">
        <v>0</v>
      </c>
      <c r="G19" s="3">
        <v>0</v>
      </c>
      <c r="H19" s="3">
        <v>0</v>
      </c>
      <c r="I19" s="3">
        <v>0</v>
      </c>
      <c r="J19" s="3">
        <v>0</v>
      </c>
      <c r="K19" s="3">
        <v>6</v>
      </c>
      <c r="L19" s="3">
        <v>10</v>
      </c>
      <c r="M19" s="3">
        <v>10</v>
      </c>
      <c r="N19" s="394"/>
    </row>
    <row r="20" spans="1:14" x14ac:dyDescent="0.3">
      <c r="A20" s="3">
        <v>17</v>
      </c>
      <c r="B20" s="30" t="s">
        <v>607</v>
      </c>
      <c r="C20" s="30" t="s">
        <v>36</v>
      </c>
      <c r="D20" s="30" t="s">
        <v>1763</v>
      </c>
      <c r="E20" s="3">
        <v>11</v>
      </c>
      <c r="F20" s="3">
        <v>14</v>
      </c>
      <c r="G20" s="3">
        <v>16</v>
      </c>
      <c r="H20" s="3">
        <v>56</v>
      </c>
      <c r="I20" s="3">
        <v>24</v>
      </c>
      <c r="J20" s="3">
        <v>48</v>
      </c>
      <c r="K20" s="3">
        <v>5</v>
      </c>
      <c r="L20" s="3">
        <v>10</v>
      </c>
      <c r="M20" s="3">
        <v>21</v>
      </c>
      <c r="N20" s="394"/>
    </row>
    <row r="21" spans="1:14" x14ac:dyDescent="0.3">
      <c r="A21" s="3">
        <v>18</v>
      </c>
      <c r="B21" s="30" t="s">
        <v>91</v>
      </c>
      <c r="C21" s="30" t="s">
        <v>47</v>
      </c>
      <c r="D21" s="30" t="s">
        <v>1763</v>
      </c>
      <c r="E21" s="3">
        <v>12</v>
      </c>
      <c r="F21" s="3">
        <v>23</v>
      </c>
      <c r="G21" s="3">
        <v>27</v>
      </c>
      <c r="H21" s="3">
        <v>64</v>
      </c>
      <c r="I21" s="3">
        <v>64</v>
      </c>
      <c r="J21" s="3">
        <v>56</v>
      </c>
      <c r="K21" s="3">
        <v>5</v>
      </c>
      <c r="L21" s="3">
        <v>15</v>
      </c>
      <c r="M21" s="3">
        <v>20</v>
      </c>
      <c r="N21" s="394"/>
    </row>
    <row r="22" spans="1:14" x14ac:dyDescent="0.3">
      <c r="A22" s="3">
        <v>19</v>
      </c>
      <c r="B22" s="30" t="s">
        <v>1028</v>
      </c>
      <c r="C22" s="30" t="s">
        <v>36</v>
      </c>
      <c r="D22" s="30" t="s">
        <v>1763</v>
      </c>
      <c r="E22" s="3">
        <v>9</v>
      </c>
      <c r="F22" s="3">
        <v>11</v>
      </c>
      <c r="G22" s="3">
        <v>21</v>
      </c>
      <c r="H22" s="3">
        <v>40</v>
      </c>
      <c r="I22" s="3">
        <v>16</v>
      </c>
      <c r="J22" s="3">
        <v>56</v>
      </c>
      <c r="K22" s="3">
        <v>11</v>
      </c>
      <c r="L22" s="3">
        <v>21</v>
      </c>
      <c r="M22" s="3">
        <v>12</v>
      </c>
      <c r="N22" s="394"/>
    </row>
    <row r="23" spans="1:14" x14ac:dyDescent="0.3">
      <c r="A23" s="3">
        <v>20</v>
      </c>
      <c r="B23" s="30" t="s">
        <v>370</v>
      </c>
      <c r="C23" s="30" t="s">
        <v>36</v>
      </c>
      <c r="D23" s="30" t="s">
        <v>1763</v>
      </c>
      <c r="E23" s="3">
        <v>0</v>
      </c>
      <c r="F23" s="3">
        <v>0</v>
      </c>
      <c r="G23" s="3">
        <v>7</v>
      </c>
      <c r="H23" s="3">
        <v>0</v>
      </c>
      <c r="I23" s="3">
        <v>0</v>
      </c>
      <c r="J23" s="3">
        <v>56</v>
      </c>
      <c r="K23" s="3">
        <v>5</v>
      </c>
      <c r="L23" s="3">
        <v>10</v>
      </c>
      <c r="M23" s="3">
        <v>10</v>
      </c>
      <c r="N23" s="394"/>
    </row>
    <row r="24" spans="1:14" x14ac:dyDescent="0.3">
      <c r="A24" s="3">
        <v>21</v>
      </c>
      <c r="B24" s="30" t="s">
        <v>1023</v>
      </c>
      <c r="C24" s="30" t="s">
        <v>36</v>
      </c>
      <c r="D24" s="30" t="s">
        <v>1762</v>
      </c>
      <c r="E24" s="3">
        <v>0</v>
      </c>
      <c r="F24" s="3">
        <v>0</v>
      </c>
      <c r="G24" s="3">
        <v>0</v>
      </c>
      <c r="H24" s="3">
        <v>0</v>
      </c>
      <c r="I24" s="3">
        <v>0</v>
      </c>
      <c r="J24" s="3">
        <v>0</v>
      </c>
      <c r="K24" s="3">
        <v>0</v>
      </c>
      <c r="L24" s="3">
        <v>0</v>
      </c>
      <c r="M24" s="3">
        <v>0</v>
      </c>
      <c r="N24" s="394"/>
    </row>
    <row r="25" spans="1:14" x14ac:dyDescent="0.3">
      <c r="A25" s="3">
        <v>22</v>
      </c>
      <c r="B25" s="30" t="s">
        <v>410</v>
      </c>
      <c r="C25" s="30" t="s">
        <v>36</v>
      </c>
      <c r="D25" s="30" t="s">
        <v>1763</v>
      </c>
      <c r="E25" s="3">
        <v>6</v>
      </c>
      <c r="F25" s="3">
        <v>13</v>
      </c>
      <c r="G25" s="3">
        <v>30</v>
      </c>
      <c r="H25" s="3">
        <v>40</v>
      </c>
      <c r="I25" s="3">
        <v>64</v>
      </c>
      <c r="J25" s="3">
        <v>40</v>
      </c>
      <c r="K25" s="3">
        <v>15</v>
      </c>
      <c r="L25" s="3">
        <v>16</v>
      </c>
      <c r="M25" s="3">
        <v>13</v>
      </c>
      <c r="N25" s="394"/>
    </row>
    <row r="26" spans="1:14" x14ac:dyDescent="0.3">
      <c r="A26" s="3">
        <v>23</v>
      </c>
      <c r="B26" s="30" t="s">
        <v>1565</v>
      </c>
      <c r="C26" s="30" t="s">
        <v>36</v>
      </c>
      <c r="D26" s="30" t="s">
        <v>1762</v>
      </c>
      <c r="E26" s="3">
        <v>0</v>
      </c>
      <c r="F26" s="3">
        <v>0</v>
      </c>
      <c r="G26" s="3">
        <v>0</v>
      </c>
      <c r="H26" s="3">
        <v>0</v>
      </c>
      <c r="I26" s="3">
        <v>0</v>
      </c>
      <c r="J26" s="3">
        <v>0</v>
      </c>
      <c r="K26" s="3">
        <v>5</v>
      </c>
      <c r="L26" s="3">
        <v>15</v>
      </c>
      <c r="M26" s="3">
        <v>10</v>
      </c>
      <c r="N26" s="394"/>
    </row>
    <row r="27" spans="1:14" x14ac:dyDescent="0.3">
      <c r="A27" s="3">
        <v>24</v>
      </c>
      <c r="B27" s="30" t="s">
        <v>538</v>
      </c>
      <c r="C27" s="30" t="s">
        <v>36</v>
      </c>
      <c r="D27" s="30" t="s">
        <v>1763</v>
      </c>
      <c r="E27" s="3">
        <v>0</v>
      </c>
      <c r="F27" s="3">
        <v>0</v>
      </c>
      <c r="G27" s="3">
        <v>6</v>
      </c>
      <c r="H27" s="3">
        <v>0</v>
      </c>
      <c r="I27" s="3">
        <v>0</v>
      </c>
      <c r="J27" s="3">
        <v>48</v>
      </c>
      <c r="K27" s="3">
        <v>0</v>
      </c>
      <c r="L27" s="3">
        <v>12</v>
      </c>
      <c r="M27" s="3">
        <v>10</v>
      </c>
      <c r="N27" s="394"/>
    </row>
    <row r="28" spans="1:14" x14ac:dyDescent="0.3">
      <c r="A28" s="3">
        <v>25</v>
      </c>
      <c r="B28" s="30" t="s">
        <v>1031</v>
      </c>
      <c r="C28" s="30" t="s">
        <v>36</v>
      </c>
      <c r="D28" s="30" t="s">
        <v>1763</v>
      </c>
      <c r="E28" s="3">
        <v>0</v>
      </c>
      <c r="F28" s="3">
        <v>0</v>
      </c>
      <c r="G28" s="3">
        <v>6</v>
      </c>
      <c r="H28" s="3">
        <v>0</v>
      </c>
      <c r="I28" s="3">
        <v>0</v>
      </c>
      <c r="J28" s="3">
        <v>48</v>
      </c>
      <c r="K28" s="3">
        <v>0</v>
      </c>
      <c r="L28" s="3">
        <v>0</v>
      </c>
      <c r="M28" s="3">
        <v>0</v>
      </c>
      <c r="N28" s="394"/>
    </row>
    <row r="29" spans="1:14" x14ac:dyDescent="0.3">
      <c r="A29" s="3">
        <v>26</v>
      </c>
      <c r="B29" s="30" t="s">
        <v>1566</v>
      </c>
      <c r="C29" s="30" t="s">
        <v>36</v>
      </c>
      <c r="D29" s="30" t="s">
        <v>1763</v>
      </c>
      <c r="E29" s="3">
        <v>8</v>
      </c>
      <c r="F29" s="3">
        <v>11</v>
      </c>
      <c r="G29" s="3">
        <v>19</v>
      </c>
      <c r="H29" s="3">
        <v>32</v>
      </c>
      <c r="I29" s="3">
        <v>24</v>
      </c>
      <c r="J29" s="3">
        <v>56</v>
      </c>
      <c r="K29" s="3">
        <v>7</v>
      </c>
      <c r="L29" s="3">
        <v>12</v>
      </c>
      <c r="M29" s="3">
        <v>9</v>
      </c>
      <c r="N29" s="394"/>
    </row>
    <row r="30" spans="1:14" x14ac:dyDescent="0.3">
      <c r="A30" s="3">
        <v>27</v>
      </c>
      <c r="B30" s="30" t="s">
        <v>412</v>
      </c>
      <c r="C30" s="30" t="s">
        <v>47</v>
      </c>
      <c r="D30" s="30" t="s">
        <v>1764</v>
      </c>
      <c r="E30" s="3">
        <v>14</v>
      </c>
      <c r="F30" s="3">
        <v>17</v>
      </c>
      <c r="G30" s="3">
        <v>17</v>
      </c>
      <c r="H30" s="3">
        <v>80</v>
      </c>
      <c r="I30" s="3">
        <v>24</v>
      </c>
      <c r="J30" s="3">
        <v>56</v>
      </c>
      <c r="K30" s="3">
        <v>14</v>
      </c>
      <c r="L30" s="3">
        <v>16</v>
      </c>
      <c r="M30" s="3">
        <v>14</v>
      </c>
      <c r="N30" s="394"/>
    </row>
    <row r="31" spans="1:14" x14ac:dyDescent="0.3">
      <c r="A31" s="3">
        <v>28</v>
      </c>
      <c r="B31" s="30" t="s">
        <v>610</v>
      </c>
      <c r="C31" s="30" t="s">
        <v>36</v>
      </c>
      <c r="D31" s="30" t="s">
        <v>1763</v>
      </c>
      <c r="E31" s="3">
        <v>13</v>
      </c>
      <c r="F31" s="3">
        <v>22</v>
      </c>
      <c r="G31" s="3">
        <v>27</v>
      </c>
      <c r="H31" s="3">
        <v>48</v>
      </c>
      <c r="I31" s="3">
        <v>72</v>
      </c>
      <c r="J31" s="3">
        <v>0</v>
      </c>
      <c r="K31" s="3">
        <v>12</v>
      </c>
      <c r="L31" s="3">
        <v>9</v>
      </c>
      <c r="M31" s="3">
        <v>15</v>
      </c>
      <c r="N31" s="394"/>
    </row>
    <row r="32" spans="1:14" x14ac:dyDescent="0.3">
      <c r="A32" s="3">
        <v>29</v>
      </c>
      <c r="B32" s="30" t="s">
        <v>852</v>
      </c>
      <c r="C32" s="30" t="s">
        <v>47</v>
      </c>
      <c r="D32" s="30" t="s">
        <v>1762</v>
      </c>
      <c r="E32" s="3">
        <v>0</v>
      </c>
      <c r="F32" s="3">
        <v>0</v>
      </c>
      <c r="G32" s="3">
        <v>0</v>
      </c>
      <c r="H32" s="3">
        <v>0</v>
      </c>
      <c r="I32" s="3">
        <v>0</v>
      </c>
      <c r="J32" s="3">
        <v>0</v>
      </c>
      <c r="K32" s="3">
        <v>0</v>
      </c>
      <c r="L32" s="3">
        <v>0</v>
      </c>
      <c r="M32" s="3">
        <v>0</v>
      </c>
      <c r="N32" s="394"/>
    </row>
    <row r="33" spans="1:14" x14ac:dyDescent="0.3">
      <c r="A33" s="3">
        <v>30</v>
      </c>
      <c r="B33" s="30" t="s">
        <v>1030</v>
      </c>
      <c r="C33" s="30" t="s">
        <v>36</v>
      </c>
      <c r="D33" s="30" t="s">
        <v>1762</v>
      </c>
      <c r="E33" s="3">
        <v>0</v>
      </c>
      <c r="F33" s="3">
        <v>0</v>
      </c>
      <c r="G33" s="3">
        <v>0</v>
      </c>
      <c r="H33" s="3">
        <v>0</v>
      </c>
      <c r="I33" s="3">
        <v>0</v>
      </c>
      <c r="J33" s="3">
        <v>0</v>
      </c>
      <c r="K33" s="3">
        <v>0</v>
      </c>
      <c r="L33" s="3">
        <v>0</v>
      </c>
      <c r="M33" s="3">
        <v>0</v>
      </c>
      <c r="N33" s="394"/>
    </row>
    <row r="34" spans="1:14" x14ac:dyDescent="0.3">
      <c r="A34" s="3">
        <v>31</v>
      </c>
      <c r="B34" s="30" t="s">
        <v>1024</v>
      </c>
      <c r="C34" s="30" t="s">
        <v>36</v>
      </c>
      <c r="D34" s="30" t="s">
        <v>1762</v>
      </c>
      <c r="E34" s="3">
        <v>0</v>
      </c>
      <c r="F34" s="3">
        <v>0</v>
      </c>
      <c r="G34" s="3">
        <v>0</v>
      </c>
      <c r="H34" s="3">
        <v>0</v>
      </c>
      <c r="I34" s="3">
        <v>0</v>
      </c>
      <c r="J34" s="3">
        <v>0</v>
      </c>
      <c r="K34" s="3">
        <v>0</v>
      </c>
      <c r="L34" s="3">
        <v>0</v>
      </c>
      <c r="M34" s="3">
        <v>0</v>
      </c>
      <c r="N34" s="394"/>
    </row>
    <row r="35" spans="1:14" x14ac:dyDescent="0.3">
      <c r="A35" s="3">
        <v>32</v>
      </c>
      <c r="B35" s="30" t="s">
        <v>2361</v>
      </c>
      <c r="C35" s="30" t="s">
        <v>47</v>
      </c>
      <c r="D35" s="30" t="s">
        <v>1764</v>
      </c>
      <c r="E35" s="3">
        <v>10</v>
      </c>
      <c r="F35" s="3">
        <v>11</v>
      </c>
      <c r="G35" s="3">
        <v>8</v>
      </c>
      <c r="H35" s="3">
        <v>46</v>
      </c>
      <c r="I35" s="3">
        <v>41</v>
      </c>
      <c r="J35" s="3">
        <v>38</v>
      </c>
      <c r="K35" s="3">
        <v>12</v>
      </c>
      <c r="L35" s="3">
        <v>15</v>
      </c>
      <c r="M35" s="3">
        <v>16</v>
      </c>
      <c r="N35" s="394"/>
    </row>
    <row r="36" spans="1:14" x14ac:dyDescent="0.3">
      <c r="A36" s="3">
        <v>33</v>
      </c>
      <c r="B36" s="30" t="s">
        <v>2352</v>
      </c>
      <c r="C36" s="30" t="s">
        <v>47</v>
      </c>
      <c r="D36" s="30" t="s">
        <v>1764</v>
      </c>
      <c r="E36" s="3">
        <v>2</v>
      </c>
      <c r="F36" s="3">
        <v>4</v>
      </c>
      <c r="G36" s="3">
        <v>9</v>
      </c>
      <c r="H36" s="3">
        <v>35</v>
      </c>
      <c r="I36" s="3">
        <v>38</v>
      </c>
      <c r="J36" s="3">
        <v>47</v>
      </c>
      <c r="K36" s="3">
        <v>11</v>
      </c>
      <c r="L36" s="3">
        <v>14</v>
      </c>
      <c r="M36" s="3">
        <v>20</v>
      </c>
      <c r="N36" s="394"/>
    </row>
    <row r="37" spans="1:14" x14ac:dyDescent="0.3">
      <c r="A37" s="3">
        <v>34</v>
      </c>
      <c r="B37" s="30" t="s">
        <v>520</v>
      </c>
      <c r="C37" s="30" t="s">
        <v>47</v>
      </c>
      <c r="D37" s="30" t="s">
        <v>1764</v>
      </c>
      <c r="E37" s="3">
        <v>8</v>
      </c>
      <c r="F37" s="3">
        <v>7</v>
      </c>
      <c r="G37" s="3">
        <v>6</v>
      </c>
      <c r="H37" s="3">
        <v>48</v>
      </c>
      <c r="I37" s="3">
        <v>50</v>
      </c>
      <c r="J37" s="3">
        <v>52</v>
      </c>
      <c r="K37" s="3">
        <v>16</v>
      </c>
      <c r="L37" s="3">
        <v>17</v>
      </c>
      <c r="M37" s="3">
        <v>17</v>
      </c>
      <c r="N37" s="394"/>
    </row>
    <row r="38" spans="1:14" x14ac:dyDescent="0.3">
      <c r="A38" s="3">
        <v>35</v>
      </c>
      <c r="B38" s="30" t="s">
        <v>1862</v>
      </c>
      <c r="C38" s="30" t="s">
        <v>47</v>
      </c>
      <c r="D38" s="30" t="s">
        <v>1764</v>
      </c>
      <c r="E38" s="3">
        <v>0</v>
      </c>
      <c r="F38" s="3">
        <v>2</v>
      </c>
      <c r="G38" s="3">
        <v>2</v>
      </c>
      <c r="H38" s="3">
        <v>0</v>
      </c>
      <c r="I38" s="3">
        <v>15</v>
      </c>
      <c r="J38" s="3">
        <v>18</v>
      </c>
      <c r="K38" s="3">
        <v>0</v>
      </c>
      <c r="L38" s="3">
        <v>6</v>
      </c>
      <c r="M38" s="3">
        <v>9</v>
      </c>
      <c r="N38" s="394"/>
    </row>
    <row r="39" spans="1:14" x14ac:dyDescent="0.3">
      <c r="A39" s="3">
        <v>36</v>
      </c>
      <c r="B39" s="30" t="s">
        <v>2350</v>
      </c>
      <c r="C39" s="30" t="s">
        <v>47</v>
      </c>
      <c r="D39" s="30" t="s">
        <v>1764</v>
      </c>
      <c r="E39" s="3">
        <v>10</v>
      </c>
      <c r="F39" s="3">
        <v>12</v>
      </c>
      <c r="G39" s="3">
        <v>12</v>
      </c>
      <c r="H39" s="3">
        <v>47</v>
      </c>
      <c r="I39" s="3">
        <v>43</v>
      </c>
      <c r="J39" s="3">
        <v>45</v>
      </c>
      <c r="K39" s="3">
        <v>13</v>
      </c>
      <c r="L39" s="3">
        <v>11</v>
      </c>
      <c r="M39" s="3">
        <v>15</v>
      </c>
      <c r="N39" s="394"/>
    </row>
    <row r="42" spans="1:14" x14ac:dyDescent="0.3">
      <c r="B42" s="305" t="s">
        <v>4039</v>
      </c>
    </row>
  </sheetData>
  <mergeCells count="8">
    <mergeCell ref="K2:M2"/>
    <mergeCell ref="N2:N3"/>
    <mergeCell ref="N4:N39"/>
    <mergeCell ref="A2:A3"/>
    <mergeCell ref="B2:B3"/>
    <mergeCell ref="C2:D2"/>
    <mergeCell ref="E2:G2"/>
    <mergeCell ref="H2:J2"/>
  </mergeCells>
  <hyperlinks>
    <hyperlink ref="N4" r:id="rId1" xr:uid="{DF419A3F-FBBE-4BC6-87BE-5A77D0F0F113}"/>
    <hyperlink ref="B42" location="'Daftar Sheet'!A1" display="&lt;&lt;&lt; Daftar Sheet" xr:uid="{A08B0D34-940A-4A6A-A031-75F5F2136598}"/>
  </hyperlinks>
  <pageMargins left="0.7" right="0.7" top="0.75" bottom="0.75" header="0.3" footer="0.3"/>
  <pageSetup paperSize="224" orientation="portrait" horizontalDpi="300" verticalDpi="300"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6636-72C2-4777-B40C-53B372CDC49A}">
  <dimension ref="A1:G46"/>
  <sheetViews>
    <sheetView topLeftCell="A37" zoomScale="85" zoomScaleNormal="85" workbookViewId="0">
      <selection activeCell="B46" sqref="B46"/>
    </sheetView>
  </sheetViews>
  <sheetFormatPr defaultRowHeight="14.4" x14ac:dyDescent="0.3"/>
  <cols>
    <col min="1" max="1" width="8.77734375" style="10"/>
    <col min="2" max="2" width="15.44140625" style="1" bestFit="1" customWidth="1"/>
    <col min="3" max="3" width="36.21875" bestFit="1" customWidth="1"/>
    <col min="4" max="4" width="22.77734375" style="10" bestFit="1" customWidth="1"/>
    <col min="5" max="5" width="9.77734375" style="10" bestFit="1" customWidth="1"/>
    <col min="6" max="6" width="33.44140625" style="1" bestFit="1" customWidth="1"/>
    <col min="7" max="7" width="78.21875" bestFit="1" customWidth="1"/>
  </cols>
  <sheetData>
    <row r="1" spans="1:7" x14ac:dyDescent="0.3">
      <c r="A1" s="391" t="s">
        <v>1782</v>
      </c>
      <c r="B1" s="391"/>
      <c r="C1" s="391"/>
      <c r="D1" s="391"/>
      <c r="E1" s="391"/>
      <c r="F1" s="391"/>
      <c r="G1" s="391" t="s">
        <v>137</v>
      </c>
    </row>
    <row r="2" spans="1:7" ht="28.8" x14ac:dyDescent="0.3">
      <c r="A2" s="2" t="s">
        <v>0</v>
      </c>
      <c r="B2" s="2" t="s">
        <v>1604</v>
      </c>
      <c r="C2" s="2" t="s">
        <v>1605</v>
      </c>
      <c r="D2" s="108" t="s">
        <v>1774</v>
      </c>
      <c r="E2" s="2" t="s">
        <v>1775</v>
      </c>
      <c r="F2" s="2" t="s">
        <v>1776</v>
      </c>
      <c r="G2" s="391"/>
    </row>
    <row r="3" spans="1:7" x14ac:dyDescent="0.3">
      <c r="A3" s="3">
        <v>1</v>
      </c>
      <c r="B3" s="33">
        <v>1130281</v>
      </c>
      <c r="C3" s="30" t="s">
        <v>1777</v>
      </c>
      <c r="D3" s="3">
        <v>5</v>
      </c>
      <c r="E3" s="3">
        <v>1</v>
      </c>
      <c r="F3" s="33" t="s">
        <v>1778</v>
      </c>
      <c r="G3" s="394" t="s">
        <v>3978</v>
      </c>
    </row>
    <row r="4" spans="1:7" x14ac:dyDescent="0.3">
      <c r="A4" s="3">
        <v>2</v>
      </c>
      <c r="B4" s="33">
        <v>1130112</v>
      </c>
      <c r="C4" s="30" t="s">
        <v>1672</v>
      </c>
      <c r="D4" s="3">
        <v>6</v>
      </c>
      <c r="E4" s="3">
        <v>2</v>
      </c>
      <c r="F4" s="33" t="s">
        <v>1778</v>
      </c>
      <c r="G4" s="367"/>
    </row>
    <row r="5" spans="1:7" x14ac:dyDescent="0.3">
      <c r="A5" s="3">
        <v>3</v>
      </c>
      <c r="B5" s="33">
        <v>1000143</v>
      </c>
      <c r="C5" s="30" t="s">
        <v>1678</v>
      </c>
      <c r="D5" s="3">
        <v>6</v>
      </c>
      <c r="E5" s="3">
        <v>3</v>
      </c>
      <c r="F5" s="33" t="s">
        <v>1778</v>
      </c>
      <c r="G5" s="367"/>
    </row>
    <row r="6" spans="1:7" x14ac:dyDescent="0.3">
      <c r="A6" s="3">
        <v>4</v>
      </c>
      <c r="B6" s="33">
        <v>1130522</v>
      </c>
      <c r="C6" s="30" t="s">
        <v>1682</v>
      </c>
      <c r="D6" s="3">
        <v>7</v>
      </c>
      <c r="E6" s="3">
        <v>2</v>
      </c>
      <c r="F6" s="33" t="s">
        <v>1778</v>
      </c>
      <c r="G6" s="367"/>
    </row>
    <row r="7" spans="1:7" x14ac:dyDescent="0.3">
      <c r="A7" s="3">
        <v>5</v>
      </c>
      <c r="B7" s="33">
        <v>1100062</v>
      </c>
      <c r="C7" s="30" t="s">
        <v>1657</v>
      </c>
      <c r="D7" s="3">
        <v>7</v>
      </c>
      <c r="E7" s="3">
        <v>2</v>
      </c>
      <c r="F7" s="33" t="s">
        <v>1778</v>
      </c>
      <c r="G7" s="367"/>
    </row>
    <row r="8" spans="1:7" x14ac:dyDescent="0.3">
      <c r="A8" s="3">
        <v>6</v>
      </c>
      <c r="B8" s="33"/>
      <c r="C8" s="30" t="s">
        <v>1667</v>
      </c>
      <c r="D8" s="3"/>
      <c r="E8" s="3">
        <v>2</v>
      </c>
      <c r="F8" s="33" t="s">
        <v>1778</v>
      </c>
      <c r="G8" s="367"/>
    </row>
    <row r="9" spans="1:7" x14ac:dyDescent="0.3">
      <c r="A9" s="3">
        <v>7</v>
      </c>
      <c r="B9" s="33"/>
      <c r="C9" s="30" t="s">
        <v>1668</v>
      </c>
      <c r="D9" s="3"/>
      <c r="E9" s="3">
        <v>2</v>
      </c>
      <c r="F9" s="33" t="s">
        <v>1778</v>
      </c>
      <c r="G9" s="367"/>
    </row>
    <row r="10" spans="1:7" x14ac:dyDescent="0.3">
      <c r="A10" s="3">
        <v>8</v>
      </c>
      <c r="B10" s="33"/>
      <c r="C10" s="30" t="s">
        <v>1679</v>
      </c>
      <c r="D10" s="3"/>
      <c r="E10" s="3">
        <v>2</v>
      </c>
      <c r="F10" s="33" t="s">
        <v>1778</v>
      </c>
      <c r="G10" s="367"/>
    </row>
    <row r="11" spans="1:7" x14ac:dyDescent="0.3">
      <c r="A11" s="3">
        <v>9</v>
      </c>
      <c r="B11" s="33"/>
      <c r="C11" s="30" t="s">
        <v>1685</v>
      </c>
      <c r="D11" s="3"/>
      <c r="E11" s="3">
        <v>2</v>
      </c>
      <c r="F11" s="33" t="s">
        <v>1778</v>
      </c>
      <c r="G11" s="367"/>
    </row>
    <row r="12" spans="1:7" x14ac:dyDescent="0.3">
      <c r="A12" s="3">
        <v>10</v>
      </c>
      <c r="B12" s="33"/>
      <c r="C12" s="30" t="s">
        <v>1686</v>
      </c>
      <c r="D12" s="3"/>
      <c r="E12" s="3">
        <v>2</v>
      </c>
      <c r="F12" s="33" t="s">
        <v>1778</v>
      </c>
      <c r="G12" s="367"/>
    </row>
    <row r="13" spans="1:7" x14ac:dyDescent="0.3">
      <c r="A13" s="3">
        <v>11</v>
      </c>
      <c r="B13" s="33">
        <v>1130532</v>
      </c>
      <c r="C13" s="30" t="s">
        <v>1677</v>
      </c>
      <c r="D13" s="3">
        <v>6</v>
      </c>
      <c r="E13" s="3">
        <v>2</v>
      </c>
      <c r="F13" s="33" t="s">
        <v>1779</v>
      </c>
      <c r="G13" s="367"/>
    </row>
    <row r="14" spans="1:7" x14ac:dyDescent="0.3">
      <c r="A14" s="3">
        <v>12</v>
      </c>
      <c r="B14" s="33">
        <v>1000143</v>
      </c>
      <c r="C14" s="30" t="s">
        <v>1678</v>
      </c>
      <c r="D14" s="3">
        <v>6</v>
      </c>
      <c r="E14" s="3">
        <v>3</v>
      </c>
      <c r="F14" s="33" t="s">
        <v>1779</v>
      </c>
      <c r="G14" s="367"/>
    </row>
    <row r="15" spans="1:7" x14ac:dyDescent="0.3">
      <c r="A15" s="3">
        <v>13</v>
      </c>
      <c r="B15" s="33">
        <v>1130502</v>
      </c>
      <c r="C15" s="30" t="s">
        <v>1780</v>
      </c>
      <c r="D15" s="3">
        <v>7</v>
      </c>
      <c r="E15" s="3">
        <v>2</v>
      </c>
      <c r="F15" s="33" t="s">
        <v>1779</v>
      </c>
      <c r="G15" s="367"/>
    </row>
    <row r="16" spans="1:7" x14ac:dyDescent="0.3">
      <c r="A16" s="3">
        <v>14</v>
      </c>
      <c r="B16" s="33">
        <v>1130512</v>
      </c>
      <c r="C16" s="30" t="s">
        <v>1781</v>
      </c>
      <c r="D16" s="3">
        <v>7</v>
      </c>
      <c r="E16" s="3">
        <v>2</v>
      </c>
      <c r="F16" s="33" t="s">
        <v>1779</v>
      </c>
      <c r="G16" s="367"/>
    </row>
    <row r="17" spans="1:7" x14ac:dyDescent="0.3">
      <c r="A17" s="3">
        <v>15</v>
      </c>
      <c r="B17" s="33">
        <v>1130522</v>
      </c>
      <c r="C17" s="30" t="s">
        <v>1682</v>
      </c>
      <c r="D17" s="3">
        <v>7</v>
      </c>
      <c r="E17" s="3">
        <v>2</v>
      </c>
      <c r="F17" s="33" t="s">
        <v>1779</v>
      </c>
      <c r="G17" s="367"/>
    </row>
    <row r="18" spans="1:7" x14ac:dyDescent="0.3">
      <c r="A18" s="3">
        <v>16</v>
      </c>
      <c r="B18" s="33">
        <v>1100062</v>
      </c>
      <c r="C18" s="30" t="s">
        <v>1657</v>
      </c>
      <c r="D18" s="3">
        <v>7</v>
      </c>
      <c r="E18" s="3">
        <v>2</v>
      </c>
      <c r="F18" s="33" t="s">
        <v>1779</v>
      </c>
      <c r="G18" s="367"/>
    </row>
    <row r="19" spans="1:7" x14ac:dyDescent="0.3">
      <c r="A19" s="3">
        <v>17</v>
      </c>
      <c r="B19" s="33">
        <v>1130543</v>
      </c>
      <c r="C19" s="30" t="s">
        <v>1684</v>
      </c>
      <c r="D19" s="3">
        <v>7</v>
      </c>
      <c r="E19" s="3">
        <v>3</v>
      </c>
      <c r="F19" s="33" t="s">
        <v>1779</v>
      </c>
      <c r="G19" s="367"/>
    </row>
    <row r="20" spans="1:7" x14ac:dyDescent="0.3">
      <c r="A20" s="3">
        <v>18</v>
      </c>
      <c r="B20" s="33"/>
      <c r="C20" s="30" t="s">
        <v>1667</v>
      </c>
      <c r="D20" s="3"/>
      <c r="E20" s="3">
        <v>2</v>
      </c>
      <c r="F20" s="33" t="s">
        <v>1779</v>
      </c>
      <c r="G20" s="367"/>
    </row>
    <row r="21" spans="1:7" x14ac:dyDescent="0.3">
      <c r="A21" s="3">
        <v>19</v>
      </c>
      <c r="B21" s="33"/>
      <c r="C21" s="30" t="s">
        <v>1668</v>
      </c>
      <c r="D21" s="3"/>
      <c r="E21" s="3">
        <v>2</v>
      </c>
      <c r="F21" s="33" t="s">
        <v>1779</v>
      </c>
      <c r="G21" s="367"/>
    </row>
    <row r="22" spans="1:7" x14ac:dyDescent="0.3">
      <c r="A22" s="3"/>
      <c r="B22" s="33"/>
      <c r="C22" s="30"/>
      <c r="D22" s="3"/>
      <c r="E22" s="3"/>
      <c r="F22" s="33"/>
      <c r="G22" s="367"/>
    </row>
    <row r="23" spans="1:7" x14ac:dyDescent="0.3">
      <c r="A23" s="391" t="s">
        <v>1783</v>
      </c>
      <c r="B23" s="391"/>
      <c r="C23" s="391"/>
      <c r="D23" s="391"/>
      <c r="E23" s="391"/>
      <c r="F23" s="391"/>
      <c r="G23" s="367"/>
    </row>
    <row r="24" spans="1:7" ht="28.8" x14ac:dyDescent="0.3">
      <c r="A24" s="2" t="s">
        <v>0</v>
      </c>
      <c r="B24" s="2" t="s">
        <v>1604</v>
      </c>
      <c r="C24" s="2" t="s">
        <v>1605</v>
      </c>
      <c r="D24" s="108" t="s">
        <v>1774</v>
      </c>
      <c r="E24" s="2" t="s">
        <v>1775</v>
      </c>
      <c r="F24" s="2" t="s">
        <v>1776</v>
      </c>
      <c r="G24" s="367"/>
    </row>
    <row r="25" spans="1:7" x14ac:dyDescent="0.3">
      <c r="A25" s="3">
        <v>1</v>
      </c>
      <c r="B25" s="33">
        <v>1130532</v>
      </c>
      <c r="C25" s="30" t="s">
        <v>1677</v>
      </c>
      <c r="D25" s="3">
        <v>6</v>
      </c>
      <c r="E25" s="3">
        <v>2</v>
      </c>
      <c r="F25" s="33" t="s">
        <v>1784</v>
      </c>
      <c r="G25" s="367"/>
    </row>
    <row r="26" spans="1:7" x14ac:dyDescent="0.3">
      <c r="A26" s="3">
        <v>2</v>
      </c>
      <c r="B26" s="33">
        <v>1000143</v>
      </c>
      <c r="C26" s="30" t="s">
        <v>1678</v>
      </c>
      <c r="D26" s="3">
        <v>6</v>
      </c>
      <c r="E26" s="3">
        <v>3</v>
      </c>
      <c r="F26" s="33" t="s">
        <v>1784</v>
      </c>
      <c r="G26" s="367"/>
    </row>
    <row r="27" spans="1:7" x14ac:dyDescent="0.3">
      <c r="A27" s="3">
        <v>3</v>
      </c>
      <c r="B27" s="33">
        <v>1130502</v>
      </c>
      <c r="C27" s="30" t="s">
        <v>1780</v>
      </c>
      <c r="D27" s="3">
        <v>7</v>
      </c>
      <c r="E27" s="3">
        <v>2</v>
      </c>
      <c r="F27" s="33" t="s">
        <v>1784</v>
      </c>
      <c r="G27" s="367"/>
    </row>
    <row r="28" spans="1:7" x14ac:dyDescent="0.3">
      <c r="A28" s="3">
        <v>4</v>
      </c>
      <c r="B28" s="33">
        <v>1130512</v>
      </c>
      <c r="C28" s="30" t="s">
        <v>1781</v>
      </c>
      <c r="D28" s="3">
        <v>7</v>
      </c>
      <c r="E28" s="3">
        <v>2</v>
      </c>
      <c r="F28" s="33" t="s">
        <v>1784</v>
      </c>
      <c r="G28" s="367"/>
    </row>
    <row r="29" spans="1:7" x14ac:dyDescent="0.3">
      <c r="A29" s="3">
        <v>5</v>
      </c>
      <c r="B29" s="33">
        <v>1130522</v>
      </c>
      <c r="C29" s="30" t="s">
        <v>1682</v>
      </c>
      <c r="D29" s="3">
        <v>7</v>
      </c>
      <c r="E29" s="3">
        <v>2</v>
      </c>
      <c r="F29" s="33" t="s">
        <v>1784</v>
      </c>
      <c r="G29" s="367"/>
    </row>
    <row r="30" spans="1:7" x14ac:dyDescent="0.3">
      <c r="A30" s="3">
        <v>6</v>
      </c>
      <c r="B30" s="33">
        <v>1100062</v>
      </c>
      <c r="C30" s="30" t="s">
        <v>1657</v>
      </c>
      <c r="D30" s="3">
        <v>7</v>
      </c>
      <c r="E30" s="3">
        <v>2</v>
      </c>
      <c r="F30" s="33" t="s">
        <v>1784</v>
      </c>
      <c r="G30" s="367"/>
    </row>
    <row r="31" spans="1:7" x14ac:dyDescent="0.3">
      <c r="A31" s="3">
        <v>7</v>
      </c>
      <c r="B31" s="33">
        <v>1130543</v>
      </c>
      <c r="C31" s="30" t="s">
        <v>1684</v>
      </c>
      <c r="D31" s="3">
        <v>7</v>
      </c>
      <c r="E31" s="3">
        <v>3</v>
      </c>
      <c r="F31" s="33" t="s">
        <v>1784</v>
      </c>
      <c r="G31" s="367"/>
    </row>
    <row r="32" spans="1:7" x14ac:dyDescent="0.3">
      <c r="A32" s="3">
        <v>8</v>
      </c>
      <c r="B32" s="33"/>
      <c r="C32" s="30" t="s">
        <v>1685</v>
      </c>
      <c r="D32" s="3"/>
      <c r="E32" s="3">
        <v>2</v>
      </c>
      <c r="F32" s="33" t="s">
        <v>1784</v>
      </c>
      <c r="G32" s="367"/>
    </row>
    <row r="33" spans="1:7" x14ac:dyDescent="0.3">
      <c r="A33" s="3">
        <v>9</v>
      </c>
      <c r="B33" s="33"/>
      <c r="C33" s="30" t="s">
        <v>1686</v>
      </c>
      <c r="D33" s="3"/>
      <c r="E33" s="3">
        <v>2</v>
      </c>
      <c r="F33" s="33" t="s">
        <v>1784</v>
      </c>
      <c r="G33" s="367"/>
    </row>
    <row r="34" spans="1:7" x14ac:dyDescent="0.3">
      <c r="A34" s="3">
        <v>10</v>
      </c>
      <c r="B34" s="33">
        <v>1130532</v>
      </c>
      <c r="C34" s="30" t="s">
        <v>1677</v>
      </c>
      <c r="D34" s="3">
        <v>6</v>
      </c>
      <c r="E34" s="3">
        <v>2</v>
      </c>
      <c r="F34" s="33" t="s">
        <v>1785</v>
      </c>
      <c r="G34" s="367"/>
    </row>
    <row r="35" spans="1:7" x14ac:dyDescent="0.3">
      <c r="A35" s="3">
        <v>11</v>
      </c>
      <c r="B35" s="33">
        <v>1000143</v>
      </c>
      <c r="C35" s="30" t="s">
        <v>1678</v>
      </c>
      <c r="D35" s="3">
        <v>6</v>
      </c>
      <c r="E35" s="3">
        <v>3</v>
      </c>
      <c r="F35" s="33" t="s">
        <v>1785</v>
      </c>
      <c r="G35" s="367"/>
    </row>
    <row r="36" spans="1:7" x14ac:dyDescent="0.3">
      <c r="A36" s="3">
        <v>12</v>
      </c>
      <c r="B36" s="33">
        <v>1130502</v>
      </c>
      <c r="C36" s="30" t="s">
        <v>1780</v>
      </c>
      <c r="D36" s="3">
        <v>7</v>
      </c>
      <c r="E36" s="3">
        <v>2</v>
      </c>
      <c r="F36" s="33" t="s">
        <v>1785</v>
      </c>
      <c r="G36" s="367"/>
    </row>
    <row r="37" spans="1:7" x14ac:dyDescent="0.3">
      <c r="A37" s="3">
        <v>13</v>
      </c>
      <c r="B37" s="33">
        <v>1130512</v>
      </c>
      <c r="C37" s="30" t="s">
        <v>1781</v>
      </c>
      <c r="D37" s="3">
        <v>7</v>
      </c>
      <c r="E37" s="3">
        <v>2</v>
      </c>
      <c r="F37" s="33" t="s">
        <v>1785</v>
      </c>
      <c r="G37" s="367"/>
    </row>
    <row r="38" spans="1:7" x14ac:dyDescent="0.3">
      <c r="A38" s="3">
        <v>14</v>
      </c>
      <c r="B38" s="33">
        <v>1130522</v>
      </c>
      <c r="C38" s="30" t="s">
        <v>1682</v>
      </c>
      <c r="D38" s="3">
        <v>7</v>
      </c>
      <c r="E38" s="3">
        <v>2</v>
      </c>
      <c r="F38" s="33" t="s">
        <v>1785</v>
      </c>
      <c r="G38" s="367"/>
    </row>
    <row r="39" spans="1:7" x14ac:dyDescent="0.3">
      <c r="A39" s="3">
        <v>15</v>
      </c>
      <c r="B39" s="33">
        <v>1100062</v>
      </c>
      <c r="C39" s="30" t="s">
        <v>1657</v>
      </c>
      <c r="D39" s="3">
        <v>7</v>
      </c>
      <c r="E39" s="3">
        <v>2</v>
      </c>
      <c r="F39" s="33" t="s">
        <v>1785</v>
      </c>
      <c r="G39" s="367"/>
    </row>
    <row r="40" spans="1:7" x14ac:dyDescent="0.3">
      <c r="A40" s="3">
        <v>16</v>
      </c>
      <c r="B40" s="33">
        <v>1130543</v>
      </c>
      <c r="C40" s="30" t="s">
        <v>1684</v>
      </c>
      <c r="D40" s="3">
        <v>7</v>
      </c>
      <c r="E40" s="3">
        <v>3</v>
      </c>
      <c r="F40" s="33" t="s">
        <v>1785</v>
      </c>
      <c r="G40" s="367"/>
    </row>
    <row r="41" spans="1:7" x14ac:dyDescent="0.3">
      <c r="A41" s="3">
        <v>17</v>
      </c>
      <c r="B41" s="33"/>
      <c r="C41" s="30" t="s">
        <v>1667</v>
      </c>
      <c r="D41" s="3"/>
      <c r="E41" s="3">
        <v>2</v>
      </c>
      <c r="F41" s="33" t="s">
        <v>1785</v>
      </c>
      <c r="G41" s="367"/>
    </row>
    <row r="42" spans="1:7" x14ac:dyDescent="0.3">
      <c r="A42" s="3">
        <v>18</v>
      </c>
      <c r="B42" s="33"/>
      <c r="C42" s="30" t="s">
        <v>1668</v>
      </c>
      <c r="D42" s="3"/>
      <c r="E42" s="3">
        <v>2</v>
      </c>
      <c r="F42" s="33" t="s">
        <v>1785</v>
      </c>
      <c r="G42" s="367"/>
    </row>
    <row r="43" spans="1:7" x14ac:dyDescent="0.3">
      <c r="A43" s="3"/>
      <c r="B43" s="33"/>
      <c r="C43" s="30"/>
      <c r="D43" s="3"/>
      <c r="E43" s="3"/>
      <c r="F43" s="33"/>
      <c r="G43" s="367"/>
    </row>
    <row r="46" spans="1:7" x14ac:dyDescent="0.3">
      <c r="B46" s="305" t="s">
        <v>4039</v>
      </c>
    </row>
  </sheetData>
  <mergeCells count="4">
    <mergeCell ref="A1:F1"/>
    <mergeCell ref="A23:F23"/>
    <mergeCell ref="G1:G2"/>
    <mergeCell ref="G3:G43"/>
  </mergeCells>
  <hyperlinks>
    <hyperlink ref="G3" r:id="rId1" xr:uid="{BA7D6CE3-B41B-4220-BF82-85DA018D6BBB}"/>
    <hyperlink ref="B46" location="'Daftar Sheet'!A1" display="&lt;&lt;&lt; Daftar Sheet" xr:uid="{A811CE2A-4D41-4D2D-AC82-8002C0B9CBC1}"/>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0CBCC-4E48-4209-AE1B-A8A53DF0E152}">
  <dimension ref="A2:L188"/>
  <sheetViews>
    <sheetView zoomScale="70" zoomScaleNormal="70" workbookViewId="0">
      <pane xSplit="2" ySplit="2" topLeftCell="C173" activePane="bottomRight" state="frozen"/>
      <selection pane="topRight" activeCell="C1" sqref="C1"/>
      <selection pane="bottomLeft" activeCell="A3" sqref="A3"/>
      <selection pane="bottomRight" activeCell="B188" sqref="B188"/>
    </sheetView>
  </sheetViews>
  <sheetFormatPr defaultRowHeight="14.4" x14ac:dyDescent="0.3"/>
  <cols>
    <col min="1" max="1" width="4.44140625" style="10" customWidth="1"/>
    <col min="2" max="2" width="67.33203125" customWidth="1"/>
    <col min="3" max="3" width="33.21875" style="10" customWidth="1"/>
    <col min="4" max="4" width="31.33203125" style="10" bestFit="1" customWidth="1"/>
    <col min="5" max="5" width="36.6640625" bestFit="1" customWidth="1"/>
    <col min="6" max="6" width="67.21875" customWidth="1"/>
    <col min="7" max="7" width="39" style="10" customWidth="1"/>
    <col min="8" max="8" width="22.44140625" style="1" customWidth="1"/>
    <col min="9" max="9" width="59.109375" bestFit="1" customWidth="1"/>
    <col min="10" max="10" width="33.21875" style="1" bestFit="1" customWidth="1"/>
    <col min="11" max="11" width="38.44140625" style="10" customWidth="1"/>
    <col min="12" max="12" width="99.6640625" customWidth="1"/>
  </cols>
  <sheetData>
    <row r="2" spans="1:12" s="111" customFormat="1" ht="28.8" x14ac:dyDescent="0.3">
      <c r="A2" s="108" t="s">
        <v>0</v>
      </c>
      <c r="B2" s="108" t="s">
        <v>1094</v>
      </c>
      <c r="C2" s="108" t="s">
        <v>2179</v>
      </c>
      <c r="D2" s="108" t="s">
        <v>135</v>
      </c>
      <c r="E2" s="108" t="s">
        <v>1786</v>
      </c>
      <c r="F2" s="108" t="s">
        <v>2180</v>
      </c>
      <c r="G2" s="108" t="s">
        <v>1787</v>
      </c>
      <c r="H2" s="108" t="s">
        <v>1788</v>
      </c>
      <c r="I2" s="108" t="s">
        <v>1789</v>
      </c>
      <c r="J2" s="108" t="s">
        <v>1790</v>
      </c>
      <c r="K2" s="108" t="s">
        <v>1829</v>
      </c>
      <c r="L2" s="108" t="s">
        <v>137</v>
      </c>
    </row>
    <row r="3" spans="1:12" x14ac:dyDescent="0.3">
      <c r="A3" s="381">
        <v>1</v>
      </c>
      <c r="B3" s="441" t="s">
        <v>1791</v>
      </c>
      <c r="C3" s="381">
        <v>2021</v>
      </c>
      <c r="D3" s="381" t="s">
        <v>416</v>
      </c>
      <c r="E3" s="381" t="s">
        <v>1778</v>
      </c>
      <c r="F3" s="30" t="s">
        <v>2181</v>
      </c>
      <c r="G3" s="3" t="s">
        <v>1792</v>
      </c>
      <c r="H3" s="381">
        <v>1</v>
      </c>
      <c r="I3" s="381" t="s">
        <v>1793</v>
      </c>
      <c r="J3" s="381" t="s">
        <v>538</v>
      </c>
      <c r="K3" s="381" t="s">
        <v>1794</v>
      </c>
      <c r="L3" s="394" t="s">
        <v>3978</v>
      </c>
    </row>
    <row r="4" spans="1:12" x14ac:dyDescent="0.3">
      <c r="A4" s="382"/>
      <c r="B4" s="442"/>
      <c r="C4" s="382"/>
      <c r="D4" s="382"/>
      <c r="E4" s="382"/>
      <c r="F4" s="30" t="s">
        <v>2182</v>
      </c>
      <c r="G4" s="3" t="s">
        <v>1795</v>
      </c>
      <c r="H4" s="382"/>
      <c r="I4" s="382"/>
      <c r="J4" s="382"/>
      <c r="K4" s="382"/>
      <c r="L4" s="394"/>
    </row>
    <row r="5" spans="1:12" x14ac:dyDescent="0.3">
      <c r="A5" s="382"/>
      <c r="B5" s="442"/>
      <c r="C5" s="382"/>
      <c r="D5" s="382"/>
      <c r="E5" s="382"/>
      <c r="F5" s="30" t="s">
        <v>2175</v>
      </c>
      <c r="G5" s="3" t="s">
        <v>1792</v>
      </c>
      <c r="H5" s="382"/>
      <c r="I5" s="382"/>
      <c r="J5" s="382"/>
      <c r="K5" s="382"/>
      <c r="L5" s="394"/>
    </row>
    <row r="6" spans="1:12" x14ac:dyDescent="0.3">
      <c r="A6" s="382"/>
      <c r="B6" s="442"/>
      <c r="C6" s="382"/>
      <c r="D6" s="382"/>
      <c r="E6" s="382"/>
      <c r="F6" s="30" t="s">
        <v>2183</v>
      </c>
      <c r="G6" s="3" t="s">
        <v>1792</v>
      </c>
      <c r="H6" s="382"/>
      <c r="I6" s="382"/>
      <c r="J6" s="382"/>
      <c r="K6" s="382"/>
      <c r="L6" s="394"/>
    </row>
    <row r="7" spans="1:12" x14ac:dyDescent="0.3">
      <c r="A7" s="383"/>
      <c r="B7" s="443"/>
      <c r="C7" s="383"/>
      <c r="D7" s="383"/>
      <c r="E7" s="383"/>
      <c r="F7" s="30" t="s">
        <v>2184</v>
      </c>
      <c r="G7" s="3" t="s">
        <v>1792</v>
      </c>
      <c r="H7" s="383"/>
      <c r="I7" s="383"/>
      <c r="J7" s="383"/>
      <c r="K7" s="383"/>
      <c r="L7" s="394"/>
    </row>
    <row r="8" spans="1:12" x14ac:dyDescent="0.3">
      <c r="A8" s="381">
        <v>2</v>
      </c>
      <c r="B8" s="441" t="s">
        <v>1791</v>
      </c>
      <c r="C8" s="381">
        <v>2021</v>
      </c>
      <c r="D8" s="381" t="s">
        <v>2137</v>
      </c>
      <c r="E8" s="381" t="s">
        <v>1778</v>
      </c>
      <c r="F8" s="30" t="s">
        <v>2181</v>
      </c>
      <c r="G8" s="3" t="s">
        <v>1792</v>
      </c>
      <c r="H8" s="381">
        <v>1</v>
      </c>
      <c r="I8" s="381" t="s">
        <v>1796</v>
      </c>
      <c r="J8" s="381" t="s">
        <v>366</v>
      </c>
      <c r="K8" s="381" t="s">
        <v>1794</v>
      </c>
      <c r="L8" s="394"/>
    </row>
    <row r="9" spans="1:12" x14ac:dyDescent="0.3">
      <c r="A9" s="382"/>
      <c r="B9" s="442"/>
      <c r="C9" s="382"/>
      <c r="D9" s="382"/>
      <c r="E9" s="382"/>
      <c r="F9" s="30" t="s">
        <v>2182</v>
      </c>
      <c r="G9" s="3" t="s">
        <v>1795</v>
      </c>
      <c r="H9" s="382"/>
      <c r="I9" s="382"/>
      <c r="J9" s="382"/>
      <c r="K9" s="382"/>
      <c r="L9" s="394"/>
    </row>
    <row r="10" spans="1:12" x14ac:dyDescent="0.3">
      <c r="A10" s="382"/>
      <c r="B10" s="442"/>
      <c r="C10" s="382"/>
      <c r="D10" s="382"/>
      <c r="E10" s="382"/>
      <c r="F10" s="30" t="s">
        <v>2175</v>
      </c>
      <c r="G10" s="3" t="s">
        <v>1792</v>
      </c>
      <c r="H10" s="382"/>
      <c r="I10" s="382"/>
      <c r="J10" s="382"/>
      <c r="K10" s="382"/>
      <c r="L10" s="394"/>
    </row>
    <row r="11" spans="1:12" x14ac:dyDescent="0.3">
      <c r="A11" s="382"/>
      <c r="B11" s="442"/>
      <c r="C11" s="382"/>
      <c r="D11" s="382"/>
      <c r="E11" s="382"/>
      <c r="F11" s="30" t="s">
        <v>2183</v>
      </c>
      <c r="G11" s="3" t="s">
        <v>1792</v>
      </c>
      <c r="H11" s="382"/>
      <c r="I11" s="382"/>
      <c r="J11" s="382"/>
      <c r="K11" s="382"/>
      <c r="L11" s="394"/>
    </row>
    <row r="12" spans="1:12" x14ac:dyDescent="0.3">
      <c r="A12" s="383"/>
      <c r="B12" s="443"/>
      <c r="C12" s="383"/>
      <c r="D12" s="383"/>
      <c r="E12" s="383"/>
      <c r="F12" s="30" t="s">
        <v>2184</v>
      </c>
      <c r="G12" s="3" t="s">
        <v>1792</v>
      </c>
      <c r="H12" s="383"/>
      <c r="I12" s="383"/>
      <c r="J12" s="383"/>
      <c r="K12" s="383"/>
      <c r="L12" s="394"/>
    </row>
    <row r="13" spans="1:12" x14ac:dyDescent="0.3">
      <c r="A13" s="381">
        <v>3</v>
      </c>
      <c r="B13" s="441" t="s">
        <v>1791</v>
      </c>
      <c r="C13" s="381">
        <v>2021</v>
      </c>
      <c r="D13" s="381" t="s">
        <v>463</v>
      </c>
      <c r="E13" s="381" t="s">
        <v>1778</v>
      </c>
      <c r="F13" s="30" t="s">
        <v>2181</v>
      </c>
      <c r="G13" s="3" t="s">
        <v>1792</v>
      </c>
      <c r="H13" s="381">
        <v>1</v>
      </c>
      <c r="I13" s="381" t="s">
        <v>1797</v>
      </c>
      <c r="J13" s="381" t="s">
        <v>543</v>
      </c>
      <c r="K13" s="381" t="s">
        <v>1794</v>
      </c>
      <c r="L13" s="394"/>
    </row>
    <row r="14" spans="1:12" x14ac:dyDescent="0.3">
      <c r="A14" s="382"/>
      <c r="B14" s="442"/>
      <c r="C14" s="382"/>
      <c r="D14" s="382"/>
      <c r="E14" s="382"/>
      <c r="F14" s="30" t="s">
        <v>2182</v>
      </c>
      <c r="G14" s="3" t="s">
        <v>1795</v>
      </c>
      <c r="H14" s="382"/>
      <c r="I14" s="382"/>
      <c r="J14" s="382"/>
      <c r="K14" s="382"/>
      <c r="L14" s="394"/>
    </row>
    <row r="15" spans="1:12" x14ac:dyDescent="0.3">
      <c r="A15" s="382"/>
      <c r="B15" s="442"/>
      <c r="C15" s="382"/>
      <c r="D15" s="382"/>
      <c r="E15" s="382"/>
      <c r="F15" s="30" t="s">
        <v>2175</v>
      </c>
      <c r="G15" s="3" t="s">
        <v>1792</v>
      </c>
      <c r="H15" s="382"/>
      <c r="I15" s="382"/>
      <c r="J15" s="382"/>
      <c r="K15" s="382"/>
      <c r="L15" s="394"/>
    </row>
    <row r="16" spans="1:12" x14ac:dyDescent="0.3">
      <c r="A16" s="382"/>
      <c r="B16" s="442"/>
      <c r="C16" s="382"/>
      <c r="D16" s="382"/>
      <c r="E16" s="382"/>
      <c r="F16" s="30" t="s">
        <v>2183</v>
      </c>
      <c r="G16" s="3" t="s">
        <v>1792</v>
      </c>
      <c r="H16" s="382"/>
      <c r="I16" s="382"/>
      <c r="J16" s="382"/>
      <c r="K16" s="382"/>
      <c r="L16" s="394"/>
    </row>
    <row r="17" spans="1:12" x14ac:dyDescent="0.3">
      <c r="A17" s="383"/>
      <c r="B17" s="443"/>
      <c r="C17" s="383"/>
      <c r="D17" s="383"/>
      <c r="E17" s="383"/>
      <c r="F17" s="30" t="s">
        <v>2184</v>
      </c>
      <c r="G17" s="3" t="s">
        <v>1792</v>
      </c>
      <c r="H17" s="383"/>
      <c r="I17" s="383"/>
      <c r="J17" s="383"/>
      <c r="K17" s="383"/>
      <c r="L17" s="394"/>
    </row>
    <row r="18" spans="1:12" x14ac:dyDescent="0.3">
      <c r="A18" s="381">
        <v>4</v>
      </c>
      <c r="B18" s="441" t="s">
        <v>1798</v>
      </c>
      <c r="C18" s="381">
        <v>2021</v>
      </c>
      <c r="D18" s="381" t="s">
        <v>2145</v>
      </c>
      <c r="E18" s="381" t="s">
        <v>1778</v>
      </c>
      <c r="F18" s="30" t="s">
        <v>2181</v>
      </c>
      <c r="G18" s="3" t="s">
        <v>1792</v>
      </c>
      <c r="H18" s="381">
        <v>1</v>
      </c>
      <c r="I18" s="381" t="s">
        <v>2144</v>
      </c>
      <c r="J18" s="381" t="s">
        <v>546</v>
      </c>
      <c r="K18" s="381" t="s">
        <v>1799</v>
      </c>
      <c r="L18" s="394"/>
    </row>
    <row r="19" spans="1:12" x14ac:dyDescent="0.3">
      <c r="A19" s="382"/>
      <c r="B19" s="442"/>
      <c r="C19" s="382"/>
      <c r="D19" s="382"/>
      <c r="E19" s="382"/>
      <c r="F19" s="30" t="s">
        <v>2182</v>
      </c>
      <c r="G19" s="3" t="s">
        <v>1795</v>
      </c>
      <c r="H19" s="382"/>
      <c r="I19" s="382"/>
      <c r="J19" s="382"/>
      <c r="K19" s="382"/>
      <c r="L19" s="394"/>
    </row>
    <row r="20" spans="1:12" x14ac:dyDescent="0.3">
      <c r="A20" s="382"/>
      <c r="B20" s="442"/>
      <c r="C20" s="382"/>
      <c r="D20" s="382"/>
      <c r="E20" s="382"/>
      <c r="F20" s="30" t="s">
        <v>2175</v>
      </c>
      <c r="G20" s="3" t="s">
        <v>1792</v>
      </c>
      <c r="H20" s="382"/>
      <c r="I20" s="382"/>
      <c r="J20" s="382"/>
      <c r="K20" s="382"/>
      <c r="L20" s="394"/>
    </row>
    <row r="21" spans="1:12" x14ac:dyDescent="0.3">
      <c r="A21" s="382"/>
      <c r="B21" s="442"/>
      <c r="C21" s="382"/>
      <c r="D21" s="382"/>
      <c r="E21" s="382"/>
      <c r="F21" s="30" t="s">
        <v>2183</v>
      </c>
      <c r="G21" s="3" t="s">
        <v>1792</v>
      </c>
      <c r="H21" s="382"/>
      <c r="I21" s="382"/>
      <c r="J21" s="382"/>
      <c r="K21" s="382"/>
      <c r="L21" s="394"/>
    </row>
    <row r="22" spans="1:12" x14ac:dyDescent="0.3">
      <c r="A22" s="383"/>
      <c r="B22" s="443"/>
      <c r="C22" s="383"/>
      <c r="D22" s="383"/>
      <c r="E22" s="383"/>
      <c r="F22" s="30" t="s">
        <v>1809</v>
      </c>
      <c r="G22" s="3" t="s">
        <v>1792</v>
      </c>
      <c r="H22" s="383"/>
      <c r="I22" s="383"/>
      <c r="J22" s="383"/>
      <c r="K22" s="383"/>
      <c r="L22" s="394"/>
    </row>
    <row r="23" spans="1:12" x14ac:dyDescent="0.3">
      <c r="A23" s="3">
        <v>5</v>
      </c>
      <c r="B23" s="30" t="s">
        <v>1798</v>
      </c>
      <c r="C23" s="3">
        <v>2021</v>
      </c>
      <c r="D23" s="3" t="s">
        <v>2143</v>
      </c>
      <c r="E23" s="3" t="s">
        <v>1778</v>
      </c>
      <c r="F23" s="30" t="s">
        <v>2182</v>
      </c>
      <c r="G23" s="3" t="s">
        <v>1795</v>
      </c>
      <c r="H23" s="3">
        <v>1</v>
      </c>
      <c r="I23" s="3" t="s">
        <v>1800</v>
      </c>
      <c r="J23" s="3" t="s">
        <v>398</v>
      </c>
      <c r="K23" s="3" t="s">
        <v>1799</v>
      </c>
      <c r="L23" s="394"/>
    </row>
    <row r="24" spans="1:12" x14ac:dyDescent="0.3">
      <c r="A24" s="381">
        <v>6</v>
      </c>
      <c r="B24" s="441" t="s">
        <v>1798</v>
      </c>
      <c r="C24" s="381">
        <v>2021</v>
      </c>
      <c r="D24" s="381" t="s">
        <v>2152</v>
      </c>
      <c r="E24" s="381" t="s">
        <v>1778</v>
      </c>
      <c r="F24" s="30" t="s">
        <v>2181</v>
      </c>
      <c r="G24" s="3" t="s">
        <v>1792</v>
      </c>
      <c r="H24" s="381">
        <v>1</v>
      </c>
      <c r="I24" s="381" t="s">
        <v>1801</v>
      </c>
      <c r="J24" s="381" t="s">
        <v>1566</v>
      </c>
      <c r="K24" s="381" t="s">
        <v>1799</v>
      </c>
      <c r="L24" s="394"/>
    </row>
    <row r="25" spans="1:12" x14ac:dyDescent="0.3">
      <c r="A25" s="382"/>
      <c r="B25" s="442"/>
      <c r="C25" s="382"/>
      <c r="D25" s="382"/>
      <c r="E25" s="382"/>
      <c r="F25" s="30" t="s">
        <v>2182</v>
      </c>
      <c r="G25" s="3" t="s">
        <v>1795</v>
      </c>
      <c r="H25" s="382"/>
      <c r="I25" s="382"/>
      <c r="J25" s="382"/>
      <c r="K25" s="382"/>
      <c r="L25" s="394"/>
    </row>
    <row r="26" spans="1:12" x14ac:dyDescent="0.3">
      <c r="A26" s="382"/>
      <c r="B26" s="442"/>
      <c r="C26" s="382"/>
      <c r="D26" s="382"/>
      <c r="E26" s="382"/>
      <c r="F26" s="30" t="s">
        <v>2175</v>
      </c>
      <c r="G26" s="3" t="s">
        <v>1792</v>
      </c>
      <c r="H26" s="382"/>
      <c r="I26" s="382"/>
      <c r="J26" s="382"/>
      <c r="K26" s="382"/>
      <c r="L26" s="394"/>
    </row>
    <row r="27" spans="1:12" x14ac:dyDescent="0.3">
      <c r="A27" s="382"/>
      <c r="B27" s="442"/>
      <c r="C27" s="382"/>
      <c r="D27" s="382"/>
      <c r="E27" s="382"/>
      <c r="F27" s="30" t="s">
        <v>2183</v>
      </c>
      <c r="G27" s="3" t="s">
        <v>1792</v>
      </c>
      <c r="H27" s="382"/>
      <c r="I27" s="382"/>
      <c r="J27" s="382"/>
      <c r="K27" s="382"/>
      <c r="L27" s="394"/>
    </row>
    <row r="28" spans="1:12" x14ac:dyDescent="0.3">
      <c r="A28" s="383"/>
      <c r="B28" s="443"/>
      <c r="C28" s="383"/>
      <c r="D28" s="383"/>
      <c r="E28" s="383"/>
      <c r="F28" s="30" t="s">
        <v>2184</v>
      </c>
      <c r="G28" s="3" t="s">
        <v>1792</v>
      </c>
      <c r="H28" s="383"/>
      <c r="I28" s="383"/>
      <c r="J28" s="383"/>
      <c r="K28" s="383"/>
      <c r="L28" s="394"/>
    </row>
    <row r="29" spans="1:12" x14ac:dyDescent="0.3">
      <c r="A29" s="381">
        <v>7</v>
      </c>
      <c r="B29" s="441" t="s">
        <v>1798</v>
      </c>
      <c r="C29" s="381">
        <v>2021</v>
      </c>
      <c r="D29" s="381" t="s">
        <v>2138</v>
      </c>
      <c r="E29" s="381" t="s">
        <v>1778</v>
      </c>
      <c r="F29" s="30" t="s">
        <v>2181</v>
      </c>
      <c r="G29" s="3" t="s">
        <v>1792</v>
      </c>
      <c r="H29" s="381">
        <v>1</v>
      </c>
      <c r="I29" s="381" t="s">
        <v>1803</v>
      </c>
      <c r="J29" s="381" t="s">
        <v>362</v>
      </c>
      <c r="K29" s="381" t="s">
        <v>1799</v>
      </c>
      <c r="L29" s="394"/>
    </row>
    <row r="30" spans="1:12" x14ac:dyDescent="0.3">
      <c r="A30" s="382"/>
      <c r="B30" s="442"/>
      <c r="C30" s="382"/>
      <c r="D30" s="382"/>
      <c r="E30" s="382"/>
      <c r="F30" s="30" t="s">
        <v>2182</v>
      </c>
      <c r="G30" s="3" t="s">
        <v>1795</v>
      </c>
      <c r="H30" s="382"/>
      <c r="I30" s="382"/>
      <c r="J30" s="382"/>
      <c r="K30" s="382"/>
      <c r="L30" s="394"/>
    </row>
    <row r="31" spans="1:12" x14ac:dyDescent="0.3">
      <c r="A31" s="382"/>
      <c r="B31" s="442"/>
      <c r="C31" s="382"/>
      <c r="D31" s="382"/>
      <c r="E31" s="382"/>
      <c r="F31" s="30" t="s">
        <v>2175</v>
      </c>
      <c r="G31" s="3" t="s">
        <v>1792</v>
      </c>
      <c r="H31" s="382"/>
      <c r="I31" s="382"/>
      <c r="J31" s="382"/>
      <c r="K31" s="382"/>
      <c r="L31" s="394"/>
    </row>
    <row r="32" spans="1:12" x14ac:dyDescent="0.3">
      <c r="A32" s="382"/>
      <c r="B32" s="442"/>
      <c r="C32" s="382"/>
      <c r="D32" s="382"/>
      <c r="E32" s="382"/>
      <c r="F32" s="30" t="s">
        <v>2183</v>
      </c>
      <c r="G32" s="3" t="s">
        <v>1792</v>
      </c>
      <c r="H32" s="382"/>
      <c r="I32" s="382"/>
      <c r="J32" s="382"/>
      <c r="K32" s="382"/>
      <c r="L32" s="394"/>
    </row>
    <row r="33" spans="1:12" x14ac:dyDescent="0.3">
      <c r="A33" s="383"/>
      <c r="B33" s="443"/>
      <c r="C33" s="383"/>
      <c r="D33" s="383"/>
      <c r="E33" s="383"/>
      <c r="F33" s="30" t="s">
        <v>2184</v>
      </c>
      <c r="G33" s="3" t="s">
        <v>1792</v>
      </c>
      <c r="H33" s="383"/>
      <c r="I33" s="383"/>
      <c r="J33" s="383"/>
      <c r="K33" s="383"/>
      <c r="L33" s="394"/>
    </row>
    <row r="34" spans="1:12" x14ac:dyDescent="0.3">
      <c r="A34" s="381">
        <v>8</v>
      </c>
      <c r="B34" s="441" t="s">
        <v>1798</v>
      </c>
      <c r="C34" s="381">
        <v>2021</v>
      </c>
      <c r="D34" s="381" t="s">
        <v>2148</v>
      </c>
      <c r="E34" s="381" t="s">
        <v>1778</v>
      </c>
      <c r="F34" s="30" t="s">
        <v>2181</v>
      </c>
      <c r="G34" s="3" t="s">
        <v>1792</v>
      </c>
      <c r="H34" s="381">
        <v>1</v>
      </c>
      <c r="I34" s="381" t="s">
        <v>1802</v>
      </c>
      <c r="J34" s="381" t="s">
        <v>366</v>
      </c>
      <c r="K34" s="381" t="s">
        <v>1799</v>
      </c>
      <c r="L34" s="394"/>
    </row>
    <row r="35" spans="1:12" x14ac:dyDescent="0.3">
      <c r="A35" s="382"/>
      <c r="B35" s="442"/>
      <c r="C35" s="382"/>
      <c r="D35" s="382"/>
      <c r="E35" s="382"/>
      <c r="F35" s="30" t="s">
        <v>2182</v>
      </c>
      <c r="G35" s="3" t="s">
        <v>1795</v>
      </c>
      <c r="H35" s="382"/>
      <c r="I35" s="382"/>
      <c r="J35" s="382"/>
      <c r="K35" s="382"/>
      <c r="L35" s="394"/>
    </row>
    <row r="36" spans="1:12" x14ac:dyDescent="0.3">
      <c r="A36" s="382"/>
      <c r="B36" s="442"/>
      <c r="C36" s="382"/>
      <c r="D36" s="382"/>
      <c r="E36" s="382"/>
      <c r="F36" s="30" t="s">
        <v>2175</v>
      </c>
      <c r="G36" s="3" t="s">
        <v>1792</v>
      </c>
      <c r="H36" s="382"/>
      <c r="I36" s="382"/>
      <c r="J36" s="382"/>
      <c r="K36" s="382"/>
      <c r="L36" s="394"/>
    </row>
    <row r="37" spans="1:12" x14ac:dyDescent="0.3">
      <c r="A37" s="382"/>
      <c r="B37" s="442"/>
      <c r="C37" s="382"/>
      <c r="D37" s="382"/>
      <c r="E37" s="382"/>
      <c r="F37" s="30" t="s">
        <v>2183</v>
      </c>
      <c r="G37" s="3" t="s">
        <v>1792</v>
      </c>
      <c r="H37" s="382"/>
      <c r="I37" s="382"/>
      <c r="J37" s="382"/>
      <c r="K37" s="382"/>
      <c r="L37" s="394"/>
    </row>
    <row r="38" spans="1:12" x14ac:dyDescent="0.3">
      <c r="A38" s="383"/>
      <c r="B38" s="443"/>
      <c r="C38" s="383"/>
      <c r="D38" s="383"/>
      <c r="E38" s="383"/>
      <c r="F38" s="30" t="s">
        <v>2184</v>
      </c>
      <c r="G38" s="3" t="s">
        <v>1792</v>
      </c>
      <c r="H38" s="383"/>
      <c r="I38" s="383"/>
      <c r="J38" s="383"/>
      <c r="K38" s="383"/>
      <c r="L38" s="394"/>
    </row>
    <row r="39" spans="1:12" x14ac:dyDescent="0.3">
      <c r="A39" s="295">
        <v>9</v>
      </c>
      <c r="B39" s="30" t="s">
        <v>1798</v>
      </c>
      <c r="C39" s="295">
        <v>2021</v>
      </c>
      <c r="D39" s="295" t="s">
        <v>2149</v>
      </c>
      <c r="E39" s="295" t="s">
        <v>1778</v>
      </c>
      <c r="F39" s="30" t="s">
        <v>2182</v>
      </c>
      <c r="G39" s="3" t="s">
        <v>1795</v>
      </c>
      <c r="H39" s="295">
        <v>1</v>
      </c>
      <c r="I39" s="295" t="s">
        <v>2150</v>
      </c>
      <c r="J39" s="295" t="s">
        <v>362</v>
      </c>
      <c r="K39" s="3" t="s">
        <v>1799</v>
      </c>
      <c r="L39" s="394"/>
    </row>
    <row r="40" spans="1:12" x14ac:dyDescent="0.3">
      <c r="A40" s="3">
        <v>10</v>
      </c>
      <c r="B40" s="30" t="s">
        <v>1798</v>
      </c>
      <c r="C40" s="3">
        <v>2021</v>
      </c>
      <c r="D40" s="3" t="s">
        <v>2139</v>
      </c>
      <c r="E40" s="3" t="s">
        <v>1778</v>
      </c>
      <c r="F40" s="30" t="s">
        <v>2182</v>
      </c>
      <c r="G40" s="3" t="s">
        <v>1795</v>
      </c>
      <c r="H40" s="3">
        <v>1</v>
      </c>
      <c r="I40" s="3" t="s">
        <v>1803</v>
      </c>
      <c r="J40" s="3" t="s">
        <v>538</v>
      </c>
      <c r="K40" s="3" t="s">
        <v>1799</v>
      </c>
      <c r="L40" s="394"/>
    </row>
    <row r="41" spans="1:12" x14ac:dyDescent="0.3">
      <c r="A41" s="3">
        <v>11</v>
      </c>
      <c r="B41" s="30" t="s">
        <v>1798</v>
      </c>
      <c r="C41" s="3">
        <v>2021</v>
      </c>
      <c r="D41" s="3" t="s">
        <v>2142</v>
      </c>
      <c r="E41" s="3" t="s">
        <v>1778</v>
      </c>
      <c r="F41" s="30" t="s">
        <v>2182</v>
      </c>
      <c r="G41" s="3" t="s">
        <v>1795</v>
      </c>
      <c r="H41" s="3">
        <v>1</v>
      </c>
      <c r="I41" s="3" t="s">
        <v>1804</v>
      </c>
      <c r="J41" s="3" t="s">
        <v>538</v>
      </c>
      <c r="K41" s="3" t="s">
        <v>1799</v>
      </c>
      <c r="L41" s="394"/>
    </row>
    <row r="42" spans="1:12" x14ac:dyDescent="0.3">
      <c r="A42" s="3">
        <v>12</v>
      </c>
      <c r="B42" s="30" t="s">
        <v>1798</v>
      </c>
      <c r="C42" s="3">
        <v>2021</v>
      </c>
      <c r="D42" s="3" t="s">
        <v>2146</v>
      </c>
      <c r="E42" s="3" t="s">
        <v>1778</v>
      </c>
      <c r="F42" s="30" t="s">
        <v>2182</v>
      </c>
      <c r="G42" s="3" t="s">
        <v>1795</v>
      </c>
      <c r="H42" s="3">
        <v>1</v>
      </c>
      <c r="I42" s="3" t="s">
        <v>2144</v>
      </c>
      <c r="J42" s="3" t="s">
        <v>538</v>
      </c>
      <c r="K42" s="3" t="s">
        <v>1799</v>
      </c>
      <c r="L42" s="394"/>
    </row>
    <row r="43" spans="1:12" x14ac:dyDescent="0.3">
      <c r="A43" s="3">
        <v>13</v>
      </c>
      <c r="B43" s="30" t="s">
        <v>1798</v>
      </c>
      <c r="C43" s="3">
        <v>2021</v>
      </c>
      <c r="D43" s="3" t="s">
        <v>2151</v>
      </c>
      <c r="E43" s="3" t="s">
        <v>1778</v>
      </c>
      <c r="F43" s="30" t="s">
        <v>2182</v>
      </c>
      <c r="G43" s="3" t="s">
        <v>1795</v>
      </c>
      <c r="H43" s="3">
        <v>1</v>
      </c>
      <c r="I43" s="3" t="s">
        <v>1805</v>
      </c>
      <c r="J43" s="3" t="s">
        <v>1028</v>
      </c>
      <c r="K43" s="3" t="s">
        <v>1799</v>
      </c>
      <c r="L43" s="394"/>
    </row>
    <row r="44" spans="1:12" x14ac:dyDescent="0.3">
      <c r="A44" s="381">
        <v>14</v>
      </c>
      <c r="B44" s="441" t="s">
        <v>1798</v>
      </c>
      <c r="C44" s="381">
        <v>2021</v>
      </c>
      <c r="D44" s="381" t="s">
        <v>2147</v>
      </c>
      <c r="E44" s="381" t="s">
        <v>1778</v>
      </c>
      <c r="F44" s="30" t="s">
        <v>2181</v>
      </c>
      <c r="G44" s="3" t="s">
        <v>1792</v>
      </c>
      <c r="H44" s="381">
        <v>1</v>
      </c>
      <c r="I44" s="381" t="s">
        <v>1806</v>
      </c>
      <c r="J44" s="381" t="s">
        <v>1028</v>
      </c>
      <c r="K44" s="381" t="s">
        <v>1799</v>
      </c>
      <c r="L44" s="394"/>
    </row>
    <row r="45" spans="1:12" x14ac:dyDescent="0.3">
      <c r="A45" s="382"/>
      <c r="B45" s="442"/>
      <c r="C45" s="382"/>
      <c r="D45" s="382"/>
      <c r="E45" s="382"/>
      <c r="F45" s="30" t="s">
        <v>2182</v>
      </c>
      <c r="G45" s="3" t="s">
        <v>1795</v>
      </c>
      <c r="H45" s="382"/>
      <c r="I45" s="382"/>
      <c r="J45" s="382"/>
      <c r="K45" s="382"/>
      <c r="L45" s="394"/>
    </row>
    <row r="46" spans="1:12" x14ac:dyDescent="0.3">
      <c r="A46" s="382"/>
      <c r="B46" s="442"/>
      <c r="C46" s="382"/>
      <c r="D46" s="382"/>
      <c r="E46" s="382"/>
      <c r="F46" s="30" t="s">
        <v>2175</v>
      </c>
      <c r="G46" s="3" t="s">
        <v>1792</v>
      </c>
      <c r="H46" s="382"/>
      <c r="I46" s="382"/>
      <c r="J46" s="382"/>
      <c r="K46" s="382"/>
      <c r="L46" s="394"/>
    </row>
    <row r="47" spans="1:12" x14ac:dyDescent="0.3">
      <c r="A47" s="382"/>
      <c r="B47" s="442"/>
      <c r="C47" s="382"/>
      <c r="D47" s="382"/>
      <c r="E47" s="382"/>
      <c r="F47" s="30" t="s">
        <v>2183</v>
      </c>
      <c r="G47" s="3" t="s">
        <v>1792</v>
      </c>
      <c r="H47" s="382"/>
      <c r="I47" s="382"/>
      <c r="J47" s="382"/>
      <c r="K47" s="382"/>
      <c r="L47" s="394"/>
    </row>
    <row r="48" spans="1:12" x14ac:dyDescent="0.3">
      <c r="A48" s="383"/>
      <c r="B48" s="443"/>
      <c r="C48" s="383"/>
      <c r="D48" s="383"/>
      <c r="E48" s="383"/>
      <c r="F48" s="30" t="s">
        <v>2184</v>
      </c>
      <c r="G48" s="3" t="s">
        <v>1792</v>
      </c>
      <c r="H48" s="383"/>
      <c r="I48" s="383"/>
      <c r="J48" s="383"/>
      <c r="K48" s="383"/>
      <c r="L48" s="394"/>
    </row>
    <row r="49" spans="1:12" x14ac:dyDescent="0.3">
      <c r="A49" s="381">
        <v>15</v>
      </c>
      <c r="B49" s="441" t="s">
        <v>1807</v>
      </c>
      <c r="C49" s="381">
        <v>2021</v>
      </c>
      <c r="D49" s="42"/>
      <c r="E49" s="381" t="s">
        <v>1785</v>
      </c>
      <c r="F49" s="30" t="s">
        <v>2185</v>
      </c>
      <c r="G49" s="3" t="s">
        <v>1792</v>
      </c>
      <c r="H49" s="381">
        <v>14</v>
      </c>
      <c r="I49" s="381" t="s">
        <v>1808</v>
      </c>
      <c r="J49" s="381" t="s">
        <v>366</v>
      </c>
      <c r="K49" s="381"/>
      <c r="L49" s="394"/>
    </row>
    <row r="50" spans="1:12" x14ac:dyDescent="0.3">
      <c r="A50" s="382"/>
      <c r="B50" s="442"/>
      <c r="C50" s="382"/>
      <c r="D50" s="294"/>
      <c r="E50" s="382"/>
      <c r="F50" s="30" t="s">
        <v>2182</v>
      </c>
      <c r="G50" s="3" t="s">
        <v>1795</v>
      </c>
      <c r="H50" s="382"/>
      <c r="I50" s="382"/>
      <c r="J50" s="382"/>
      <c r="K50" s="382"/>
      <c r="L50" s="394"/>
    </row>
    <row r="51" spans="1:12" x14ac:dyDescent="0.3">
      <c r="A51" s="382"/>
      <c r="B51" s="442"/>
      <c r="C51" s="382"/>
      <c r="D51" s="294"/>
      <c r="E51" s="382"/>
      <c r="F51" s="30" t="s">
        <v>2186</v>
      </c>
      <c r="G51" s="3" t="s">
        <v>1792</v>
      </c>
      <c r="H51" s="382"/>
      <c r="I51" s="382"/>
      <c r="J51" s="382"/>
      <c r="K51" s="382"/>
      <c r="L51" s="394"/>
    </row>
    <row r="52" spans="1:12" x14ac:dyDescent="0.3">
      <c r="A52" s="382"/>
      <c r="B52" s="442"/>
      <c r="C52" s="382"/>
      <c r="D52" s="294"/>
      <c r="E52" s="382"/>
      <c r="F52" s="30" t="s">
        <v>2187</v>
      </c>
      <c r="G52" s="3" t="s">
        <v>1792</v>
      </c>
      <c r="H52" s="382"/>
      <c r="I52" s="382"/>
      <c r="J52" s="382"/>
      <c r="K52" s="382"/>
      <c r="L52" s="394"/>
    </row>
    <row r="53" spans="1:12" x14ac:dyDescent="0.3">
      <c r="A53" s="382"/>
      <c r="B53" s="442"/>
      <c r="C53" s="382"/>
      <c r="D53" s="294"/>
      <c r="E53" s="382"/>
      <c r="F53" s="30" t="s">
        <v>2188</v>
      </c>
      <c r="G53" s="3" t="s">
        <v>1792</v>
      </c>
      <c r="H53" s="382"/>
      <c r="I53" s="382"/>
      <c r="J53" s="382"/>
      <c r="K53" s="382"/>
      <c r="L53" s="394"/>
    </row>
    <row r="54" spans="1:12" x14ac:dyDescent="0.3">
      <c r="A54" s="382"/>
      <c r="B54" s="442"/>
      <c r="C54" s="382"/>
      <c r="D54" s="294"/>
      <c r="E54" s="382"/>
      <c r="F54" s="30" t="s">
        <v>2183</v>
      </c>
      <c r="G54" s="3" t="s">
        <v>1792</v>
      </c>
      <c r="H54" s="382"/>
      <c r="I54" s="382"/>
      <c r="J54" s="382"/>
      <c r="K54" s="382"/>
      <c r="L54" s="394"/>
    </row>
    <row r="55" spans="1:12" x14ac:dyDescent="0.3">
      <c r="A55" s="382"/>
      <c r="B55" s="442"/>
      <c r="C55" s="382"/>
      <c r="D55" s="294"/>
      <c r="E55" s="382"/>
      <c r="F55" s="30" t="s">
        <v>2189</v>
      </c>
      <c r="G55" s="3" t="s">
        <v>1795</v>
      </c>
      <c r="H55" s="382"/>
      <c r="I55" s="382"/>
      <c r="J55" s="382"/>
      <c r="K55" s="382"/>
      <c r="L55" s="394"/>
    </row>
    <row r="56" spans="1:12" x14ac:dyDescent="0.3">
      <c r="A56" s="382"/>
      <c r="B56" s="442"/>
      <c r="C56" s="382"/>
      <c r="D56" s="294"/>
      <c r="E56" s="382"/>
      <c r="F56" s="30" t="s">
        <v>2190</v>
      </c>
      <c r="G56" s="3" t="s">
        <v>1792</v>
      </c>
      <c r="H56" s="382"/>
      <c r="I56" s="382"/>
      <c r="J56" s="382"/>
      <c r="K56" s="382"/>
      <c r="L56" s="394"/>
    </row>
    <row r="57" spans="1:12" x14ac:dyDescent="0.3">
      <c r="A57" s="382"/>
      <c r="B57" s="442"/>
      <c r="C57" s="382"/>
      <c r="D57" s="294"/>
      <c r="E57" s="382"/>
      <c r="F57" s="30" t="s">
        <v>2191</v>
      </c>
      <c r="G57" s="3" t="s">
        <v>1792</v>
      </c>
      <c r="H57" s="382"/>
      <c r="I57" s="382"/>
      <c r="J57" s="382"/>
      <c r="K57" s="382"/>
      <c r="L57" s="394"/>
    </row>
    <row r="58" spans="1:12" x14ac:dyDescent="0.3">
      <c r="A58" s="382"/>
      <c r="B58" s="442"/>
      <c r="C58" s="382"/>
      <c r="D58" s="294"/>
      <c r="E58" s="382"/>
      <c r="F58" s="30" t="s">
        <v>2184</v>
      </c>
      <c r="G58" s="3" t="s">
        <v>1792</v>
      </c>
      <c r="H58" s="382"/>
      <c r="I58" s="382"/>
      <c r="J58" s="382"/>
      <c r="K58" s="382"/>
      <c r="L58" s="394"/>
    </row>
    <row r="59" spans="1:12" x14ac:dyDescent="0.3">
      <c r="A59" s="382"/>
      <c r="B59" s="442"/>
      <c r="C59" s="382"/>
      <c r="D59" s="294"/>
      <c r="E59" s="382"/>
      <c r="F59" s="30" t="s">
        <v>2192</v>
      </c>
      <c r="G59" s="3" t="s">
        <v>1792</v>
      </c>
      <c r="H59" s="382"/>
      <c r="I59" s="382"/>
      <c r="J59" s="382"/>
      <c r="K59" s="382"/>
      <c r="L59" s="394"/>
    </row>
    <row r="60" spans="1:12" x14ac:dyDescent="0.3">
      <c r="A60" s="382"/>
      <c r="B60" s="442"/>
      <c r="C60" s="382"/>
      <c r="D60" s="294"/>
      <c r="E60" s="382"/>
      <c r="F60" s="30" t="s">
        <v>2193</v>
      </c>
      <c r="G60" s="3" t="s">
        <v>1792</v>
      </c>
      <c r="H60" s="382"/>
      <c r="I60" s="382"/>
      <c r="J60" s="382"/>
      <c r="K60" s="382"/>
      <c r="L60" s="394"/>
    </row>
    <row r="61" spans="1:12" x14ac:dyDescent="0.3">
      <c r="A61" s="383"/>
      <c r="B61" s="443"/>
      <c r="C61" s="383"/>
      <c r="D61" s="295"/>
      <c r="E61" s="383"/>
      <c r="F61" s="30" t="s">
        <v>1809</v>
      </c>
      <c r="G61" s="3" t="s">
        <v>1792</v>
      </c>
      <c r="H61" s="383"/>
      <c r="I61" s="383"/>
      <c r="J61" s="383"/>
      <c r="K61" s="383"/>
      <c r="L61" s="394"/>
    </row>
    <row r="62" spans="1:12" x14ac:dyDescent="0.3">
      <c r="A62" s="381">
        <v>16</v>
      </c>
      <c r="B62" s="441" t="s">
        <v>1810</v>
      </c>
      <c r="C62" s="381">
        <v>2021</v>
      </c>
      <c r="D62" s="42"/>
      <c r="E62" s="381" t="s">
        <v>1784</v>
      </c>
      <c r="F62" s="30" t="s">
        <v>2185</v>
      </c>
      <c r="G62" s="3" t="s">
        <v>1792</v>
      </c>
      <c r="H62" s="381">
        <v>2</v>
      </c>
      <c r="I62" s="381" t="s">
        <v>1811</v>
      </c>
      <c r="J62" s="381" t="s">
        <v>538</v>
      </c>
      <c r="K62" s="381" t="s">
        <v>2196</v>
      </c>
      <c r="L62" s="394"/>
    </row>
    <row r="63" spans="1:12" x14ac:dyDescent="0.3">
      <c r="A63" s="382"/>
      <c r="B63" s="442"/>
      <c r="C63" s="382"/>
      <c r="D63" s="294"/>
      <c r="E63" s="382"/>
      <c r="F63" s="30" t="s">
        <v>2182</v>
      </c>
      <c r="G63" s="3" t="s">
        <v>1795</v>
      </c>
      <c r="H63" s="382"/>
      <c r="I63" s="382"/>
      <c r="J63" s="382"/>
      <c r="K63" s="382"/>
      <c r="L63" s="394"/>
    </row>
    <row r="64" spans="1:12" x14ac:dyDescent="0.3">
      <c r="A64" s="382"/>
      <c r="B64" s="442"/>
      <c r="C64" s="382"/>
      <c r="D64" s="294"/>
      <c r="E64" s="382"/>
      <c r="F64" s="30" t="s">
        <v>2186</v>
      </c>
      <c r="G64" s="3" t="s">
        <v>1792</v>
      </c>
      <c r="H64" s="382"/>
      <c r="I64" s="382"/>
      <c r="J64" s="382"/>
      <c r="K64" s="382"/>
      <c r="L64" s="394"/>
    </row>
    <row r="65" spans="1:12" x14ac:dyDescent="0.3">
      <c r="A65" s="382"/>
      <c r="B65" s="442"/>
      <c r="C65" s="382"/>
      <c r="D65" s="294"/>
      <c r="E65" s="382"/>
      <c r="F65" s="30" t="s">
        <v>2187</v>
      </c>
      <c r="G65" s="3" t="s">
        <v>1792</v>
      </c>
      <c r="H65" s="382"/>
      <c r="I65" s="382"/>
      <c r="J65" s="382"/>
      <c r="K65" s="382"/>
      <c r="L65" s="394"/>
    </row>
    <row r="66" spans="1:12" x14ac:dyDescent="0.3">
      <c r="A66" s="382"/>
      <c r="B66" s="442"/>
      <c r="C66" s="382"/>
      <c r="D66" s="294"/>
      <c r="E66" s="382"/>
      <c r="F66" s="30" t="s">
        <v>2188</v>
      </c>
      <c r="G66" s="3" t="s">
        <v>1792</v>
      </c>
      <c r="H66" s="382"/>
      <c r="I66" s="382"/>
      <c r="J66" s="382"/>
      <c r="K66" s="382"/>
      <c r="L66" s="394"/>
    </row>
    <row r="67" spans="1:12" x14ac:dyDescent="0.3">
      <c r="A67" s="382"/>
      <c r="B67" s="442"/>
      <c r="C67" s="382"/>
      <c r="D67" s="294"/>
      <c r="E67" s="382"/>
      <c r="F67" s="30" t="s">
        <v>2183</v>
      </c>
      <c r="G67" s="3" t="s">
        <v>1792</v>
      </c>
      <c r="H67" s="382"/>
      <c r="I67" s="382"/>
      <c r="J67" s="382"/>
      <c r="K67" s="382"/>
      <c r="L67" s="394"/>
    </row>
    <row r="68" spans="1:12" x14ac:dyDescent="0.3">
      <c r="A68" s="382"/>
      <c r="B68" s="442"/>
      <c r="C68" s="382"/>
      <c r="D68" s="294"/>
      <c r="E68" s="382"/>
      <c r="F68" s="30" t="s">
        <v>2189</v>
      </c>
      <c r="G68" s="3" t="s">
        <v>1795</v>
      </c>
      <c r="H68" s="382"/>
      <c r="I68" s="382"/>
      <c r="J68" s="382"/>
      <c r="K68" s="382"/>
      <c r="L68" s="394"/>
    </row>
    <row r="69" spans="1:12" x14ac:dyDescent="0.3">
      <c r="A69" s="382"/>
      <c r="B69" s="442"/>
      <c r="C69" s="382"/>
      <c r="D69" s="294"/>
      <c r="E69" s="382"/>
      <c r="F69" s="30" t="s">
        <v>2184</v>
      </c>
      <c r="G69" s="3" t="s">
        <v>1792</v>
      </c>
      <c r="H69" s="382"/>
      <c r="I69" s="382"/>
      <c r="J69" s="382"/>
      <c r="K69" s="382"/>
      <c r="L69" s="394"/>
    </row>
    <row r="70" spans="1:12" x14ac:dyDescent="0.3">
      <c r="A70" s="382"/>
      <c r="B70" s="442"/>
      <c r="C70" s="382"/>
      <c r="D70" s="294"/>
      <c r="E70" s="382"/>
      <c r="F70" s="30" t="s">
        <v>2194</v>
      </c>
      <c r="G70" s="3" t="s">
        <v>1792</v>
      </c>
      <c r="H70" s="382"/>
      <c r="I70" s="382"/>
      <c r="J70" s="382"/>
      <c r="K70" s="382"/>
      <c r="L70" s="394"/>
    </row>
    <row r="71" spans="1:12" x14ac:dyDescent="0.3">
      <c r="A71" s="383"/>
      <c r="B71" s="443"/>
      <c r="C71" s="383"/>
      <c r="D71" s="295"/>
      <c r="E71" s="383"/>
      <c r="F71" s="30" t="s">
        <v>2195</v>
      </c>
      <c r="G71" s="3" t="s">
        <v>1792</v>
      </c>
      <c r="H71" s="383"/>
      <c r="I71" s="383"/>
      <c r="J71" s="383"/>
      <c r="K71" s="383"/>
      <c r="L71" s="394"/>
    </row>
    <row r="72" spans="1:12" x14ac:dyDescent="0.3">
      <c r="A72" s="381">
        <v>17</v>
      </c>
      <c r="B72" s="441" t="s">
        <v>1812</v>
      </c>
      <c r="C72" s="381">
        <v>2021</v>
      </c>
      <c r="D72" s="42"/>
      <c r="E72" s="381" t="s">
        <v>1785</v>
      </c>
      <c r="F72" s="30" t="s">
        <v>2185</v>
      </c>
      <c r="G72" s="3" t="s">
        <v>1792</v>
      </c>
      <c r="H72" s="381">
        <v>1</v>
      </c>
      <c r="I72" s="381" t="s">
        <v>1813</v>
      </c>
      <c r="J72" s="381" t="s">
        <v>362</v>
      </c>
      <c r="K72" s="381"/>
      <c r="L72" s="394"/>
    </row>
    <row r="73" spans="1:12" x14ac:dyDescent="0.3">
      <c r="A73" s="382"/>
      <c r="B73" s="442"/>
      <c r="C73" s="382"/>
      <c r="D73" s="294"/>
      <c r="E73" s="382"/>
      <c r="F73" s="30" t="s">
        <v>2182</v>
      </c>
      <c r="G73" s="3" t="s">
        <v>1795</v>
      </c>
      <c r="H73" s="382"/>
      <c r="I73" s="382"/>
      <c r="J73" s="382"/>
      <c r="K73" s="382"/>
      <c r="L73" s="394"/>
    </row>
    <row r="74" spans="1:12" x14ac:dyDescent="0.3">
      <c r="A74" s="383"/>
      <c r="B74" s="443"/>
      <c r="C74" s="383"/>
      <c r="D74" s="295"/>
      <c r="E74" s="383"/>
      <c r="F74" s="30" t="s">
        <v>2186</v>
      </c>
      <c r="G74" s="3" t="s">
        <v>1792</v>
      </c>
      <c r="H74" s="383"/>
      <c r="I74" s="383"/>
      <c r="J74" s="383"/>
      <c r="K74" s="383"/>
      <c r="L74" s="394"/>
    </row>
    <row r="75" spans="1:12" x14ac:dyDescent="0.3">
      <c r="A75" s="3">
        <v>18</v>
      </c>
      <c r="B75" s="30" t="s">
        <v>1691</v>
      </c>
      <c r="C75" s="3">
        <v>2022</v>
      </c>
      <c r="D75" s="3"/>
      <c r="E75" s="3" t="s">
        <v>1691</v>
      </c>
      <c r="F75" s="30"/>
      <c r="G75" s="3"/>
      <c r="H75" s="33">
        <v>1</v>
      </c>
      <c r="I75" s="381" t="s">
        <v>1814</v>
      </c>
      <c r="J75" s="33" t="s">
        <v>398</v>
      </c>
      <c r="K75" s="381"/>
      <c r="L75" s="394"/>
    </row>
    <row r="76" spans="1:12" x14ac:dyDescent="0.3">
      <c r="A76" s="3">
        <v>19</v>
      </c>
      <c r="B76" s="30" t="s">
        <v>1815</v>
      </c>
      <c r="C76" s="3">
        <v>2022</v>
      </c>
      <c r="D76" s="3"/>
      <c r="E76" s="3" t="s">
        <v>1816</v>
      </c>
      <c r="F76" s="30"/>
      <c r="G76" s="3"/>
      <c r="H76" s="33">
        <v>1</v>
      </c>
      <c r="I76" s="383"/>
      <c r="J76" s="33" t="s">
        <v>1028</v>
      </c>
      <c r="K76" s="383"/>
      <c r="L76" s="394"/>
    </row>
    <row r="77" spans="1:12" x14ac:dyDescent="0.3">
      <c r="A77" s="3">
        <v>20</v>
      </c>
      <c r="B77" s="30" t="s">
        <v>1817</v>
      </c>
      <c r="C77" s="3">
        <v>2022</v>
      </c>
      <c r="D77" s="3" t="s">
        <v>2158</v>
      </c>
      <c r="E77" s="3" t="s">
        <v>1784</v>
      </c>
      <c r="F77" s="30"/>
      <c r="G77" s="3"/>
      <c r="H77" s="33">
        <v>1</v>
      </c>
      <c r="I77" s="30" t="s">
        <v>2157</v>
      </c>
      <c r="J77" s="33"/>
      <c r="K77" s="3" t="s">
        <v>2159</v>
      </c>
      <c r="L77" s="394"/>
    </row>
    <row r="78" spans="1:12" x14ac:dyDescent="0.3">
      <c r="A78" s="3">
        <v>21</v>
      </c>
      <c r="B78" s="30" t="s">
        <v>1817</v>
      </c>
      <c r="C78" s="3">
        <v>2022</v>
      </c>
      <c r="D78" s="3" t="s">
        <v>2160</v>
      </c>
      <c r="E78" s="3" t="s">
        <v>1784</v>
      </c>
      <c r="F78" s="30"/>
      <c r="G78" s="3"/>
      <c r="H78" s="33">
        <v>1</v>
      </c>
      <c r="I78" s="30" t="s">
        <v>2161</v>
      </c>
      <c r="J78" s="33"/>
      <c r="K78" s="3" t="s">
        <v>2162</v>
      </c>
      <c r="L78" s="394"/>
    </row>
    <row r="79" spans="1:12" x14ac:dyDescent="0.3">
      <c r="A79" s="3">
        <v>22</v>
      </c>
      <c r="B79" s="30" t="s">
        <v>1817</v>
      </c>
      <c r="C79" s="3">
        <v>2022</v>
      </c>
      <c r="D79" s="3" t="s">
        <v>2163</v>
      </c>
      <c r="E79" s="3" t="s">
        <v>1784</v>
      </c>
      <c r="F79" s="30"/>
      <c r="G79" s="3"/>
      <c r="H79" s="33">
        <v>1</v>
      </c>
      <c r="I79" s="30" t="s">
        <v>1818</v>
      </c>
      <c r="J79" s="33"/>
      <c r="K79" s="3" t="s">
        <v>2155</v>
      </c>
      <c r="L79" s="394"/>
    </row>
    <row r="80" spans="1:12" x14ac:dyDescent="0.3">
      <c r="A80" s="3">
        <v>23</v>
      </c>
      <c r="B80" s="30" t="s">
        <v>1817</v>
      </c>
      <c r="C80" s="3">
        <v>2022</v>
      </c>
      <c r="D80" s="3" t="s">
        <v>2164</v>
      </c>
      <c r="E80" s="3" t="s">
        <v>1784</v>
      </c>
      <c r="F80" s="30"/>
      <c r="G80" s="3"/>
      <c r="H80" s="33">
        <v>1</v>
      </c>
      <c r="I80" s="30" t="s">
        <v>1818</v>
      </c>
      <c r="J80" s="33" t="s">
        <v>1028</v>
      </c>
      <c r="K80" s="3" t="s">
        <v>2155</v>
      </c>
      <c r="L80" s="394"/>
    </row>
    <row r="81" spans="1:12" x14ac:dyDescent="0.3">
      <c r="A81" s="3">
        <v>24</v>
      </c>
      <c r="B81" s="30" t="s">
        <v>1817</v>
      </c>
      <c r="C81" s="3">
        <v>2022</v>
      </c>
      <c r="D81" s="3"/>
      <c r="E81" s="3" t="s">
        <v>1784</v>
      </c>
      <c r="F81" s="30"/>
      <c r="G81" s="3"/>
      <c r="H81" s="33">
        <v>1</v>
      </c>
      <c r="I81" s="30" t="s">
        <v>1819</v>
      </c>
      <c r="J81" s="33" t="s">
        <v>1564</v>
      </c>
      <c r="K81" s="3"/>
      <c r="L81" s="394"/>
    </row>
    <row r="82" spans="1:12" x14ac:dyDescent="0.3">
      <c r="A82" s="3">
        <v>25</v>
      </c>
      <c r="B82" s="30" t="s">
        <v>1817</v>
      </c>
      <c r="C82" s="3">
        <v>2022</v>
      </c>
      <c r="D82" s="3" t="s">
        <v>2154</v>
      </c>
      <c r="E82" s="3" t="s">
        <v>1784</v>
      </c>
      <c r="F82" s="30"/>
      <c r="G82" s="3"/>
      <c r="H82" s="33">
        <v>1</v>
      </c>
      <c r="I82" s="30" t="s">
        <v>2153</v>
      </c>
      <c r="J82" s="33" t="s">
        <v>356</v>
      </c>
      <c r="K82" s="3" t="s">
        <v>2156</v>
      </c>
      <c r="L82" s="394"/>
    </row>
    <row r="83" spans="1:12" x14ac:dyDescent="0.3">
      <c r="A83" s="3">
        <v>26</v>
      </c>
      <c r="B83" s="30" t="s">
        <v>1817</v>
      </c>
      <c r="C83" s="3">
        <v>2022</v>
      </c>
      <c r="D83" s="3" t="s">
        <v>2165</v>
      </c>
      <c r="E83" s="3" t="s">
        <v>1784</v>
      </c>
      <c r="F83" s="30"/>
      <c r="G83" s="3"/>
      <c r="H83" s="33">
        <v>1</v>
      </c>
      <c r="I83" s="30" t="s">
        <v>1820</v>
      </c>
      <c r="J83" s="33" t="s">
        <v>538</v>
      </c>
      <c r="K83" s="3" t="s">
        <v>2166</v>
      </c>
      <c r="L83" s="394"/>
    </row>
    <row r="84" spans="1:12" x14ac:dyDescent="0.3">
      <c r="A84" s="3">
        <v>27</v>
      </c>
      <c r="B84" s="30" t="s">
        <v>1817</v>
      </c>
      <c r="C84" s="3">
        <v>2022</v>
      </c>
      <c r="D84" s="3"/>
      <c r="E84" s="3" t="s">
        <v>1784</v>
      </c>
      <c r="F84" s="30"/>
      <c r="G84" s="3"/>
      <c r="H84" s="33">
        <v>1</v>
      </c>
      <c r="I84" s="30" t="s">
        <v>1821</v>
      </c>
      <c r="J84" s="33" t="s">
        <v>370</v>
      </c>
      <c r="K84" s="3"/>
      <c r="L84" s="394"/>
    </row>
    <row r="85" spans="1:12" x14ac:dyDescent="0.3">
      <c r="A85" s="381">
        <v>28</v>
      </c>
      <c r="B85" s="441" t="s">
        <v>1822</v>
      </c>
      <c r="C85" s="381">
        <v>2022</v>
      </c>
      <c r="D85" s="381" t="s">
        <v>2167</v>
      </c>
      <c r="E85" s="381" t="s">
        <v>1778</v>
      </c>
      <c r="F85" s="30" t="s">
        <v>2181</v>
      </c>
      <c r="G85" s="3" t="s">
        <v>1792</v>
      </c>
      <c r="H85" s="381">
        <v>1</v>
      </c>
      <c r="I85" s="441" t="s">
        <v>1823</v>
      </c>
      <c r="J85" s="381" t="s">
        <v>415</v>
      </c>
      <c r="K85" s="381" t="s">
        <v>2197</v>
      </c>
      <c r="L85" s="394"/>
    </row>
    <row r="86" spans="1:12" x14ac:dyDescent="0.3">
      <c r="A86" s="382"/>
      <c r="B86" s="442"/>
      <c r="C86" s="382"/>
      <c r="D86" s="382"/>
      <c r="E86" s="382"/>
      <c r="F86" s="30" t="s">
        <v>2182</v>
      </c>
      <c r="G86" s="3" t="s">
        <v>1795</v>
      </c>
      <c r="H86" s="382"/>
      <c r="I86" s="442"/>
      <c r="J86" s="382"/>
      <c r="K86" s="382"/>
      <c r="L86" s="394"/>
    </row>
    <row r="87" spans="1:12" x14ac:dyDescent="0.3">
      <c r="A87" s="382"/>
      <c r="B87" s="442"/>
      <c r="C87" s="382"/>
      <c r="D87" s="382"/>
      <c r="E87" s="382"/>
      <c r="F87" s="30" t="s">
        <v>2175</v>
      </c>
      <c r="G87" s="3" t="s">
        <v>1792</v>
      </c>
      <c r="H87" s="382"/>
      <c r="I87" s="442"/>
      <c r="J87" s="382"/>
      <c r="K87" s="382"/>
      <c r="L87" s="394"/>
    </row>
    <row r="88" spans="1:12" x14ac:dyDescent="0.3">
      <c r="A88" s="382"/>
      <c r="B88" s="442"/>
      <c r="C88" s="382"/>
      <c r="D88" s="382"/>
      <c r="E88" s="382"/>
      <c r="F88" s="30" t="s">
        <v>2183</v>
      </c>
      <c r="G88" s="3" t="s">
        <v>1792</v>
      </c>
      <c r="H88" s="382"/>
      <c r="I88" s="442"/>
      <c r="J88" s="382"/>
      <c r="K88" s="382"/>
      <c r="L88" s="394"/>
    </row>
    <row r="89" spans="1:12" x14ac:dyDescent="0.3">
      <c r="A89" s="383"/>
      <c r="B89" s="443"/>
      <c r="C89" s="383"/>
      <c r="D89" s="383"/>
      <c r="E89" s="383"/>
      <c r="F89" s="30" t="s">
        <v>2184</v>
      </c>
      <c r="G89" s="3" t="s">
        <v>1792</v>
      </c>
      <c r="H89" s="383"/>
      <c r="I89" s="443"/>
      <c r="J89" s="383"/>
      <c r="K89" s="383"/>
      <c r="L89" s="394"/>
    </row>
    <row r="90" spans="1:12" x14ac:dyDescent="0.3">
      <c r="A90" s="381">
        <v>29</v>
      </c>
      <c r="B90" s="441" t="s">
        <v>1822</v>
      </c>
      <c r="C90" s="381">
        <v>2022</v>
      </c>
      <c r="D90" s="381" t="s">
        <v>2168</v>
      </c>
      <c r="E90" s="381" t="s">
        <v>1778</v>
      </c>
      <c r="F90" s="30" t="s">
        <v>2181</v>
      </c>
      <c r="G90" s="3" t="s">
        <v>1792</v>
      </c>
      <c r="H90" s="381">
        <v>1</v>
      </c>
      <c r="I90" s="441" t="s">
        <v>1824</v>
      </c>
      <c r="J90" s="381" t="s">
        <v>356</v>
      </c>
      <c r="K90" s="381" t="s">
        <v>2198</v>
      </c>
      <c r="L90" s="394"/>
    </row>
    <row r="91" spans="1:12" x14ac:dyDescent="0.3">
      <c r="A91" s="382"/>
      <c r="B91" s="442"/>
      <c r="C91" s="382"/>
      <c r="D91" s="382"/>
      <c r="E91" s="382"/>
      <c r="F91" s="30" t="s">
        <v>2182</v>
      </c>
      <c r="G91" s="3" t="s">
        <v>1795</v>
      </c>
      <c r="H91" s="382"/>
      <c r="I91" s="442"/>
      <c r="J91" s="382"/>
      <c r="K91" s="382"/>
      <c r="L91" s="394"/>
    </row>
    <row r="92" spans="1:12" x14ac:dyDescent="0.3">
      <c r="A92" s="382"/>
      <c r="B92" s="442"/>
      <c r="C92" s="382"/>
      <c r="D92" s="382"/>
      <c r="E92" s="382"/>
      <c r="F92" s="30" t="s">
        <v>2175</v>
      </c>
      <c r="G92" s="3" t="s">
        <v>1792</v>
      </c>
      <c r="H92" s="382"/>
      <c r="I92" s="442"/>
      <c r="J92" s="382"/>
      <c r="K92" s="382"/>
      <c r="L92" s="394"/>
    </row>
    <row r="93" spans="1:12" x14ac:dyDescent="0.3">
      <c r="A93" s="382"/>
      <c r="B93" s="442"/>
      <c r="C93" s="382"/>
      <c r="D93" s="382"/>
      <c r="E93" s="382"/>
      <c r="F93" s="30" t="s">
        <v>2183</v>
      </c>
      <c r="G93" s="3" t="s">
        <v>1792</v>
      </c>
      <c r="H93" s="382"/>
      <c r="I93" s="442"/>
      <c r="J93" s="382"/>
      <c r="K93" s="382"/>
      <c r="L93" s="394"/>
    </row>
    <row r="94" spans="1:12" x14ac:dyDescent="0.3">
      <c r="A94" s="383"/>
      <c r="B94" s="443"/>
      <c r="C94" s="383"/>
      <c r="D94" s="383"/>
      <c r="E94" s="383"/>
      <c r="F94" s="30" t="s">
        <v>2184</v>
      </c>
      <c r="G94" s="3" t="s">
        <v>1792</v>
      </c>
      <c r="H94" s="383"/>
      <c r="I94" s="443"/>
      <c r="J94" s="383"/>
      <c r="K94" s="383"/>
      <c r="L94" s="394"/>
    </row>
    <row r="95" spans="1:12" x14ac:dyDescent="0.3">
      <c r="A95" s="381">
        <v>30</v>
      </c>
      <c r="B95" s="441" t="s">
        <v>1822</v>
      </c>
      <c r="C95" s="381">
        <v>2022</v>
      </c>
      <c r="D95" s="381" t="s">
        <v>2169</v>
      </c>
      <c r="E95" s="381" t="s">
        <v>1778</v>
      </c>
      <c r="F95" s="30" t="s">
        <v>2181</v>
      </c>
      <c r="G95" s="3" t="s">
        <v>1792</v>
      </c>
      <c r="H95" s="381">
        <v>1</v>
      </c>
      <c r="I95" s="441" t="s">
        <v>1825</v>
      </c>
      <c r="J95" s="381" t="s">
        <v>538</v>
      </c>
      <c r="K95" s="381" t="s">
        <v>2199</v>
      </c>
      <c r="L95" s="394"/>
    </row>
    <row r="96" spans="1:12" x14ac:dyDescent="0.3">
      <c r="A96" s="382"/>
      <c r="B96" s="442"/>
      <c r="C96" s="382"/>
      <c r="D96" s="382"/>
      <c r="E96" s="382"/>
      <c r="F96" s="30" t="s">
        <v>2182</v>
      </c>
      <c r="G96" s="3" t="s">
        <v>1795</v>
      </c>
      <c r="H96" s="382"/>
      <c r="I96" s="442"/>
      <c r="J96" s="382"/>
      <c r="K96" s="382"/>
      <c r="L96" s="394"/>
    </row>
    <row r="97" spans="1:12" x14ac:dyDescent="0.3">
      <c r="A97" s="382"/>
      <c r="B97" s="442"/>
      <c r="C97" s="382"/>
      <c r="D97" s="382"/>
      <c r="E97" s="382"/>
      <c r="F97" s="30" t="s">
        <v>2175</v>
      </c>
      <c r="G97" s="3" t="s">
        <v>1792</v>
      </c>
      <c r="H97" s="382"/>
      <c r="I97" s="442"/>
      <c r="J97" s="382"/>
      <c r="K97" s="382"/>
      <c r="L97" s="394"/>
    </row>
    <row r="98" spans="1:12" x14ac:dyDescent="0.3">
      <c r="A98" s="382"/>
      <c r="B98" s="442"/>
      <c r="C98" s="382"/>
      <c r="D98" s="382"/>
      <c r="E98" s="382"/>
      <c r="F98" s="30" t="s">
        <v>2183</v>
      </c>
      <c r="G98" s="3" t="s">
        <v>1792</v>
      </c>
      <c r="H98" s="382"/>
      <c r="I98" s="442"/>
      <c r="J98" s="382"/>
      <c r="K98" s="382"/>
      <c r="L98" s="394"/>
    </row>
    <row r="99" spans="1:12" x14ac:dyDescent="0.3">
      <c r="A99" s="383"/>
      <c r="B99" s="443"/>
      <c r="C99" s="383"/>
      <c r="D99" s="383"/>
      <c r="E99" s="383"/>
      <c r="F99" s="30" t="s">
        <v>2184</v>
      </c>
      <c r="G99" s="3" t="s">
        <v>1792</v>
      </c>
      <c r="H99" s="383"/>
      <c r="I99" s="443"/>
      <c r="J99" s="383"/>
      <c r="K99" s="383"/>
      <c r="L99" s="394"/>
    </row>
    <row r="100" spans="1:12" x14ac:dyDescent="0.3">
      <c r="A100" s="381">
        <v>31</v>
      </c>
      <c r="B100" s="441" t="s">
        <v>1822</v>
      </c>
      <c r="C100" s="381">
        <v>2022</v>
      </c>
      <c r="D100" s="381" t="s">
        <v>2170</v>
      </c>
      <c r="E100" s="381" t="s">
        <v>1778</v>
      </c>
      <c r="F100" s="30" t="s">
        <v>2181</v>
      </c>
      <c r="G100" s="3" t="s">
        <v>1792</v>
      </c>
      <c r="H100" s="381">
        <v>1</v>
      </c>
      <c r="I100" s="441" t="s">
        <v>1825</v>
      </c>
      <c r="J100" s="381" t="s">
        <v>1565</v>
      </c>
      <c r="K100" s="381" t="s">
        <v>2200</v>
      </c>
      <c r="L100" s="394"/>
    </row>
    <row r="101" spans="1:12" x14ac:dyDescent="0.3">
      <c r="A101" s="382"/>
      <c r="B101" s="442"/>
      <c r="C101" s="382"/>
      <c r="D101" s="382"/>
      <c r="E101" s="382"/>
      <c r="F101" s="30" t="s">
        <v>2182</v>
      </c>
      <c r="G101" s="3" t="s">
        <v>1795</v>
      </c>
      <c r="H101" s="382"/>
      <c r="I101" s="442"/>
      <c r="J101" s="382"/>
      <c r="K101" s="382"/>
      <c r="L101" s="394"/>
    </row>
    <row r="102" spans="1:12" x14ac:dyDescent="0.3">
      <c r="A102" s="382"/>
      <c r="B102" s="442"/>
      <c r="C102" s="382"/>
      <c r="D102" s="382"/>
      <c r="E102" s="382"/>
      <c r="F102" s="30" t="s">
        <v>2175</v>
      </c>
      <c r="G102" s="3" t="s">
        <v>1792</v>
      </c>
      <c r="H102" s="382"/>
      <c r="I102" s="442"/>
      <c r="J102" s="382"/>
      <c r="K102" s="382"/>
      <c r="L102" s="394"/>
    </row>
    <row r="103" spans="1:12" x14ac:dyDescent="0.3">
      <c r="A103" s="382"/>
      <c r="B103" s="442"/>
      <c r="C103" s="382"/>
      <c r="D103" s="382"/>
      <c r="E103" s="382"/>
      <c r="F103" s="30" t="s">
        <v>2183</v>
      </c>
      <c r="G103" s="3" t="s">
        <v>1792</v>
      </c>
      <c r="H103" s="382"/>
      <c r="I103" s="442"/>
      <c r="J103" s="382"/>
      <c r="K103" s="382"/>
      <c r="L103" s="394"/>
    </row>
    <row r="104" spans="1:12" x14ac:dyDescent="0.3">
      <c r="A104" s="383"/>
      <c r="B104" s="443"/>
      <c r="C104" s="383"/>
      <c r="D104" s="383"/>
      <c r="E104" s="383"/>
      <c r="F104" s="30" t="s">
        <v>2184</v>
      </c>
      <c r="G104" s="3" t="s">
        <v>1792</v>
      </c>
      <c r="H104" s="383"/>
      <c r="I104" s="443"/>
      <c r="J104" s="383"/>
      <c r="K104" s="383"/>
      <c r="L104" s="394"/>
    </row>
    <row r="105" spans="1:12" x14ac:dyDescent="0.3">
      <c r="A105" s="381">
        <v>32</v>
      </c>
      <c r="B105" s="441" t="s">
        <v>1822</v>
      </c>
      <c r="C105" s="381">
        <v>2022</v>
      </c>
      <c r="D105" s="381" t="s">
        <v>2171</v>
      </c>
      <c r="E105" s="381" t="s">
        <v>1778</v>
      </c>
      <c r="F105" s="30" t="s">
        <v>2181</v>
      </c>
      <c r="G105" s="3" t="s">
        <v>1792</v>
      </c>
      <c r="H105" s="381">
        <v>1</v>
      </c>
      <c r="I105" s="441" t="s">
        <v>1826</v>
      </c>
      <c r="J105" s="381" t="s">
        <v>1564</v>
      </c>
      <c r="K105" s="381" t="s">
        <v>2201</v>
      </c>
      <c r="L105" s="394"/>
    </row>
    <row r="106" spans="1:12" x14ac:dyDescent="0.3">
      <c r="A106" s="382"/>
      <c r="B106" s="442"/>
      <c r="C106" s="382"/>
      <c r="D106" s="382"/>
      <c r="E106" s="382"/>
      <c r="F106" s="30" t="s">
        <v>2182</v>
      </c>
      <c r="G106" s="3" t="s">
        <v>1795</v>
      </c>
      <c r="H106" s="382"/>
      <c r="I106" s="442"/>
      <c r="J106" s="382"/>
      <c r="K106" s="382"/>
      <c r="L106" s="394"/>
    </row>
    <row r="107" spans="1:12" x14ac:dyDescent="0.3">
      <c r="A107" s="382"/>
      <c r="B107" s="442"/>
      <c r="C107" s="382"/>
      <c r="D107" s="382"/>
      <c r="E107" s="382"/>
      <c r="F107" s="30" t="s">
        <v>2175</v>
      </c>
      <c r="G107" s="3" t="s">
        <v>1792</v>
      </c>
      <c r="H107" s="382"/>
      <c r="I107" s="442"/>
      <c r="J107" s="382"/>
      <c r="K107" s="382"/>
      <c r="L107" s="394"/>
    </row>
    <row r="108" spans="1:12" x14ac:dyDescent="0.3">
      <c r="A108" s="382"/>
      <c r="B108" s="442"/>
      <c r="C108" s="382"/>
      <c r="D108" s="382"/>
      <c r="E108" s="382"/>
      <c r="F108" s="30" t="s">
        <v>2183</v>
      </c>
      <c r="G108" s="3" t="s">
        <v>1792</v>
      </c>
      <c r="H108" s="382"/>
      <c r="I108" s="442"/>
      <c r="J108" s="382"/>
      <c r="K108" s="382"/>
      <c r="L108" s="394"/>
    </row>
    <row r="109" spans="1:12" x14ac:dyDescent="0.3">
      <c r="A109" s="383"/>
      <c r="B109" s="443"/>
      <c r="C109" s="383"/>
      <c r="D109" s="383"/>
      <c r="E109" s="383"/>
      <c r="F109" s="30" t="s">
        <v>2184</v>
      </c>
      <c r="G109" s="3" t="s">
        <v>1792</v>
      </c>
      <c r="H109" s="383"/>
      <c r="I109" s="443"/>
      <c r="J109" s="383"/>
      <c r="K109" s="383"/>
      <c r="L109" s="394"/>
    </row>
    <row r="110" spans="1:12" x14ac:dyDescent="0.3">
      <c r="A110" s="381">
        <v>33</v>
      </c>
      <c r="B110" s="381" t="s">
        <v>1827</v>
      </c>
      <c r="C110" s="3">
        <v>2023</v>
      </c>
      <c r="D110" s="3" t="s">
        <v>2172</v>
      </c>
      <c r="E110" s="381" t="s">
        <v>1784</v>
      </c>
      <c r="F110" s="30" t="s">
        <v>4006</v>
      </c>
      <c r="G110" s="3" t="s">
        <v>1792</v>
      </c>
      <c r="H110" s="381">
        <v>1</v>
      </c>
      <c r="I110" s="441" t="s">
        <v>1828</v>
      </c>
      <c r="J110" s="381" t="s">
        <v>607</v>
      </c>
      <c r="K110" s="381" t="s">
        <v>2215</v>
      </c>
      <c r="L110" s="394"/>
    </row>
    <row r="111" spans="1:12" x14ac:dyDescent="0.3">
      <c r="A111" s="382"/>
      <c r="B111" s="382"/>
      <c r="C111" s="3"/>
      <c r="D111" s="3"/>
      <c r="E111" s="382"/>
      <c r="F111" s="30" t="s">
        <v>4007</v>
      </c>
      <c r="G111" s="3" t="s">
        <v>1792</v>
      </c>
      <c r="H111" s="382"/>
      <c r="I111" s="442"/>
      <c r="J111" s="382"/>
      <c r="K111" s="382"/>
      <c r="L111" s="394"/>
    </row>
    <row r="112" spans="1:12" x14ac:dyDescent="0.3">
      <c r="A112" s="382"/>
      <c r="B112" s="382"/>
      <c r="C112" s="3"/>
      <c r="D112" s="3"/>
      <c r="E112" s="382"/>
      <c r="F112" s="30" t="s">
        <v>4008</v>
      </c>
      <c r="G112" s="3" t="s">
        <v>1792</v>
      </c>
      <c r="H112" s="382"/>
      <c r="I112" s="442"/>
      <c r="J112" s="382"/>
      <c r="K112" s="382"/>
      <c r="L112" s="394"/>
    </row>
    <row r="113" spans="1:12" x14ac:dyDescent="0.3">
      <c r="A113" s="382"/>
      <c r="B113" s="382"/>
      <c r="C113" s="3"/>
      <c r="D113" s="3"/>
      <c r="E113" s="382"/>
      <c r="F113" s="30" t="s">
        <v>4009</v>
      </c>
      <c r="G113" s="3" t="s">
        <v>1792</v>
      </c>
      <c r="H113" s="382"/>
      <c r="I113" s="442"/>
      <c r="J113" s="382"/>
      <c r="K113" s="382"/>
      <c r="L113" s="394"/>
    </row>
    <row r="114" spans="1:12" x14ac:dyDescent="0.3">
      <c r="A114" s="382"/>
      <c r="B114" s="382"/>
      <c r="C114" s="3"/>
      <c r="D114" s="3"/>
      <c r="E114" s="382"/>
      <c r="F114" s="30" t="s">
        <v>4010</v>
      </c>
      <c r="G114" s="3" t="s">
        <v>1792</v>
      </c>
      <c r="H114" s="382"/>
      <c r="I114" s="442"/>
      <c r="J114" s="382"/>
      <c r="K114" s="382"/>
      <c r="L114" s="394"/>
    </row>
    <row r="115" spans="1:12" x14ac:dyDescent="0.3">
      <c r="A115" s="382"/>
      <c r="B115" s="382"/>
      <c r="C115" s="3"/>
      <c r="D115" s="3"/>
      <c r="E115" s="382"/>
      <c r="F115" s="30" t="s">
        <v>4011</v>
      </c>
      <c r="G115" s="3" t="s">
        <v>1792</v>
      </c>
      <c r="H115" s="382"/>
      <c r="I115" s="442"/>
      <c r="J115" s="382"/>
      <c r="K115" s="382"/>
      <c r="L115" s="394"/>
    </row>
    <row r="116" spans="1:12" x14ac:dyDescent="0.3">
      <c r="A116" s="382"/>
      <c r="B116" s="382"/>
      <c r="C116" s="3"/>
      <c r="D116" s="3"/>
      <c r="E116" s="382"/>
      <c r="F116" s="30" t="s">
        <v>4012</v>
      </c>
      <c r="G116" s="3" t="s">
        <v>1792</v>
      </c>
      <c r="H116" s="382"/>
      <c r="I116" s="442"/>
      <c r="J116" s="382"/>
      <c r="K116" s="382"/>
      <c r="L116" s="394"/>
    </row>
    <row r="117" spans="1:12" x14ac:dyDescent="0.3">
      <c r="A117" s="382"/>
      <c r="B117" s="382"/>
      <c r="C117" s="3"/>
      <c r="D117" s="3"/>
      <c r="E117" s="382"/>
      <c r="F117" s="30" t="s">
        <v>2193</v>
      </c>
      <c r="G117" s="3" t="s">
        <v>1792</v>
      </c>
      <c r="H117" s="382"/>
      <c r="I117" s="442"/>
      <c r="J117" s="382"/>
      <c r="K117" s="382"/>
      <c r="L117" s="394"/>
    </row>
    <row r="118" spans="1:12" x14ac:dyDescent="0.3">
      <c r="A118" s="382"/>
      <c r="B118" s="382"/>
      <c r="C118" s="3"/>
      <c r="D118" s="3"/>
      <c r="E118" s="382"/>
      <c r="F118" s="30" t="s">
        <v>2185</v>
      </c>
      <c r="G118" s="3" t="s">
        <v>1792</v>
      </c>
      <c r="H118" s="382"/>
      <c r="I118" s="442"/>
      <c r="J118" s="382"/>
      <c r="K118" s="382"/>
      <c r="L118" s="394"/>
    </row>
    <row r="119" spans="1:12" x14ac:dyDescent="0.3">
      <c r="A119" s="383"/>
      <c r="B119" s="383"/>
      <c r="C119" s="3"/>
      <c r="D119" s="3"/>
      <c r="E119" s="383"/>
      <c r="F119" s="30" t="s">
        <v>4013</v>
      </c>
      <c r="G119" s="3" t="s">
        <v>1792</v>
      </c>
      <c r="H119" s="383"/>
      <c r="I119" s="443"/>
      <c r="J119" s="383"/>
      <c r="K119" s="383"/>
      <c r="L119" s="394"/>
    </row>
    <row r="120" spans="1:12" x14ac:dyDescent="0.3">
      <c r="A120" s="381">
        <v>34</v>
      </c>
      <c r="B120" s="441" t="s">
        <v>1817</v>
      </c>
      <c r="C120" s="381">
        <v>2023</v>
      </c>
      <c r="D120" s="381" t="s">
        <v>2174</v>
      </c>
      <c r="E120" s="381" t="s">
        <v>1784</v>
      </c>
      <c r="F120" s="30" t="s">
        <v>2177</v>
      </c>
      <c r="G120" s="3" t="s">
        <v>1792</v>
      </c>
      <c r="H120" s="381">
        <v>1</v>
      </c>
      <c r="I120" s="441" t="s">
        <v>2173</v>
      </c>
      <c r="J120" s="381" t="s">
        <v>387</v>
      </c>
      <c r="K120" s="381" t="s">
        <v>2214</v>
      </c>
      <c r="L120" s="394"/>
    </row>
    <row r="121" spans="1:12" x14ac:dyDescent="0.3">
      <c r="A121" s="382"/>
      <c r="B121" s="442"/>
      <c r="C121" s="382"/>
      <c r="D121" s="382"/>
      <c r="E121" s="382"/>
      <c r="F121" s="30" t="s">
        <v>2175</v>
      </c>
      <c r="G121" s="3" t="s">
        <v>1792</v>
      </c>
      <c r="H121" s="382"/>
      <c r="I121" s="442"/>
      <c r="J121" s="382"/>
      <c r="K121" s="382"/>
      <c r="L121" s="394"/>
    </row>
    <row r="122" spans="1:12" x14ac:dyDescent="0.3">
      <c r="A122" s="382"/>
      <c r="B122" s="442"/>
      <c r="C122" s="382"/>
      <c r="D122" s="382"/>
      <c r="E122" s="382"/>
      <c r="F122" s="30" t="s">
        <v>2176</v>
      </c>
      <c r="G122" s="3" t="s">
        <v>1792</v>
      </c>
      <c r="H122" s="382"/>
      <c r="I122" s="442"/>
      <c r="J122" s="382"/>
      <c r="K122" s="382"/>
      <c r="L122" s="394"/>
    </row>
    <row r="123" spans="1:12" x14ac:dyDescent="0.3">
      <c r="A123" s="383"/>
      <c r="B123" s="443"/>
      <c r="C123" s="383"/>
      <c r="D123" s="383"/>
      <c r="E123" s="383"/>
      <c r="F123" s="30" t="s">
        <v>2178</v>
      </c>
      <c r="G123" s="3" t="s">
        <v>1792</v>
      </c>
      <c r="H123" s="383"/>
      <c r="I123" s="443"/>
      <c r="J123" s="383"/>
      <c r="K123" s="383"/>
      <c r="L123" s="394"/>
    </row>
    <row r="124" spans="1:12" x14ac:dyDescent="0.3">
      <c r="A124" s="367">
        <v>35</v>
      </c>
      <c r="B124" s="367" t="s">
        <v>1812</v>
      </c>
      <c r="C124" s="367">
        <v>2023</v>
      </c>
      <c r="D124" s="367" t="s">
        <v>2216</v>
      </c>
      <c r="E124" s="367" t="s">
        <v>1785</v>
      </c>
      <c r="F124" s="30" t="s">
        <v>2217</v>
      </c>
      <c r="G124" s="3" t="s">
        <v>1795</v>
      </c>
      <c r="H124" s="367">
        <v>5</v>
      </c>
      <c r="I124" s="367" t="s">
        <v>2239</v>
      </c>
      <c r="J124" s="367" t="s">
        <v>2218</v>
      </c>
      <c r="K124" s="367" t="s">
        <v>2219</v>
      </c>
      <c r="L124" s="394"/>
    </row>
    <row r="125" spans="1:12" x14ac:dyDescent="0.3">
      <c r="A125" s="367"/>
      <c r="B125" s="367"/>
      <c r="C125" s="367"/>
      <c r="D125" s="367"/>
      <c r="E125" s="367"/>
      <c r="F125" s="30" t="s">
        <v>2220</v>
      </c>
      <c r="G125" s="3" t="s">
        <v>1795</v>
      </c>
      <c r="H125" s="367"/>
      <c r="I125" s="367"/>
      <c r="J125" s="367"/>
      <c r="K125" s="367"/>
      <c r="L125" s="394"/>
    </row>
    <row r="126" spans="1:12" x14ac:dyDescent="0.3">
      <c r="A126" s="367"/>
      <c r="B126" s="367"/>
      <c r="C126" s="367"/>
      <c r="D126" s="367"/>
      <c r="E126" s="367"/>
      <c r="F126" s="30" t="s">
        <v>2221</v>
      </c>
      <c r="G126" s="3" t="s">
        <v>1792</v>
      </c>
      <c r="H126" s="367"/>
      <c r="I126" s="367"/>
      <c r="J126" s="367"/>
      <c r="K126" s="367"/>
      <c r="L126" s="394"/>
    </row>
    <row r="127" spans="1:12" x14ac:dyDescent="0.3">
      <c r="A127" s="367"/>
      <c r="B127" s="367"/>
      <c r="C127" s="367"/>
      <c r="D127" s="367"/>
      <c r="E127" s="367"/>
      <c r="F127" s="30" t="s">
        <v>2222</v>
      </c>
      <c r="G127" s="3" t="s">
        <v>1795</v>
      </c>
      <c r="H127" s="367"/>
      <c r="I127" s="367"/>
      <c r="J127" s="367"/>
      <c r="K127" s="367"/>
      <c r="L127" s="394"/>
    </row>
    <row r="128" spans="1:12" x14ac:dyDescent="0.3">
      <c r="A128" s="367"/>
      <c r="B128" s="367"/>
      <c r="C128" s="367"/>
      <c r="D128" s="367"/>
      <c r="E128" s="367"/>
      <c r="F128" s="30" t="s">
        <v>2223</v>
      </c>
      <c r="G128" s="3" t="s">
        <v>1792</v>
      </c>
      <c r="H128" s="367"/>
      <c r="I128" s="367"/>
      <c r="J128" s="367"/>
      <c r="K128" s="367"/>
      <c r="L128" s="394"/>
    </row>
    <row r="129" spans="1:12" x14ac:dyDescent="0.3">
      <c r="A129" s="367"/>
      <c r="B129" s="367"/>
      <c r="C129" s="367"/>
      <c r="D129" s="367"/>
      <c r="E129" s="367"/>
      <c r="F129" s="30" t="s">
        <v>2224</v>
      </c>
      <c r="G129" s="3" t="s">
        <v>1792</v>
      </c>
      <c r="H129" s="367"/>
      <c r="I129" s="367"/>
      <c r="J129" s="367"/>
      <c r="K129" s="367"/>
      <c r="L129" s="394"/>
    </row>
    <row r="130" spans="1:12" x14ac:dyDescent="0.3">
      <c r="A130" s="367"/>
      <c r="B130" s="367"/>
      <c r="C130" s="367"/>
      <c r="D130" s="367"/>
      <c r="E130" s="367"/>
      <c r="F130" s="30" t="s">
        <v>2225</v>
      </c>
      <c r="G130" s="3" t="s">
        <v>2226</v>
      </c>
      <c r="H130" s="367"/>
      <c r="I130" s="367"/>
      <c r="J130" s="367"/>
      <c r="K130" s="367"/>
      <c r="L130" s="394"/>
    </row>
    <row r="131" spans="1:12" x14ac:dyDescent="0.3">
      <c r="A131" s="367"/>
      <c r="B131" s="367"/>
      <c r="C131" s="367"/>
      <c r="D131" s="367"/>
      <c r="E131" s="367"/>
      <c r="F131" s="30" t="s">
        <v>2227</v>
      </c>
      <c r="G131" s="3" t="s">
        <v>1792</v>
      </c>
      <c r="H131" s="367"/>
      <c r="I131" s="367"/>
      <c r="J131" s="367"/>
      <c r="K131" s="367"/>
      <c r="L131" s="394"/>
    </row>
    <row r="132" spans="1:12" x14ac:dyDescent="0.3">
      <c r="A132" s="367"/>
      <c r="B132" s="367"/>
      <c r="C132" s="367"/>
      <c r="D132" s="367"/>
      <c r="E132" s="367"/>
      <c r="F132" s="30" t="s">
        <v>2228</v>
      </c>
      <c r="G132" s="3" t="s">
        <v>1792</v>
      </c>
      <c r="H132" s="367"/>
      <c r="I132" s="367"/>
      <c r="J132" s="367"/>
      <c r="K132" s="367"/>
      <c r="L132" s="394"/>
    </row>
    <row r="133" spans="1:12" x14ac:dyDescent="0.3">
      <c r="A133" s="367"/>
      <c r="B133" s="367"/>
      <c r="C133" s="367"/>
      <c r="D133" s="367"/>
      <c r="E133" s="367"/>
      <c r="F133" s="30" t="s">
        <v>2175</v>
      </c>
      <c r="G133" s="3" t="s">
        <v>1792</v>
      </c>
      <c r="H133" s="367"/>
      <c r="I133" s="367"/>
      <c r="J133" s="367"/>
      <c r="K133" s="367"/>
      <c r="L133" s="394"/>
    </row>
    <row r="134" spans="1:12" x14ac:dyDescent="0.3">
      <c r="A134" s="367"/>
      <c r="B134" s="367"/>
      <c r="C134" s="367"/>
      <c r="D134" s="367"/>
      <c r="E134" s="367"/>
      <c r="F134" s="30" t="s">
        <v>2229</v>
      </c>
      <c r="G134" s="3" t="s">
        <v>2226</v>
      </c>
      <c r="H134" s="367"/>
      <c r="I134" s="367"/>
      <c r="J134" s="367"/>
      <c r="K134" s="367"/>
      <c r="L134" s="394"/>
    </row>
    <row r="135" spans="1:12" x14ac:dyDescent="0.3">
      <c r="A135" s="367"/>
      <c r="B135" s="367"/>
      <c r="C135" s="367"/>
      <c r="D135" s="367" t="s">
        <v>2230</v>
      </c>
      <c r="E135" s="367"/>
      <c r="F135" s="30" t="s">
        <v>2217</v>
      </c>
      <c r="G135" s="3" t="s">
        <v>1795</v>
      </c>
      <c r="H135" s="367"/>
      <c r="I135" s="367"/>
      <c r="J135" s="444" t="s">
        <v>2231</v>
      </c>
      <c r="K135" s="367"/>
      <c r="L135" s="394"/>
    </row>
    <row r="136" spans="1:12" x14ac:dyDescent="0.3">
      <c r="A136" s="367"/>
      <c r="B136" s="367"/>
      <c r="C136" s="367"/>
      <c r="D136" s="367"/>
      <c r="E136" s="367"/>
      <c r="F136" s="30" t="s">
        <v>2220</v>
      </c>
      <c r="G136" s="3" t="s">
        <v>1795</v>
      </c>
      <c r="H136" s="367"/>
      <c r="I136" s="367"/>
      <c r="J136" s="444"/>
      <c r="K136" s="367"/>
      <c r="L136" s="394"/>
    </row>
    <row r="137" spans="1:12" x14ac:dyDescent="0.3">
      <c r="A137" s="367"/>
      <c r="B137" s="367"/>
      <c r="C137" s="367"/>
      <c r="D137" s="367"/>
      <c r="E137" s="367"/>
      <c r="F137" s="30" t="s">
        <v>2221</v>
      </c>
      <c r="G137" s="3" t="s">
        <v>1792</v>
      </c>
      <c r="H137" s="367"/>
      <c r="I137" s="367"/>
      <c r="J137" s="444"/>
      <c r="K137" s="367"/>
      <c r="L137" s="394"/>
    </row>
    <row r="138" spans="1:12" x14ac:dyDescent="0.3">
      <c r="A138" s="367"/>
      <c r="B138" s="367"/>
      <c r="C138" s="367"/>
      <c r="D138" s="367"/>
      <c r="E138" s="367"/>
      <c r="F138" s="30" t="s">
        <v>2222</v>
      </c>
      <c r="G138" s="3" t="s">
        <v>1795</v>
      </c>
      <c r="H138" s="367"/>
      <c r="I138" s="367"/>
      <c r="J138" s="444"/>
      <c r="K138" s="367"/>
      <c r="L138" s="394"/>
    </row>
    <row r="139" spans="1:12" x14ac:dyDescent="0.3">
      <c r="A139" s="367"/>
      <c r="B139" s="367"/>
      <c r="C139" s="367"/>
      <c r="D139" s="367"/>
      <c r="E139" s="367"/>
      <c r="F139" s="30" t="s">
        <v>2223</v>
      </c>
      <c r="G139" s="3" t="s">
        <v>1792</v>
      </c>
      <c r="H139" s="367"/>
      <c r="I139" s="367"/>
      <c r="J139" s="444"/>
      <c r="K139" s="367"/>
      <c r="L139" s="394"/>
    </row>
    <row r="140" spans="1:12" x14ac:dyDescent="0.3">
      <c r="A140" s="367"/>
      <c r="B140" s="367"/>
      <c r="C140" s="367"/>
      <c r="D140" s="367"/>
      <c r="E140" s="367"/>
      <c r="F140" s="30" t="s">
        <v>2224</v>
      </c>
      <c r="G140" s="3" t="s">
        <v>1792</v>
      </c>
      <c r="H140" s="367"/>
      <c r="I140" s="367"/>
      <c r="J140" s="444"/>
      <c r="K140" s="367"/>
      <c r="L140" s="394"/>
    </row>
    <row r="141" spans="1:12" x14ac:dyDescent="0.3">
      <c r="A141" s="367"/>
      <c r="B141" s="367"/>
      <c r="C141" s="367"/>
      <c r="D141" s="367"/>
      <c r="E141" s="367"/>
      <c r="F141" s="30" t="s">
        <v>2225</v>
      </c>
      <c r="G141" s="3" t="s">
        <v>2226</v>
      </c>
      <c r="H141" s="367"/>
      <c r="I141" s="367"/>
      <c r="J141" s="444"/>
      <c r="K141" s="367"/>
      <c r="L141" s="394"/>
    </row>
    <row r="142" spans="1:12" x14ac:dyDescent="0.3">
      <c r="A142" s="367"/>
      <c r="B142" s="367"/>
      <c r="C142" s="367"/>
      <c r="D142" s="367"/>
      <c r="E142" s="367"/>
      <c r="F142" s="30" t="s">
        <v>2227</v>
      </c>
      <c r="G142" s="3" t="s">
        <v>1792</v>
      </c>
      <c r="H142" s="367"/>
      <c r="I142" s="367"/>
      <c r="J142" s="444"/>
      <c r="K142" s="367"/>
      <c r="L142" s="394"/>
    </row>
    <row r="143" spans="1:12" x14ac:dyDescent="0.3">
      <c r="A143" s="367"/>
      <c r="B143" s="367"/>
      <c r="C143" s="367"/>
      <c r="D143" s="367"/>
      <c r="E143" s="367"/>
      <c r="F143" s="30" t="s">
        <v>2183</v>
      </c>
      <c r="G143" s="3" t="s">
        <v>1792</v>
      </c>
      <c r="H143" s="367"/>
      <c r="I143" s="367"/>
      <c r="J143" s="444"/>
      <c r="K143" s="367"/>
      <c r="L143" s="394"/>
    </row>
    <row r="144" spans="1:12" x14ac:dyDescent="0.3">
      <c r="A144" s="367"/>
      <c r="B144" s="367"/>
      <c r="C144" s="367"/>
      <c r="D144" s="367"/>
      <c r="E144" s="367"/>
      <c r="F144" s="30" t="s">
        <v>2175</v>
      </c>
      <c r="G144" s="3" t="s">
        <v>1792</v>
      </c>
      <c r="H144" s="367"/>
      <c r="I144" s="367"/>
      <c r="J144" s="444"/>
      <c r="K144" s="367"/>
      <c r="L144" s="394"/>
    </row>
    <row r="145" spans="1:12" x14ac:dyDescent="0.3">
      <c r="A145" s="367"/>
      <c r="B145" s="367"/>
      <c r="C145" s="367"/>
      <c r="D145" s="367"/>
      <c r="E145" s="367"/>
      <c r="F145" s="30" t="s">
        <v>2229</v>
      </c>
      <c r="G145" s="3" t="s">
        <v>2226</v>
      </c>
      <c r="H145" s="367"/>
      <c r="I145" s="367"/>
      <c r="J145" s="444"/>
      <c r="K145" s="367"/>
      <c r="L145" s="394"/>
    </row>
    <row r="146" spans="1:12" x14ac:dyDescent="0.3">
      <c r="A146" s="367"/>
      <c r="B146" s="367"/>
      <c r="C146" s="367"/>
      <c r="D146" s="367" t="s">
        <v>2232</v>
      </c>
      <c r="E146" s="367"/>
      <c r="F146" s="30" t="s">
        <v>2217</v>
      </c>
      <c r="G146" s="3" t="s">
        <v>1795</v>
      </c>
      <c r="H146" s="367"/>
      <c r="I146" s="367"/>
      <c r="J146" s="367" t="s">
        <v>2233</v>
      </c>
      <c r="K146" s="367"/>
      <c r="L146" s="394"/>
    </row>
    <row r="147" spans="1:12" x14ac:dyDescent="0.3">
      <c r="A147" s="367"/>
      <c r="B147" s="367"/>
      <c r="C147" s="367"/>
      <c r="D147" s="367"/>
      <c r="E147" s="367"/>
      <c r="F147" s="30" t="s">
        <v>2220</v>
      </c>
      <c r="G147" s="3" t="s">
        <v>1795</v>
      </c>
      <c r="H147" s="367"/>
      <c r="I147" s="367"/>
      <c r="J147" s="367"/>
      <c r="K147" s="367"/>
      <c r="L147" s="394"/>
    </row>
    <row r="148" spans="1:12" x14ac:dyDescent="0.3">
      <c r="A148" s="367"/>
      <c r="B148" s="367"/>
      <c r="C148" s="367"/>
      <c r="D148" s="367"/>
      <c r="E148" s="367"/>
      <c r="F148" s="30" t="s">
        <v>2221</v>
      </c>
      <c r="G148" s="3" t="s">
        <v>1792</v>
      </c>
      <c r="H148" s="367"/>
      <c r="I148" s="367"/>
      <c r="J148" s="367"/>
      <c r="K148" s="367"/>
      <c r="L148" s="394"/>
    </row>
    <row r="149" spans="1:12" x14ac:dyDescent="0.3">
      <c r="A149" s="367"/>
      <c r="B149" s="367"/>
      <c r="C149" s="367"/>
      <c r="D149" s="367"/>
      <c r="E149" s="367"/>
      <c r="F149" s="30" t="s">
        <v>2222</v>
      </c>
      <c r="G149" s="3" t="s">
        <v>1795</v>
      </c>
      <c r="H149" s="367"/>
      <c r="I149" s="367"/>
      <c r="J149" s="367"/>
      <c r="K149" s="367"/>
      <c r="L149" s="394"/>
    </row>
    <row r="150" spans="1:12" x14ac:dyDescent="0.3">
      <c r="A150" s="367"/>
      <c r="B150" s="367"/>
      <c r="C150" s="367"/>
      <c r="D150" s="367"/>
      <c r="E150" s="367"/>
      <c r="F150" s="30" t="s">
        <v>2223</v>
      </c>
      <c r="G150" s="3" t="s">
        <v>1792</v>
      </c>
      <c r="H150" s="367"/>
      <c r="I150" s="367"/>
      <c r="J150" s="367"/>
      <c r="K150" s="367"/>
      <c r="L150" s="394"/>
    </row>
    <row r="151" spans="1:12" x14ac:dyDescent="0.3">
      <c r="A151" s="367"/>
      <c r="B151" s="367"/>
      <c r="C151" s="367"/>
      <c r="D151" s="367"/>
      <c r="E151" s="367"/>
      <c r="F151" s="30" t="s">
        <v>2224</v>
      </c>
      <c r="G151" s="3" t="s">
        <v>1792</v>
      </c>
      <c r="H151" s="367"/>
      <c r="I151" s="367"/>
      <c r="J151" s="367"/>
      <c r="K151" s="367"/>
      <c r="L151" s="394"/>
    </row>
    <row r="152" spans="1:12" x14ac:dyDescent="0.3">
      <c r="A152" s="367"/>
      <c r="B152" s="367"/>
      <c r="C152" s="367"/>
      <c r="D152" s="367"/>
      <c r="E152" s="367"/>
      <c r="F152" s="30" t="s">
        <v>2225</v>
      </c>
      <c r="G152" s="3" t="s">
        <v>2226</v>
      </c>
      <c r="H152" s="367"/>
      <c r="I152" s="367"/>
      <c r="J152" s="367"/>
      <c r="K152" s="367"/>
      <c r="L152" s="394"/>
    </row>
    <row r="153" spans="1:12" x14ac:dyDescent="0.3">
      <c r="A153" s="367"/>
      <c r="B153" s="367"/>
      <c r="C153" s="367"/>
      <c r="D153" s="367"/>
      <c r="E153" s="367"/>
      <c r="F153" s="30" t="s">
        <v>2227</v>
      </c>
      <c r="G153" s="3" t="s">
        <v>1792</v>
      </c>
      <c r="H153" s="367"/>
      <c r="I153" s="367"/>
      <c r="J153" s="367"/>
      <c r="K153" s="367"/>
      <c r="L153" s="394"/>
    </row>
    <row r="154" spans="1:12" x14ac:dyDescent="0.3">
      <c r="A154" s="367"/>
      <c r="B154" s="367"/>
      <c r="C154" s="367"/>
      <c r="D154" s="367"/>
      <c r="E154" s="367"/>
      <c r="F154" s="30" t="s">
        <v>2183</v>
      </c>
      <c r="G154" s="3" t="s">
        <v>1792</v>
      </c>
      <c r="H154" s="367"/>
      <c r="I154" s="367"/>
      <c r="J154" s="367"/>
      <c r="K154" s="367"/>
      <c r="L154" s="394"/>
    </row>
    <row r="155" spans="1:12" x14ac:dyDescent="0.3">
      <c r="A155" s="367"/>
      <c r="B155" s="367"/>
      <c r="C155" s="367"/>
      <c r="D155" s="367"/>
      <c r="E155" s="367"/>
      <c r="F155" s="30" t="s">
        <v>2234</v>
      </c>
      <c r="G155" s="3" t="s">
        <v>1792</v>
      </c>
      <c r="H155" s="367"/>
      <c r="I155" s="367"/>
      <c r="J155" s="367"/>
      <c r="K155" s="367"/>
      <c r="L155" s="394"/>
    </row>
    <row r="156" spans="1:12" x14ac:dyDescent="0.3">
      <c r="A156" s="367"/>
      <c r="B156" s="367"/>
      <c r="C156" s="367"/>
      <c r="D156" s="367"/>
      <c r="E156" s="367"/>
      <c r="F156" s="30" t="s">
        <v>2229</v>
      </c>
      <c r="G156" s="3" t="s">
        <v>2226</v>
      </c>
      <c r="H156" s="367"/>
      <c r="I156" s="367"/>
      <c r="J156" s="367"/>
      <c r="K156" s="367"/>
      <c r="L156" s="394"/>
    </row>
    <row r="157" spans="1:12" x14ac:dyDescent="0.3">
      <c r="A157" s="367"/>
      <c r="B157" s="367"/>
      <c r="C157" s="367"/>
      <c r="D157" s="367" t="s">
        <v>2235</v>
      </c>
      <c r="E157" s="367"/>
      <c r="F157" s="30" t="s">
        <v>2217</v>
      </c>
      <c r="G157" s="3" t="s">
        <v>1795</v>
      </c>
      <c r="H157" s="367"/>
      <c r="I157" s="367"/>
      <c r="J157" s="367" t="s">
        <v>2236</v>
      </c>
      <c r="K157" s="367"/>
      <c r="L157" s="394"/>
    </row>
    <row r="158" spans="1:12" x14ac:dyDescent="0.3">
      <c r="A158" s="367"/>
      <c r="B158" s="367"/>
      <c r="C158" s="367"/>
      <c r="D158" s="367"/>
      <c r="E158" s="367"/>
      <c r="F158" s="30" t="s">
        <v>2220</v>
      </c>
      <c r="G158" s="3" t="s">
        <v>1795</v>
      </c>
      <c r="H158" s="367"/>
      <c r="I158" s="367"/>
      <c r="J158" s="367"/>
      <c r="K158" s="367"/>
      <c r="L158" s="394"/>
    </row>
    <row r="159" spans="1:12" x14ac:dyDescent="0.3">
      <c r="A159" s="367"/>
      <c r="B159" s="367"/>
      <c r="C159" s="367"/>
      <c r="D159" s="367"/>
      <c r="E159" s="367"/>
      <c r="F159" s="30" t="s">
        <v>2221</v>
      </c>
      <c r="G159" s="3" t="s">
        <v>1792</v>
      </c>
      <c r="H159" s="367"/>
      <c r="I159" s="367"/>
      <c r="J159" s="367"/>
      <c r="K159" s="367"/>
      <c r="L159" s="394"/>
    </row>
    <row r="160" spans="1:12" x14ac:dyDescent="0.3">
      <c r="A160" s="367"/>
      <c r="B160" s="367"/>
      <c r="C160" s="367"/>
      <c r="D160" s="367"/>
      <c r="E160" s="367"/>
      <c r="F160" s="30" t="s">
        <v>2222</v>
      </c>
      <c r="G160" s="3" t="s">
        <v>1795</v>
      </c>
      <c r="H160" s="367"/>
      <c r="I160" s="367"/>
      <c r="J160" s="367"/>
      <c r="K160" s="367"/>
      <c r="L160" s="394"/>
    </row>
    <row r="161" spans="1:12" x14ac:dyDescent="0.3">
      <c r="A161" s="367"/>
      <c r="B161" s="367"/>
      <c r="C161" s="367"/>
      <c r="D161" s="367"/>
      <c r="E161" s="367"/>
      <c r="F161" s="30" t="s">
        <v>2223</v>
      </c>
      <c r="G161" s="3" t="s">
        <v>1792</v>
      </c>
      <c r="H161" s="367"/>
      <c r="I161" s="367"/>
      <c r="J161" s="367"/>
      <c r="K161" s="367"/>
      <c r="L161" s="394"/>
    </row>
    <row r="162" spans="1:12" x14ac:dyDescent="0.3">
      <c r="A162" s="367"/>
      <c r="B162" s="367"/>
      <c r="C162" s="367"/>
      <c r="D162" s="367"/>
      <c r="E162" s="367"/>
      <c r="F162" s="30" t="s">
        <v>2224</v>
      </c>
      <c r="G162" s="3" t="s">
        <v>1792</v>
      </c>
      <c r="H162" s="367"/>
      <c r="I162" s="367"/>
      <c r="J162" s="367"/>
      <c r="K162" s="367"/>
      <c r="L162" s="394"/>
    </row>
    <row r="163" spans="1:12" x14ac:dyDescent="0.3">
      <c r="A163" s="367"/>
      <c r="B163" s="367"/>
      <c r="C163" s="367"/>
      <c r="D163" s="367"/>
      <c r="E163" s="367"/>
      <c r="F163" s="30" t="s">
        <v>2225</v>
      </c>
      <c r="G163" s="3" t="s">
        <v>2226</v>
      </c>
      <c r="H163" s="367"/>
      <c r="I163" s="367"/>
      <c r="J163" s="367"/>
      <c r="K163" s="367"/>
      <c r="L163" s="394"/>
    </row>
    <row r="164" spans="1:12" x14ac:dyDescent="0.3">
      <c r="A164" s="367"/>
      <c r="B164" s="367"/>
      <c r="C164" s="367"/>
      <c r="D164" s="367"/>
      <c r="E164" s="367"/>
      <c r="F164" s="30" t="s">
        <v>2227</v>
      </c>
      <c r="G164" s="3" t="s">
        <v>1792</v>
      </c>
      <c r="H164" s="367"/>
      <c r="I164" s="367"/>
      <c r="J164" s="367"/>
      <c r="K164" s="367"/>
      <c r="L164" s="394"/>
    </row>
    <row r="165" spans="1:12" x14ac:dyDescent="0.3">
      <c r="A165" s="367"/>
      <c r="B165" s="367"/>
      <c r="C165" s="367"/>
      <c r="D165" s="367"/>
      <c r="E165" s="367"/>
      <c r="F165" s="30" t="s">
        <v>2183</v>
      </c>
      <c r="G165" s="3" t="s">
        <v>1792</v>
      </c>
      <c r="H165" s="367"/>
      <c r="I165" s="367"/>
      <c r="J165" s="367"/>
      <c r="K165" s="367"/>
      <c r="L165" s="394"/>
    </row>
    <row r="166" spans="1:12" x14ac:dyDescent="0.3">
      <c r="A166" s="367"/>
      <c r="B166" s="367"/>
      <c r="C166" s="367"/>
      <c r="D166" s="367"/>
      <c r="E166" s="367"/>
      <c r="F166" s="30" t="s">
        <v>2234</v>
      </c>
      <c r="G166" s="3" t="s">
        <v>1792</v>
      </c>
      <c r="H166" s="367"/>
      <c r="I166" s="367"/>
      <c r="J166" s="367"/>
      <c r="K166" s="367"/>
      <c r="L166" s="394"/>
    </row>
    <row r="167" spans="1:12" x14ac:dyDescent="0.3">
      <c r="A167" s="367"/>
      <c r="B167" s="367"/>
      <c r="C167" s="367"/>
      <c r="D167" s="367"/>
      <c r="E167" s="367"/>
      <c r="F167" s="30" t="s">
        <v>2229</v>
      </c>
      <c r="G167" s="3" t="s">
        <v>2226</v>
      </c>
      <c r="H167" s="367"/>
      <c r="I167" s="367"/>
      <c r="J167" s="367"/>
      <c r="K167" s="367"/>
      <c r="L167" s="394"/>
    </row>
    <row r="168" spans="1:12" x14ac:dyDescent="0.3">
      <c r="A168" s="367"/>
      <c r="B168" s="367"/>
      <c r="C168" s="367"/>
      <c r="D168" s="367" t="s">
        <v>2237</v>
      </c>
      <c r="E168" s="367"/>
      <c r="F168" s="30" t="s">
        <v>2217</v>
      </c>
      <c r="G168" s="3" t="s">
        <v>1795</v>
      </c>
      <c r="H168" s="367"/>
      <c r="I168" s="367"/>
      <c r="J168" s="367" t="s">
        <v>2238</v>
      </c>
      <c r="K168" s="367"/>
      <c r="L168" s="394"/>
    </row>
    <row r="169" spans="1:12" x14ac:dyDescent="0.3">
      <c r="A169" s="367"/>
      <c r="B169" s="367"/>
      <c r="C169" s="367"/>
      <c r="D169" s="367"/>
      <c r="E169" s="367"/>
      <c r="F169" s="30" t="s">
        <v>2220</v>
      </c>
      <c r="G169" s="3" t="s">
        <v>1795</v>
      </c>
      <c r="H169" s="367"/>
      <c r="I169" s="367"/>
      <c r="J169" s="367"/>
      <c r="K169" s="367"/>
      <c r="L169" s="394"/>
    </row>
    <row r="170" spans="1:12" x14ac:dyDescent="0.3">
      <c r="A170" s="367"/>
      <c r="B170" s="367"/>
      <c r="C170" s="367"/>
      <c r="D170" s="367"/>
      <c r="E170" s="367"/>
      <c r="F170" s="30" t="s">
        <v>2221</v>
      </c>
      <c r="G170" s="3" t="s">
        <v>1792</v>
      </c>
      <c r="H170" s="367"/>
      <c r="I170" s="367"/>
      <c r="J170" s="367"/>
      <c r="K170" s="367"/>
      <c r="L170" s="394"/>
    </row>
    <row r="171" spans="1:12" x14ac:dyDescent="0.3">
      <c r="A171" s="367"/>
      <c r="B171" s="367"/>
      <c r="C171" s="367"/>
      <c r="D171" s="367"/>
      <c r="E171" s="367"/>
      <c r="F171" s="30" t="s">
        <v>2222</v>
      </c>
      <c r="G171" s="3" t="s">
        <v>1795</v>
      </c>
      <c r="H171" s="367"/>
      <c r="I171" s="367"/>
      <c r="J171" s="367"/>
      <c r="K171" s="367"/>
      <c r="L171" s="394"/>
    </row>
    <row r="172" spans="1:12" x14ac:dyDescent="0.3">
      <c r="A172" s="367"/>
      <c r="B172" s="367"/>
      <c r="C172" s="367"/>
      <c r="D172" s="367"/>
      <c r="E172" s="367"/>
      <c r="F172" s="30" t="s">
        <v>2223</v>
      </c>
      <c r="G172" s="3" t="s">
        <v>1792</v>
      </c>
      <c r="H172" s="367"/>
      <c r="I172" s="367"/>
      <c r="J172" s="367"/>
      <c r="K172" s="367"/>
      <c r="L172" s="394"/>
    </row>
    <row r="173" spans="1:12" x14ac:dyDescent="0.3">
      <c r="A173" s="367"/>
      <c r="B173" s="367"/>
      <c r="C173" s="367"/>
      <c r="D173" s="367"/>
      <c r="E173" s="367"/>
      <c r="F173" s="30" t="s">
        <v>2224</v>
      </c>
      <c r="G173" s="3" t="s">
        <v>1792</v>
      </c>
      <c r="H173" s="367"/>
      <c r="I173" s="367"/>
      <c r="J173" s="367"/>
      <c r="K173" s="367"/>
      <c r="L173" s="394"/>
    </row>
    <row r="174" spans="1:12" x14ac:dyDescent="0.3">
      <c r="A174" s="367"/>
      <c r="B174" s="367"/>
      <c r="C174" s="367"/>
      <c r="D174" s="367"/>
      <c r="E174" s="367"/>
      <c r="F174" s="30" t="s">
        <v>2225</v>
      </c>
      <c r="G174" s="3" t="s">
        <v>2226</v>
      </c>
      <c r="H174" s="367"/>
      <c r="I174" s="367"/>
      <c r="J174" s="367"/>
      <c r="K174" s="367"/>
      <c r="L174" s="394"/>
    </row>
    <row r="175" spans="1:12" x14ac:dyDescent="0.3">
      <c r="A175" s="367"/>
      <c r="B175" s="367"/>
      <c r="C175" s="367"/>
      <c r="D175" s="367"/>
      <c r="E175" s="367"/>
      <c r="F175" s="30" t="s">
        <v>2227</v>
      </c>
      <c r="G175" s="3" t="s">
        <v>1792</v>
      </c>
      <c r="H175" s="367"/>
      <c r="I175" s="367"/>
      <c r="J175" s="367"/>
      <c r="K175" s="367"/>
      <c r="L175" s="394"/>
    </row>
    <row r="176" spans="1:12" x14ac:dyDescent="0.3">
      <c r="A176" s="367"/>
      <c r="B176" s="367"/>
      <c r="C176" s="367"/>
      <c r="D176" s="367"/>
      <c r="E176" s="367"/>
      <c r="F176" s="30" t="s">
        <v>2183</v>
      </c>
      <c r="G176" s="3" t="s">
        <v>1792</v>
      </c>
      <c r="H176" s="367"/>
      <c r="I176" s="367"/>
      <c r="J176" s="367"/>
      <c r="K176" s="367"/>
      <c r="L176" s="394"/>
    </row>
    <row r="177" spans="1:12" x14ac:dyDescent="0.3">
      <c r="A177" s="367"/>
      <c r="B177" s="367"/>
      <c r="C177" s="367"/>
      <c r="D177" s="367"/>
      <c r="E177" s="367"/>
      <c r="F177" s="30" t="s">
        <v>2175</v>
      </c>
      <c r="G177" s="3" t="s">
        <v>1792</v>
      </c>
      <c r="H177" s="367"/>
      <c r="I177" s="367"/>
      <c r="J177" s="367"/>
      <c r="K177" s="367"/>
      <c r="L177" s="394"/>
    </row>
    <row r="178" spans="1:12" x14ac:dyDescent="0.3">
      <c r="A178" s="367"/>
      <c r="B178" s="367"/>
      <c r="C178" s="367"/>
      <c r="D178" s="367"/>
      <c r="E178" s="367"/>
      <c r="F178" s="30" t="s">
        <v>2229</v>
      </c>
      <c r="G178" s="3" t="s">
        <v>2226</v>
      </c>
      <c r="H178" s="367"/>
      <c r="I178" s="367"/>
      <c r="J178" s="367"/>
      <c r="K178" s="367"/>
      <c r="L178" s="394"/>
    </row>
    <row r="183" spans="1:12" ht="15" thickBot="1" x14ac:dyDescent="0.35"/>
    <row r="184" spans="1:12" ht="26.4" thickBot="1" x14ac:dyDescent="0.55000000000000004">
      <c r="B184" s="299" t="s">
        <v>4014</v>
      </c>
      <c r="C184" s="300" t="s">
        <v>4015</v>
      </c>
      <c r="D184" s="300" t="s">
        <v>1691</v>
      </c>
      <c r="E184" s="300" t="s">
        <v>4016</v>
      </c>
      <c r="F184" s="300" t="s">
        <v>1784</v>
      </c>
      <c r="G184" s="301" t="s">
        <v>1785</v>
      </c>
    </row>
    <row r="185" spans="1:12" ht="26.4" thickBot="1" x14ac:dyDescent="0.55000000000000004">
      <c r="B185" s="302" t="s">
        <v>4017</v>
      </c>
      <c r="C185" s="303" t="s">
        <v>4018</v>
      </c>
      <c r="D185" s="303" t="s">
        <v>4019</v>
      </c>
      <c r="E185" s="303" t="s">
        <v>4020</v>
      </c>
      <c r="F185" s="303" t="s">
        <v>4021</v>
      </c>
      <c r="G185" s="304" t="s">
        <v>4022</v>
      </c>
    </row>
    <row r="188" spans="1:12" ht="23.4" x14ac:dyDescent="0.3">
      <c r="B188" s="312" t="s">
        <v>4039</v>
      </c>
    </row>
  </sheetData>
  <autoFilter ref="A2:L178" xr:uid="{52A173A4-5FA8-45B2-8BA8-738AFF08207D}"/>
  <mergeCells count="177">
    <mergeCell ref="D168:D178"/>
    <mergeCell ref="J168:J178"/>
    <mergeCell ref="I120:I123"/>
    <mergeCell ref="J120:J123"/>
    <mergeCell ref="K120:K123"/>
    <mergeCell ref="A124:A178"/>
    <mergeCell ref="B124:B178"/>
    <mergeCell ref="C124:C178"/>
    <mergeCell ref="D124:D134"/>
    <mergeCell ref="E124:E178"/>
    <mergeCell ref="H124:H178"/>
    <mergeCell ref="A120:A123"/>
    <mergeCell ref="B120:B123"/>
    <mergeCell ref="C120:C123"/>
    <mergeCell ref="D120:D123"/>
    <mergeCell ref="D157:D167"/>
    <mergeCell ref="J157:J167"/>
    <mergeCell ref="E120:E123"/>
    <mergeCell ref="H120:H123"/>
    <mergeCell ref="J124:J134"/>
    <mergeCell ref="D135:D145"/>
    <mergeCell ref="D146:D156"/>
    <mergeCell ref="A105:A109"/>
    <mergeCell ref="B105:B109"/>
    <mergeCell ref="C105:C109"/>
    <mergeCell ref="D105:D109"/>
    <mergeCell ref="E105:E109"/>
    <mergeCell ref="A110:A119"/>
    <mergeCell ref="B110:B119"/>
    <mergeCell ref="E110:E119"/>
    <mergeCell ref="J105:J109"/>
    <mergeCell ref="J95:J99"/>
    <mergeCell ref="K95:K99"/>
    <mergeCell ref="J100:J104"/>
    <mergeCell ref="K100:K104"/>
    <mergeCell ref="I124:I178"/>
    <mergeCell ref="H105:H109"/>
    <mergeCell ref="I105:I109"/>
    <mergeCell ref="K124:K178"/>
    <mergeCell ref="J135:J145"/>
    <mergeCell ref="J146:J156"/>
    <mergeCell ref="K105:K109"/>
    <mergeCell ref="H110:H119"/>
    <mergeCell ref="I110:I119"/>
    <mergeCell ref="J110:J119"/>
    <mergeCell ref="K110:K119"/>
    <mergeCell ref="A100:A104"/>
    <mergeCell ref="B100:B104"/>
    <mergeCell ref="C100:C104"/>
    <mergeCell ref="D100:D104"/>
    <mergeCell ref="E100:E104"/>
    <mergeCell ref="H100:H104"/>
    <mergeCell ref="I100:I104"/>
    <mergeCell ref="A95:A99"/>
    <mergeCell ref="B95:B99"/>
    <mergeCell ref="C95:C99"/>
    <mergeCell ref="D95:D99"/>
    <mergeCell ref="E95:E99"/>
    <mergeCell ref="H95:H99"/>
    <mergeCell ref="I95:I99"/>
    <mergeCell ref="A90:A94"/>
    <mergeCell ref="B90:B94"/>
    <mergeCell ref="C90:C94"/>
    <mergeCell ref="D90:D94"/>
    <mergeCell ref="E90:E94"/>
    <mergeCell ref="H90:H94"/>
    <mergeCell ref="I90:I94"/>
    <mergeCell ref="J90:J94"/>
    <mergeCell ref="K90:K94"/>
    <mergeCell ref="I75:I76"/>
    <mergeCell ref="K75:K76"/>
    <mergeCell ref="A85:A89"/>
    <mergeCell ref="B85:B89"/>
    <mergeCell ref="C85:C89"/>
    <mergeCell ref="D85:D89"/>
    <mergeCell ref="E85:E89"/>
    <mergeCell ref="H85:H89"/>
    <mergeCell ref="I85:I89"/>
    <mergeCell ref="J85:J89"/>
    <mergeCell ref="K85:K89"/>
    <mergeCell ref="A72:A74"/>
    <mergeCell ref="B72:B74"/>
    <mergeCell ref="C72:C74"/>
    <mergeCell ref="E72:E74"/>
    <mergeCell ref="H72:H74"/>
    <mergeCell ref="I72:I74"/>
    <mergeCell ref="J72:J74"/>
    <mergeCell ref="K72:K74"/>
    <mergeCell ref="A62:A71"/>
    <mergeCell ref="B62:B71"/>
    <mergeCell ref="C62:C71"/>
    <mergeCell ref="E62:E71"/>
    <mergeCell ref="H62:H71"/>
    <mergeCell ref="I62:I71"/>
    <mergeCell ref="A49:A61"/>
    <mergeCell ref="B49:B61"/>
    <mergeCell ref="C49:C61"/>
    <mergeCell ref="E49:E61"/>
    <mergeCell ref="H49:H61"/>
    <mergeCell ref="I49:I61"/>
    <mergeCell ref="J49:J61"/>
    <mergeCell ref="K49:K61"/>
    <mergeCell ref="J62:J71"/>
    <mergeCell ref="K62:K71"/>
    <mergeCell ref="A44:A48"/>
    <mergeCell ref="B44:B48"/>
    <mergeCell ref="C44:C48"/>
    <mergeCell ref="D44:D48"/>
    <mergeCell ref="E44:E48"/>
    <mergeCell ref="H44:H48"/>
    <mergeCell ref="I44:I48"/>
    <mergeCell ref="J44:J48"/>
    <mergeCell ref="K44:K48"/>
    <mergeCell ref="I29:I33"/>
    <mergeCell ref="J29:J33"/>
    <mergeCell ref="K29:K33"/>
    <mergeCell ref="A34:A38"/>
    <mergeCell ref="B34:B38"/>
    <mergeCell ref="C34:C38"/>
    <mergeCell ref="D34:D38"/>
    <mergeCell ref="E34:E38"/>
    <mergeCell ref="H34:H38"/>
    <mergeCell ref="I34:I38"/>
    <mergeCell ref="A29:A33"/>
    <mergeCell ref="B29:B33"/>
    <mergeCell ref="C29:C33"/>
    <mergeCell ref="D29:D33"/>
    <mergeCell ref="E29:E33"/>
    <mergeCell ref="H29:H33"/>
    <mergeCell ref="J34:J38"/>
    <mergeCell ref="K34:K38"/>
    <mergeCell ref="A24:A28"/>
    <mergeCell ref="B24:B28"/>
    <mergeCell ref="C24:C28"/>
    <mergeCell ref="D24:D28"/>
    <mergeCell ref="E24:E28"/>
    <mergeCell ref="H24:H28"/>
    <mergeCell ref="I24:I28"/>
    <mergeCell ref="J24:J28"/>
    <mergeCell ref="K24:K28"/>
    <mergeCell ref="H13:H17"/>
    <mergeCell ref="I13:I17"/>
    <mergeCell ref="J13:J17"/>
    <mergeCell ref="K13:K17"/>
    <mergeCell ref="A18:A22"/>
    <mergeCell ref="B18:B22"/>
    <mergeCell ref="C18:C22"/>
    <mergeCell ref="D18:D22"/>
    <mergeCell ref="E18:E22"/>
    <mergeCell ref="H18:H22"/>
    <mergeCell ref="I18:I22"/>
    <mergeCell ref="J18:J22"/>
    <mergeCell ref="K18:K22"/>
    <mergeCell ref="I3:I7"/>
    <mergeCell ref="J3:J7"/>
    <mergeCell ref="K3:K7"/>
    <mergeCell ref="L3:L178"/>
    <mergeCell ref="A8:A12"/>
    <mergeCell ref="B8:B12"/>
    <mergeCell ref="C8:C12"/>
    <mergeCell ref="D8:D12"/>
    <mergeCell ref="E8:E12"/>
    <mergeCell ref="H8:H12"/>
    <mergeCell ref="A3:A7"/>
    <mergeCell ref="B3:B7"/>
    <mergeCell ref="C3:C7"/>
    <mergeCell ref="D3:D7"/>
    <mergeCell ref="E3:E7"/>
    <mergeCell ref="H3:H7"/>
    <mergeCell ref="I8:I12"/>
    <mergeCell ref="J8:J12"/>
    <mergeCell ref="K8:K12"/>
    <mergeCell ref="A13:A17"/>
    <mergeCell ref="B13:B17"/>
    <mergeCell ref="C13:C17"/>
    <mergeCell ref="D13:D17"/>
    <mergeCell ref="E13:E17"/>
  </mergeCells>
  <hyperlinks>
    <hyperlink ref="L3" r:id="rId1" xr:uid="{0DD48E4E-F873-4EC0-B198-CFB904CB166C}"/>
    <hyperlink ref="B188" location="'Daftar Sheet'!A1" display="&lt;&lt;&lt; Daftar Sheet" xr:uid="{9CA25F77-53E7-42CC-A0ED-F307A3038376}"/>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1C059-FD40-4406-874A-BFEB8E938F04}">
  <dimension ref="A2:O79"/>
  <sheetViews>
    <sheetView zoomScale="70" zoomScaleNormal="70" workbookViewId="0">
      <pane xSplit="2" ySplit="3" topLeftCell="O65" activePane="bottomRight" state="frozen"/>
      <selection pane="topRight" activeCell="C1" sqref="C1"/>
      <selection pane="bottomLeft" activeCell="A4" sqref="A4"/>
      <selection pane="bottomRight" activeCell="B79" sqref="B79"/>
    </sheetView>
  </sheetViews>
  <sheetFormatPr defaultRowHeight="14.4" x14ac:dyDescent="0.3"/>
  <cols>
    <col min="2" max="2" width="31.21875" style="14" customWidth="1"/>
    <col min="3" max="3" width="55.5546875" customWidth="1"/>
    <col min="4" max="4" width="51.44140625" customWidth="1"/>
    <col min="5" max="5" width="13.33203125" bestFit="1" customWidth="1"/>
    <col min="15" max="15" width="82.88671875" bestFit="1" customWidth="1"/>
  </cols>
  <sheetData>
    <row r="2" spans="1:15" ht="26.55" customHeight="1" x14ac:dyDescent="0.3">
      <c r="A2" s="451" t="s">
        <v>51</v>
      </c>
      <c r="B2" s="452" t="s">
        <v>52</v>
      </c>
      <c r="C2" s="451" t="s">
        <v>131</v>
      </c>
      <c r="D2" s="451" t="s">
        <v>1830</v>
      </c>
      <c r="E2" s="451" t="s">
        <v>1831</v>
      </c>
      <c r="F2" s="454" t="s">
        <v>1832</v>
      </c>
      <c r="G2" s="432"/>
      <c r="H2" s="409"/>
      <c r="I2" s="454" t="s">
        <v>1833</v>
      </c>
      <c r="J2" s="432"/>
      <c r="K2" s="409"/>
      <c r="L2" s="454" t="s">
        <v>1834</v>
      </c>
      <c r="M2" s="432"/>
      <c r="N2" s="432"/>
      <c r="O2" s="391" t="s">
        <v>137</v>
      </c>
    </row>
    <row r="3" spans="1:15" ht="28.8" x14ac:dyDescent="0.3">
      <c r="A3" s="407"/>
      <c r="B3" s="453"/>
      <c r="C3" s="407"/>
      <c r="D3" s="407"/>
      <c r="E3" s="407"/>
      <c r="F3" s="155" t="s">
        <v>1551</v>
      </c>
      <c r="G3" s="155" t="s">
        <v>1552</v>
      </c>
      <c r="H3" s="155" t="s">
        <v>1553</v>
      </c>
      <c r="I3" s="155" t="s">
        <v>307</v>
      </c>
      <c r="J3" s="155" t="s">
        <v>488</v>
      </c>
      <c r="K3" s="155" t="s">
        <v>1835</v>
      </c>
      <c r="L3" s="155" t="s">
        <v>1836</v>
      </c>
      <c r="M3" s="155" t="s">
        <v>1837</v>
      </c>
      <c r="N3" s="156" t="s">
        <v>1838</v>
      </c>
      <c r="O3" s="391"/>
    </row>
    <row r="4" spans="1:15" x14ac:dyDescent="0.3">
      <c r="A4" s="445">
        <v>1</v>
      </c>
      <c r="B4" s="152" t="s">
        <v>568</v>
      </c>
      <c r="C4" s="447" t="s">
        <v>236</v>
      </c>
      <c r="D4" s="447" t="s">
        <v>1839</v>
      </c>
      <c r="E4" s="449" t="s">
        <v>1840</v>
      </c>
      <c r="F4" s="449" t="s">
        <v>1016</v>
      </c>
      <c r="G4" s="449"/>
      <c r="H4" s="449"/>
      <c r="I4" s="449"/>
      <c r="J4" s="449" t="s">
        <v>1016</v>
      </c>
      <c r="K4" s="449"/>
      <c r="L4" s="449" t="s">
        <v>1016</v>
      </c>
      <c r="M4" s="449"/>
      <c r="N4" s="455"/>
      <c r="O4" s="387" t="s">
        <v>3979</v>
      </c>
    </row>
    <row r="5" spans="1:15" x14ac:dyDescent="0.3">
      <c r="A5" s="446"/>
      <c r="B5" s="152" t="s">
        <v>1020</v>
      </c>
      <c r="C5" s="448"/>
      <c r="D5" s="448"/>
      <c r="E5" s="450"/>
      <c r="F5" s="450"/>
      <c r="G5" s="450"/>
      <c r="H5" s="450"/>
      <c r="I5" s="450"/>
      <c r="J5" s="450"/>
      <c r="K5" s="450"/>
      <c r="L5" s="450"/>
      <c r="M5" s="450"/>
      <c r="N5" s="456"/>
      <c r="O5" s="382"/>
    </row>
    <row r="6" spans="1:15" x14ac:dyDescent="0.3">
      <c r="A6" s="445">
        <v>2</v>
      </c>
      <c r="B6" s="152" t="s">
        <v>362</v>
      </c>
      <c r="C6" s="447" t="s">
        <v>1841</v>
      </c>
      <c r="D6" s="447" t="s">
        <v>1842</v>
      </c>
      <c r="E6" s="449" t="s">
        <v>1840</v>
      </c>
      <c r="F6" s="449" t="s">
        <v>1016</v>
      </c>
      <c r="G6" s="449"/>
      <c r="H6" s="449"/>
      <c r="I6" s="449"/>
      <c r="J6" s="449" t="s">
        <v>1016</v>
      </c>
      <c r="K6" s="449"/>
      <c r="L6" s="449" t="s">
        <v>1016</v>
      </c>
      <c r="M6" s="449"/>
      <c r="N6" s="455"/>
      <c r="O6" s="382"/>
    </row>
    <row r="7" spans="1:15" x14ac:dyDescent="0.3">
      <c r="A7" s="446"/>
      <c r="B7" s="152" t="s">
        <v>370</v>
      </c>
      <c r="C7" s="448"/>
      <c r="D7" s="448"/>
      <c r="E7" s="450"/>
      <c r="F7" s="450"/>
      <c r="G7" s="450"/>
      <c r="H7" s="450"/>
      <c r="I7" s="450"/>
      <c r="J7" s="450"/>
      <c r="K7" s="450"/>
      <c r="L7" s="450"/>
      <c r="M7" s="450"/>
      <c r="N7" s="456"/>
      <c r="O7" s="382"/>
    </row>
    <row r="8" spans="1:15" x14ac:dyDescent="0.3">
      <c r="A8" s="445">
        <v>3</v>
      </c>
      <c r="B8" s="152" t="s">
        <v>401</v>
      </c>
      <c r="C8" s="447" t="s">
        <v>1843</v>
      </c>
      <c r="D8" s="447" t="s">
        <v>1844</v>
      </c>
      <c r="E8" s="449" t="s">
        <v>1840</v>
      </c>
      <c r="F8" s="449" t="s">
        <v>1016</v>
      </c>
      <c r="G8" s="449"/>
      <c r="H8" s="449"/>
      <c r="I8" s="449"/>
      <c r="J8" s="449" t="s">
        <v>1016</v>
      </c>
      <c r="K8" s="449"/>
      <c r="L8" s="449" t="s">
        <v>1016</v>
      </c>
      <c r="M8" s="449"/>
      <c r="N8" s="455"/>
      <c r="O8" s="382"/>
    </row>
    <row r="9" spans="1:15" x14ac:dyDescent="0.3">
      <c r="A9" s="446"/>
      <c r="B9" s="152" t="s">
        <v>607</v>
      </c>
      <c r="C9" s="448"/>
      <c r="D9" s="448"/>
      <c r="E9" s="450"/>
      <c r="F9" s="450"/>
      <c r="G9" s="450"/>
      <c r="H9" s="450"/>
      <c r="I9" s="450"/>
      <c r="J9" s="450"/>
      <c r="K9" s="450"/>
      <c r="L9" s="450"/>
      <c r="M9" s="450"/>
      <c r="N9" s="456"/>
      <c r="O9" s="382"/>
    </row>
    <row r="10" spans="1:15" x14ac:dyDescent="0.3">
      <c r="A10" s="445">
        <v>4</v>
      </c>
      <c r="B10" s="152" t="s">
        <v>401</v>
      </c>
      <c r="C10" s="447" t="s">
        <v>1845</v>
      </c>
      <c r="D10" s="447" t="s">
        <v>1844</v>
      </c>
      <c r="E10" s="449" t="s">
        <v>1840</v>
      </c>
      <c r="F10" s="449" t="s">
        <v>1016</v>
      </c>
      <c r="G10" s="449"/>
      <c r="H10" s="449"/>
      <c r="I10" s="449"/>
      <c r="J10" s="449" t="s">
        <v>1016</v>
      </c>
      <c r="K10" s="449"/>
      <c r="L10" s="449" t="s">
        <v>1016</v>
      </c>
      <c r="M10" s="449"/>
      <c r="N10" s="455"/>
      <c r="O10" s="382"/>
    </row>
    <row r="11" spans="1:15" x14ac:dyDescent="0.3">
      <c r="A11" s="457"/>
      <c r="B11" s="152" t="s">
        <v>607</v>
      </c>
      <c r="C11" s="458"/>
      <c r="D11" s="458"/>
      <c r="E11" s="459"/>
      <c r="F11" s="459"/>
      <c r="G11" s="459"/>
      <c r="H11" s="459"/>
      <c r="I11" s="459"/>
      <c r="J11" s="459"/>
      <c r="K11" s="459"/>
      <c r="L11" s="459"/>
      <c r="M11" s="459"/>
      <c r="N11" s="460"/>
      <c r="O11" s="382"/>
    </row>
    <row r="12" spans="1:15" x14ac:dyDescent="0.3">
      <c r="A12" s="446"/>
      <c r="B12" s="152" t="s">
        <v>366</v>
      </c>
      <c r="C12" s="448"/>
      <c r="D12" s="448"/>
      <c r="E12" s="450"/>
      <c r="F12" s="450"/>
      <c r="G12" s="450"/>
      <c r="H12" s="450"/>
      <c r="I12" s="450"/>
      <c r="J12" s="450"/>
      <c r="K12" s="450"/>
      <c r="L12" s="450"/>
      <c r="M12" s="450"/>
      <c r="N12" s="456"/>
      <c r="O12" s="382"/>
    </row>
    <row r="13" spans="1:15" x14ac:dyDescent="0.3">
      <c r="A13" s="445">
        <v>5</v>
      </c>
      <c r="B13" s="152" t="s">
        <v>1058</v>
      </c>
      <c r="C13" s="447" t="s">
        <v>1846</v>
      </c>
      <c r="D13" s="447" t="s">
        <v>1675</v>
      </c>
      <c r="E13" s="449" t="s">
        <v>1840</v>
      </c>
      <c r="F13" s="449" t="s">
        <v>1016</v>
      </c>
      <c r="G13" s="449"/>
      <c r="H13" s="449"/>
      <c r="I13" s="449"/>
      <c r="J13" s="449" t="s">
        <v>1016</v>
      </c>
      <c r="K13" s="449"/>
      <c r="L13" s="449" t="s">
        <v>1016</v>
      </c>
      <c r="M13" s="449"/>
      <c r="N13" s="455"/>
      <c r="O13" s="382"/>
    </row>
    <row r="14" spans="1:15" x14ac:dyDescent="0.3">
      <c r="A14" s="446"/>
      <c r="B14" s="152" t="s">
        <v>1028</v>
      </c>
      <c r="C14" s="448"/>
      <c r="D14" s="448"/>
      <c r="E14" s="450"/>
      <c r="F14" s="450"/>
      <c r="G14" s="450"/>
      <c r="H14" s="450"/>
      <c r="I14" s="450"/>
      <c r="J14" s="450"/>
      <c r="K14" s="450"/>
      <c r="L14" s="450"/>
      <c r="M14" s="450"/>
      <c r="N14" s="456"/>
      <c r="O14" s="382"/>
    </row>
    <row r="15" spans="1:15" x14ac:dyDescent="0.3">
      <c r="A15" s="445">
        <v>6</v>
      </c>
      <c r="B15" s="152" t="s">
        <v>546</v>
      </c>
      <c r="C15" s="447" t="s">
        <v>1847</v>
      </c>
      <c r="D15" s="447" t="s">
        <v>1675</v>
      </c>
      <c r="E15" s="449" t="s">
        <v>1840</v>
      </c>
      <c r="F15" s="449" t="s">
        <v>1016</v>
      </c>
      <c r="G15" s="449"/>
      <c r="H15" s="449"/>
      <c r="I15" s="449"/>
      <c r="J15" s="449" t="s">
        <v>1016</v>
      </c>
      <c r="K15" s="449"/>
      <c r="L15" s="449" t="s">
        <v>1016</v>
      </c>
      <c r="M15" s="449"/>
      <c r="N15" s="455"/>
      <c r="O15" s="382"/>
    </row>
    <row r="16" spans="1:15" x14ac:dyDescent="0.3">
      <c r="A16" s="457"/>
      <c r="B16" s="152" t="s">
        <v>1027</v>
      </c>
      <c r="C16" s="458"/>
      <c r="D16" s="458"/>
      <c r="E16" s="459"/>
      <c r="F16" s="459"/>
      <c r="G16" s="459"/>
      <c r="H16" s="459"/>
      <c r="I16" s="459"/>
      <c r="J16" s="459"/>
      <c r="K16" s="459"/>
      <c r="L16" s="459"/>
      <c r="M16" s="459"/>
      <c r="N16" s="460"/>
      <c r="O16" s="382"/>
    </row>
    <row r="17" spans="1:15" x14ac:dyDescent="0.3">
      <c r="A17" s="446"/>
      <c r="B17" s="152" t="s">
        <v>398</v>
      </c>
      <c r="C17" s="448"/>
      <c r="D17" s="448"/>
      <c r="E17" s="450"/>
      <c r="F17" s="450"/>
      <c r="G17" s="450"/>
      <c r="H17" s="450"/>
      <c r="I17" s="450"/>
      <c r="J17" s="450"/>
      <c r="K17" s="450"/>
      <c r="L17" s="450"/>
      <c r="M17" s="450"/>
      <c r="N17" s="456"/>
      <c r="O17" s="382"/>
    </row>
    <row r="18" spans="1:15" x14ac:dyDescent="0.3">
      <c r="A18" s="445">
        <v>7</v>
      </c>
      <c r="B18" s="152" t="s">
        <v>1027</v>
      </c>
      <c r="C18" s="447" t="s">
        <v>238</v>
      </c>
      <c r="D18" s="447" t="s">
        <v>1848</v>
      </c>
      <c r="E18" s="449" t="s">
        <v>1840</v>
      </c>
      <c r="F18" s="449" t="s">
        <v>1016</v>
      </c>
      <c r="G18" s="449"/>
      <c r="H18" s="449"/>
      <c r="I18" s="449"/>
      <c r="J18" s="449" t="s">
        <v>1016</v>
      </c>
      <c r="K18" s="449"/>
      <c r="L18" s="449" t="s">
        <v>1016</v>
      </c>
      <c r="M18" s="449"/>
      <c r="N18" s="455"/>
      <c r="O18" s="382"/>
    </row>
    <row r="19" spans="1:15" x14ac:dyDescent="0.3">
      <c r="A19" s="457"/>
      <c r="B19" s="152" t="s">
        <v>370</v>
      </c>
      <c r="C19" s="458"/>
      <c r="D19" s="458"/>
      <c r="E19" s="459"/>
      <c r="F19" s="459"/>
      <c r="G19" s="459"/>
      <c r="H19" s="459"/>
      <c r="I19" s="459"/>
      <c r="J19" s="459"/>
      <c r="K19" s="459"/>
      <c r="L19" s="459"/>
      <c r="M19" s="459"/>
      <c r="N19" s="460"/>
      <c r="O19" s="382"/>
    </row>
    <row r="20" spans="1:15" x14ac:dyDescent="0.3">
      <c r="A20" s="446"/>
      <c r="B20" s="152" t="s">
        <v>387</v>
      </c>
      <c r="C20" s="448"/>
      <c r="D20" s="448"/>
      <c r="E20" s="450"/>
      <c r="F20" s="450"/>
      <c r="G20" s="450"/>
      <c r="H20" s="450"/>
      <c r="I20" s="450"/>
      <c r="J20" s="450"/>
      <c r="K20" s="450"/>
      <c r="L20" s="450"/>
      <c r="M20" s="450"/>
      <c r="N20" s="456"/>
      <c r="O20" s="382"/>
    </row>
    <row r="21" spans="1:15" x14ac:dyDescent="0.3">
      <c r="A21" s="445">
        <v>8</v>
      </c>
      <c r="B21" s="152" t="s">
        <v>401</v>
      </c>
      <c r="C21" s="447" t="s">
        <v>985</v>
      </c>
      <c r="D21" s="447" t="s">
        <v>1849</v>
      </c>
      <c r="E21" s="449" t="s">
        <v>1840</v>
      </c>
      <c r="F21" s="449"/>
      <c r="G21" s="449" t="s">
        <v>1016</v>
      </c>
      <c r="H21" s="449"/>
      <c r="I21" s="449"/>
      <c r="J21" s="449" t="s">
        <v>1016</v>
      </c>
      <c r="K21" s="449"/>
      <c r="L21" s="449" t="s">
        <v>1016</v>
      </c>
      <c r="M21" s="449"/>
      <c r="N21" s="455"/>
      <c r="O21" s="382"/>
    </row>
    <row r="22" spans="1:15" x14ac:dyDescent="0.3">
      <c r="A22" s="446"/>
      <c r="B22" s="152" t="s">
        <v>607</v>
      </c>
      <c r="C22" s="448"/>
      <c r="D22" s="448"/>
      <c r="E22" s="450"/>
      <c r="F22" s="450"/>
      <c r="G22" s="450"/>
      <c r="H22" s="450"/>
      <c r="I22" s="450"/>
      <c r="J22" s="450"/>
      <c r="K22" s="450"/>
      <c r="L22" s="450"/>
      <c r="M22" s="450"/>
      <c r="N22" s="456"/>
      <c r="O22" s="382"/>
    </row>
    <row r="23" spans="1:15" x14ac:dyDescent="0.3">
      <c r="A23" s="445">
        <v>9</v>
      </c>
      <c r="B23" s="152" t="s">
        <v>401</v>
      </c>
      <c r="C23" s="447" t="s">
        <v>348</v>
      </c>
      <c r="D23" s="447" t="s">
        <v>1849</v>
      </c>
      <c r="E23" s="449" t="s">
        <v>1840</v>
      </c>
      <c r="F23" s="449"/>
      <c r="G23" s="449" t="s">
        <v>1016</v>
      </c>
      <c r="H23" s="449"/>
      <c r="I23" s="449"/>
      <c r="J23" s="449" t="s">
        <v>1016</v>
      </c>
      <c r="K23" s="449"/>
      <c r="L23" s="449" t="s">
        <v>1016</v>
      </c>
      <c r="M23" s="449"/>
      <c r="N23" s="455"/>
      <c r="O23" s="382"/>
    </row>
    <row r="24" spans="1:15" x14ac:dyDescent="0.3">
      <c r="A24" s="457"/>
      <c r="B24" s="152" t="s">
        <v>398</v>
      </c>
      <c r="C24" s="458"/>
      <c r="D24" s="458"/>
      <c r="E24" s="459"/>
      <c r="F24" s="459"/>
      <c r="G24" s="459"/>
      <c r="H24" s="459"/>
      <c r="I24" s="459"/>
      <c r="J24" s="459"/>
      <c r="K24" s="459"/>
      <c r="L24" s="459"/>
      <c r="M24" s="459"/>
      <c r="N24" s="460"/>
      <c r="O24" s="382"/>
    </row>
    <row r="25" spans="1:15" x14ac:dyDescent="0.3">
      <c r="A25" s="446"/>
      <c r="B25" s="152" t="s">
        <v>607</v>
      </c>
      <c r="C25" s="448"/>
      <c r="D25" s="448"/>
      <c r="E25" s="450"/>
      <c r="F25" s="450"/>
      <c r="G25" s="450"/>
      <c r="H25" s="450"/>
      <c r="I25" s="450"/>
      <c r="J25" s="450"/>
      <c r="K25" s="450"/>
      <c r="L25" s="450"/>
      <c r="M25" s="450"/>
      <c r="N25" s="456"/>
      <c r="O25" s="382"/>
    </row>
    <row r="26" spans="1:15" x14ac:dyDescent="0.3">
      <c r="A26" s="445">
        <v>10</v>
      </c>
      <c r="B26" s="152" t="s">
        <v>543</v>
      </c>
      <c r="C26" s="447" t="s">
        <v>1850</v>
      </c>
      <c r="D26" s="447" t="s">
        <v>1851</v>
      </c>
      <c r="E26" s="449" t="s">
        <v>1840</v>
      </c>
      <c r="F26" s="449" t="s">
        <v>1016</v>
      </c>
      <c r="G26" s="449"/>
      <c r="H26" s="449"/>
      <c r="I26" s="449"/>
      <c r="J26" s="449" t="s">
        <v>1016</v>
      </c>
      <c r="K26" s="449"/>
      <c r="L26" s="449" t="s">
        <v>1016</v>
      </c>
      <c r="M26" s="449"/>
      <c r="N26" s="455"/>
      <c r="O26" s="382"/>
    </row>
    <row r="27" spans="1:15" x14ac:dyDescent="0.3">
      <c r="A27" s="457"/>
      <c r="B27" s="152" t="s">
        <v>398</v>
      </c>
      <c r="C27" s="458"/>
      <c r="D27" s="458"/>
      <c r="E27" s="459"/>
      <c r="F27" s="459"/>
      <c r="G27" s="459"/>
      <c r="H27" s="459"/>
      <c r="I27" s="459"/>
      <c r="J27" s="459"/>
      <c r="K27" s="459"/>
      <c r="L27" s="459"/>
      <c r="M27" s="459"/>
      <c r="N27" s="460"/>
      <c r="O27" s="382"/>
    </row>
    <row r="28" spans="1:15" x14ac:dyDescent="0.3">
      <c r="A28" s="446"/>
      <c r="B28" s="152" t="s">
        <v>1020</v>
      </c>
      <c r="C28" s="448"/>
      <c r="D28" s="448"/>
      <c r="E28" s="450"/>
      <c r="F28" s="450"/>
      <c r="G28" s="450"/>
      <c r="H28" s="450"/>
      <c r="I28" s="450"/>
      <c r="J28" s="450"/>
      <c r="K28" s="450"/>
      <c r="L28" s="450"/>
      <c r="M28" s="450"/>
      <c r="N28" s="456"/>
      <c r="O28" s="382"/>
    </row>
    <row r="29" spans="1:15" x14ac:dyDescent="0.3">
      <c r="A29" s="445">
        <v>11</v>
      </c>
      <c r="B29" s="152" t="s">
        <v>387</v>
      </c>
      <c r="C29" s="447" t="s">
        <v>250</v>
      </c>
      <c r="D29" s="447" t="s">
        <v>1844</v>
      </c>
      <c r="E29" s="449" t="s">
        <v>1840</v>
      </c>
      <c r="F29" s="449"/>
      <c r="G29" s="449" t="s">
        <v>1016</v>
      </c>
      <c r="H29" s="449"/>
      <c r="I29" s="449"/>
      <c r="J29" s="449" t="s">
        <v>1016</v>
      </c>
      <c r="K29" s="449"/>
      <c r="L29" s="449" t="s">
        <v>1016</v>
      </c>
      <c r="M29" s="449"/>
      <c r="N29" s="455"/>
      <c r="O29" s="382"/>
    </row>
    <row r="30" spans="1:15" x14ac:dyDescent="0.3">
      <c r="A30" s="457"/>
      <c r="B30" s="152" t="s">
        <v>366</v>
      </c>
      <c r="C30" s="458"/>
      <c r="D30" s="458"/>
      <c r="E30" s="459"/>
      <c r="F30" s="459"/>
      <c r="G30" s="459"/>
      <c r="H30" s="459"/>
      <c r="I30" s="459"/>
      <c r="J30" s="459"/>
      <c r="K30" s="459"/>
      <c r="L30" s="459"/>
      <c r="M30" s="459"/>
      <c r="N30" s="460"/>
      <c r="O30" s="382"/>
    </row>
    <row r="31" spans="1:15" x14ac:dyDescent="0.3">
      <c r="A31" s="446"/>
      <c r="B31" s="152" t="s">
        <v>398</v>
      </c>
      <c r="C31" s="448"/>
      <c r="D31" s="448"/>
      <c r="E31" s="450"/>
      <c r="F31" s="450"/>
      <c r="G31" s="450"/>
      <c r="H31" s="450"/>
      <c r="I31" s="450"/>
      <c r="J31" s="450"/>
      <c r="K31" s="450"/>
      <c r="L31" s="450"/>
      <c r="M31" s="450"/>
      <c r="N31" s="456"/>
      <c r="O31" s="382"/>
    </row>
    <row r="32" spans="1:15" x14ac:dyDescent="0.3">
      <c r="A32" s="445">
        <v>12</v>
      </c>
      <c r="B32" s="152" t="s">
        <v>538</v>
      </c>
      <c r="C32" s="447" t="s">
        <v>1852</v>
      </c>
      <c r="D32" s="461" t="s">
        <v>1844</v>
      </c>
      <c r="E32" s="449" t="s">
        <v>1840</v>
      </c>
      <c r="F32" s="449" t="s">
        <v>1016</v>
      </c>
      <c r="G32" s="449"/>
      <c r="H32" s="449"/>
      <c r="I32" s="449"/>
      <c r="J32" s="449" t="s">
        <v>1016</v>
      </c>
      <c r="K32" s="449"/>
      <c r="L32" s="449" t="s">
        <v>1016</v>
      </c>
      <c r="M32" s="449"/>
      <c r="N32" s="455"/>
      <c r="O32" s="382"/>
    </row>
    <row r="33" spans="1:15" x14ac:dyDescent="0.3">
      <c r="A33" s="446"/>
      <c r="B33" s="152" t="s">
        <v>412</v>
      </c>
      <c r="C33" s="448"/>
      <c r="D33" s="462"/>
      <c r="E33" s="450"/>
      <c r="F33" s="450"/>
      <c r="G33" s="450"/>
      <c r="H33" s="450"/>
      <c r="I33" s="450"/>
      <c r="J33" s="450"/>
      <c r="K33" s="450"/>
      <c r="L33" s="450"/>
      <c r="M33" s="450"/>
      <c r="N33" s="456"/>
      <c r="O33" s="382"/>
    </row>
    <row r="34" spans="1:15" x14ac:dyDescent="0.3">
      <c r="A34" s="445">
        <v>13</v>
      </c>
      <c r="B34" s="152" t="s">
        <v>1024</v>
      </c>
      <c r="C34" s="447" t="s">
        <v>1853</v>
      </c>
      <c r="D34" s="447" t="s">
        <v>1842</v>
      </c>
      <c r="E34" s="449" t="s">
        <v>1840</v>
      </c>
      <c r="F34" s="449"/>
      <c r="G34" s="449"/>
      <c r="H34" s="449" t="s">
        <v>1016</v>
      </c>
      <c r="I34" s="449"/>
      <c r="J34" s="449" t="s">
        <v>1016</v>
      </c>
      <c r="K34" s="449"/>
      <c r="L34" s="449" t="s">
        <v>1016</v>
      </c>
      <c r="M34" s="449"/>
      <c r="N34" s="455"/>
      <c r="O34" s="382"/>
    </row>
    <row r="35" spans="1:15" x14ac:dyDescent="0.3">
      <c r="A35" s="446"/>
      <c r="B35" s="152" t="s">
        <v>1030</v>
      </c>
      <c r="C35" s="448"/>
      <c r="D35" s="448"/>
      <c r="E35" s="450"/>
      <c r="F35" s="450"/>
      <c r="G35" s="450"/>
      <c r="H35" s="450"/>
      <c r="I35" s="450"/>
      <c r="J35" s="450"/>
      <c r="K35" s="450"/>
      <c r="L35" s="450"/>
      <c r="M35" s="450"/>
      <c r="N35" s="456"/>
      <c r="O35" s="382"/>
    </row>
    <row r="36" spans="1:15" x14ac:dyDescent="0.3">
      <c r="A36" s="445">
        <v>14</v>
      </c>
      <c r="B36" s="152" t="s">
        <v>412</v>
      </c>
      <c r="C36" s="447" t="s">
        <v>1854</v>
      </c>
      <c r="D36" s="447" t="s">
        <v>1842</v>
      </c>
      <c r="E36" s="449" t="s">
        <v>1840</v>
      </c>
      <c r="F36" s="449" t="s">
        <v>1016</v>
      </c>
      <c r="G36" s="449"/>
      <c r="H36" s="449"/>
      <c r="I36" s="449"/>
      <c r="J36" s="449" t="s">
        <v>1016</v>
      </c>
      <c r="K36" s="449"/>
      <c r="L36" s="449" t="s">
        <v>1016</v>
      </c>
      <c r="M36" s="449"/>
      <c r="N36" s="455"/>
      <c r="O36" s="382"/>
    </row>
    <row r="37" spans="1:15" x14ac:dyDescent="0.3">
      <c r="A37" s="446"/>
      <c r="B37" s="152" t="s">
        <v>1027</v>
      </c>
      <c r="C37" s="448"/>
      <c r="D37" s="448"/>
      <c r="E37" s="450"/>
      <c r="F37" s="450"/>
      <c r="G37" s="450"/>
      <c r="H37" s="450"/>
      <c r="I37" s="450"/>
      <c r="J37" s="450"/>
      <c r="K37" s="450"/>
      <c r="L37" s="450"/>
      <c r="M37" s="450"/>
      <c r="N37" s="456"/>
      <c r="O37" s="382"/>
    </row>
    <row r="38" spans="1:15" x14ac:dyDescent="0.3">
      <c r="A38" s="445">
        <v>15</v>
      </c>
      <c r="B38" s="152" t="s">
        <v>401</v>
      </c>
      <c r="C38" s="447" t="s">
        <v>383</v>
      </c>
      <c r="D38" s="447" t="s">
        <v>1849</v>
      </c>
      <c r="E38" s="449" t="s">
        <v>1840</v>
      </c>
      <c r="F38" s="449"/>
      <c r="G38" s="449" t="s">
        <v>1016</v>
      </c>
      <c r="H38" s="449"/>
      <c r="I38" s="449"/>
      <c r="J38" s="449" t="s">
        <v>1016</v>
      </c>
      <c r="K38" s="449"/>
      <c r="L38" s="449" t="s">
        <v>1016</v>
      </c>
      <c r="M38" s="449"/>
      <c r="N38" s="455"/>
      <c r="O38" s="382"/>
    </row>
    <row r="39" spans="1:15" x14ac:dyDescent="0.3">
      <c r="A39" s="446"/>
      <c r="B39" s="152" t="s">
        <v>607</v>
      </c>
      <c r="C39" s="448"/>
      <c r="D39" s="448"/>
      <c r="E39" s="450"/>
      <c r="F39" s="450"/>
      <c r="G39" s="450"/>
      <c r="H39" s="450"/>
      <c r="I39" s="450"/>
      <c r="J39" s="450"/>
      <c r="K39" s="450"/>
      <c r="L39" s="450"/>
      <c r="M39" s="450"/>
      <c r="N39" s="456"/>
      <c r="O39" s="382"/>
    </row>
    <row r="40" spans="1:15" x14ac:dyDescent="0.3">
      <c r="A40" s="445">
        <v>16</v>
      </c>
      <c r="B40" s="152" t="s">
        <v>401</v>
      </c>
      <c r="C40" s="447" t="s">
        <v>1855</v>
      </c>
      <c r="D40" s="447" t="s">
        <v>1849</v>
      </c>
      <c r="E40" s="449" t="s">
        <v>1840</v>
      </c>
      <c r="F40" s="449"/>
      <c r="G40" s="449" t="s">
        <v>1016</v>
      </c>
      <c r="H40" s="449"/>
      <c r="I40" s="449"/>
      <c r="J40" s="449" t="s">
        <v>1016</v>
      </c>
      <c r="K40" s="449"/>
      <c r="L40" s="449" t="s">
        <v>1016</v>
      </c>
      <c r="M40" s="449"/>
      <c r="N40" s="455"/>
      <c r="O40" s="382"/>
    </row>
    <row r="41" spans="1:15" x14ac:dyDescent="0.3">
      <c r="A41" s="446"/>
      <c r="B41" s="152" t="s">
        <v>607</v>
      </c>
      <c r="C41" s="448"/>
      <c r="D41" s="448"/>
      <c r="E41" s="450"/>
      <c r="F41" s="450"/>
      <c r="G41" s="450"/>
      <c r="H41" s="450"/>
      <c r="I41" s="450"/>
      <c r="J41" s="450"/>
      <c r="K41" s="450"/>
      <c r="L41" s="450"/>
      <c r="M41" s="450"/>
      <c r="N41" s="456"/>
      <c r="O41" s="382"/>
    </row>
    <row r="42" spans="1:15" x14ac:dyDescent="0.3">
      <c r="A42" s="445">
        <v>17</v>
      </c>
      <c r="B42" s="152" t="s">
        <v>401</v>
      </c>
      <c r="C42" s="447" t="s">
        <v>1856</v>
      </c>
      <c r="D42" s="447" t="s">
        <v>1849</v>
      </c>
      <c r="E42" s="449" t="s">
        <v>1840</v>
      </c>
      <c r="F42" s="449"/>
      <c r="G42" s="449"/>
      <c r="H42" s="449" t="s">
        <v>1016</v>
      </c>
      <c r="I42" s="449"/>
      <c r="J42" s="449" t="s">
        <v>1016</v>
      </c>
      <c r="K42" s="449"/>
      <c r="L42" s="449" t="s">
        <v>1016</v>
      </c>
      <c r="M42" s="449"/>
      <c r="N42" s="455"/>
      <c r="O42" s="382"/>
    </row>
    <row r="43" spans="1:15" x14ac:dyDescent="0.3">
      <c r="A43" s="446"/>
      <c r="B43" s="152" t="s">
        <v>607</v>
      </c>
      <c r="C43" s="448"/>
      <c r="D43" s="448"/>
      <c r="E43" s="450"/>
      <c r="F43" s="450"/>
      <c r="G43" s="450"/>
      <c r="H43" s="450"/>
      <c r="I43" s="450"/>
      <c r="J43" s="450"/>
      <c r="K43" s="450"/>
      <c r="L43" s="450"/>
      <c r="M43" s="450"/>
      <c r="N43" s="456"/>
      <c r="O43" s="382"/>
    </row>
    <row r="44" spans="1:15" x14ac:dyDescent="0.3">
      <c r="A44" s="445">
        <v>18</v>
      </c>
      <c r="B44" s="152" t="s">
        <v>1027</v>
      </c>
      <c r="C44" s="447" t="s">
        <v>1857</v>
      </c>
      <c r="D44" s="447" t="s">
        <v>1844</v>
      </c>
      <c r="E44" s="449" t="s">
        <v>1840</v>
      </c>
      <c r="F44" s="449" t="s">
        <v>1016</v>
      </c>
      <c r="G44" s="449"/>
      <c r="H44" s="449"/>
      <c r="I44" s="449"/>
      <c r="J44" s="449" t="s">
        <v>1016</v>
      </c>
      <c r="K44" s="449"/>
      <c r="L44" s="449" t="s">
        <v>1016</v>
      </c>
      <c r="M44" s="449"/>
      <c r="N44" s="455"/>
      <c r="O44" s="382"/>
    </row>
    <row r="45" spans="1:15" x14ac:dyDescent="0.3">
      <c r="A45" s="457"/>
      <c r="B45" s="152" t="s">
        <v>401</v>
      </c>
      <c r="C45" s="458"/>
      <c r="D45" s="458"/>
      <c r="E45" s="459"/>
      <c r="F45" s="459"/>
      <c r="G45" s="459"/>
      <c r="H45" s="459"/>
      <c r="I45" s="459"/>
      <c r="J45" s="459"/>
      <c r="K45" s="459"/>
      <c r="L45" s="459"/>
      <c r="M45" s="459"/>
      <c r="N45" s="460"/>
      <c r="O45" s="382"/>
    </row>
    <row r="46" spans="1:15" x14ac:dyDescent="0.3">
      <c r="A46" s="446"/>
      <c r="B46" s="152" t="s">
        <v>607</v>
      </c>
      <c r="C46" s="448"/>
      <c r="D46" s="448"/>
      <c r="E46" s="450"/>
      <c r="F46" s="450"/>
      <c r="G46" s="450"/>
      <c r="H46" s="450"/>
      <c r="I46" s="450"/>
      <c r="J46" s="450"/>
      <c r="K46" s="450"/>
      <c r="L46" s="450"/>
      <c r="M46" s="450"/>
      <c r="N46" s="456"/>
      <c r="O46" s="382"/>
    </row>
    <row r="47" spans="1:15" x14ac:dyDescent="0.3">
      <c r="A47" s="445">
        <v>19</v>
      </c>
      <c r="B47" s="152" t="s">
        <v>1028</v>
      </c>
      <c r="C47" s="447" t="s">
        <v>1858</v>
      </c>
      <c r="D47" s="447" t="s">
        <v>1859</v>
      </c>
      <c r="E47" s="449" t="s">
        <v>1840</v>
      </c>
      <c r="F47" s="449"/>
      <c r="G47" s="449"/>
      <c r="H47" s="449" t="s">
        <v>1016</v>
      </c>
      <c r="I47" s="449"/>
      <c r="J47" s="449" t="s">
        <v>1016</v>
      </c>
      <c r="K47" s="449"/>
      <c r="L47" s="449" t="s">
        <v>1016</v>
      </c>
      <c r="M47" s="449"/>
      <c r="N47" s="455"/>
      <c r="O47" s="382"/>
    </row>
    <row r="48" spans="1:15" x14ac:dyDescent="0.3">
      <c r="A48" s="457"/>
      <c r="B48" s="152" t="s">
        <v>362</v>
      </c>
      <c r="C48" s="458"/>
      <c r="D48" s="458"/>
      <c r="E48" s="459"/>
      <c r="F48" s="459"/>
      <c r="G48" s="459"/>
      <c r="H48" s="459"/>
      <c r="I48" s="459"/>
      <c r="J48" s="459"/>
      <c r="K48" s="459"/>
      <c r="L48" s="459"/>
      <c r="M48" s="459"/>
      <c r="N48" s="460"/>
      <c r="O48" s="382"/>
    </row>
    <row r="49" spans="1:15" x14ac:dyDescent="0.3">
      <c r="A49" s="446"/>
      <c r="B49" s="152" t="s">
        <v>1058</v>
      </c>
      <c r="C49" s="448"/>
      <c r="D49" s="448"/>
      <c r="E49" s="450"/>
      <c r="F49" s="450"/>
      <c r="G49" s="450"/>
      <c r="H49" s="450"/>
      <c r="I49" s="450"/>
      <c r="J49" s="450"/>
      <c r="K49" s="450"/>
      <c r="L49" s="450"/>
      <c r="M49" s="450"/>
      <c r="N49" s="456"/>
      <c r="O49" s="382"/>
    </row>
    <row r="50" spans="1:15" x14ac:dyDescent="0.3">
      <c r="A50" s="445">
        <v>20</v>
      </c>
      <c r="B50" s="152" t="s">
        <v>401</v>
      </c>
      <c r="C50" s="447" t="s">
        <v>1860</v>
      </c>
      <c r="D50" s="447" t="s">
        <v>1844</v>
      </c>
      <c r="E50" s="449" t="s">
        <v>1840</v>
      </c>
      <c r="F50" s="449"/>
      <c r="G50" s="449"/>
      <c r="H50" s="449" t="s">
        <v>1016</v>
      </c>
      <c r="I50" s="449"/>
      <c r="J50" s="449" t="s">
        <v>1016</v>
      </c>
      <c r="K50" s="449"/>
      <c r="L50" s="449" t="s">
        <v>1016</v>
      </c>
      <c r="M50" s="449"/>
      <c r="N50" s="455"/>
      <c r="O50" s="382"/>
    </row>
    <row r="51" spans="1:15" x14ac:dyDescent="0.3">
      <c r="A51" s="457"/>
      <c r="B51" s="152" t="s">
        <v>573</v>
      </c>
      <c r="C51" s="458"/>
      <c r="D51" s="458"/>
      <c r="E51" s="459"/>
      <c r="F51" s="459"/>
      <c r="G51" s="459"/>
      <c r="H51" s="459"/>
      <c r="I51" s="459"/>
      <c r="J51" s="459"/>
      <c r="K51" s="459"/>
      <c r="L51" s="459"/>
      <c r="M51" s="459"/>
      <c r="N51" s="460"/>
      <c r="O51" s="382"/>
    </row>
    <row r="52" spans="1:15" x14ac:dyDescent="0.3">
      <c r="A52" s="446"/>
      <c r="B52" s="152" t="s">
        <v>607</v>
      </c>
      <c r="C52" s="448"/>
      <c r="D52" s="448"/>
      <c r="E52" s="450"/>
      <c r="F52" s="450"/>
      <c r="G52" s="450"/>
      <c r="H52" s="450"/>
      <c r="I52" s="450"/>
      <c r="J52" s="450"/>
      <c r="K52" s="450"/>
      <c r="L52" s="450"/>
      <c r="M52" s="450"/>
      <c r="N52" s="456"/>
      <c r="O52" s="382"/>
    </row>
    <row r="53" spans="1:15" x14ac:dyDescent="0.3">
      <c r="A53" s="445">
        <v>21</v>
      </c>
      <c r="B53" s="152" t="s">
        <v>546</v>
      </c>
      <c r="C53" s="447" t="s">
        <v>1861</v>
      </c>
      <c r="D53" s="447" t="s">
        <v>1988</v>
      </c>
      <c r="E53" s="449" t="s">
        <v>1840</v>
      </c>
      <c r="F53" s="449"/>
      <c r="G53" s="449"/>
      <c r="H53" s="449" t="s">
        <v>1016</v>
      </c>
      <c r="I53" s="449"/>
      <c r="J53" s="449" t="s">
        <v>1016</v>
      </c>
      <c r="K53" s="449"/>
      <c r="L53" s="449" t="s">
        <v>1016</v>
      </c>
      <c r="M53" s="449"/>
      <c r="N53" s="455"/>
      <c r="O53" s="382"/>
    </row>
    <row r="54" spans="1:15" x14ac:dyDescent="0.3">
      <c r="A54" s="457"/>
      <c r="B54" s="152" t="s">
        <v>1027</v>
      </c>
      <c r="C54" s="458"/>
      <c r="D54" s="458"/>
      <c r="E54" s="459"/>
      <c r="F54" s="459"/>
      <c r="G54" s="459"/>
      <c r="H54" s="459"/>
      <c r="I54" s="459"/>
      <c r="J54" s="459"/>
      <c r="K54" s="459"/>
      <c r="L54" s="459"/>
      <c r="M54" s="459"/>
      <c r="N54" s="460"/>
      <c r="O54" s="382"/>
    </row>
    <row r="55" spans="1:15" x14ac:dyDescent="0.3">
      <c r="A55" s="446"/>
      <c r="B55" s="152" t="s">
        <v>1862</v>
      </c>
      <c r="C55" s="448"/>
      <c r="D55" s="448"/>
      <c r="E55" s="450"/>
      <c r="F55" s="450"/>
      <c r="G55" s="450"/>
      <c r="H55" s="450"/>
      <c r="I55" s="450"/>
      <c r="J55" s="450"/>
      <c r="K55" s="450"/>
      <c r="L55" s="450"/>
      <c r="M55" s="450"/>
      <c r="N55" s="456"/>
      <c r="O55" s="382"/>
    </row>
    <row r="56" spans="1:15" x14ac:dyDescent="0.3">
      <c r="A56" s="445">
        <v>22</v>
      </c>
      <c r="B56" s="152" t="s">
        <v>412</v>
      </c>
      <c r="C56" s="447" t="s">
        <v>1863</v>
      </c>
      <c r="D56" s="447" t="s">
        <v>1844</v>
      </c>
      <c r="E56" s="449" t="s">
        <v>1840</v>
      </c>
      <c r="F56" s="449"/>
      <c r="G56" s="449"/>
      <c r="H56" s="449" t="s">
        <v>1016</v>
      </c>
      <c r="I56" s="449"/>
      <c r="J56" s="449" t="s">
        <v>1016</v>
      </c>
      <c r="K56" s="449"/>
      <c r="L56" s="449" t="s">
        <v>1016</v>
      </c>
      <c r="M56" s="449"/>
      <c r="N56" s="455"/>
      <c r="O56" s="382"/>
    </row>
    <row r="57" spans="1:15" x14ac:dyDescent="0.3">
      <c r="A57" s="446"/>
      <c r="B57" s="152" t="s">
        <v>538</v>
      </c>
      <c r="C57" s="448"/>
      <c r="D57" s="448"/>
      <c r="E57" s="450"/>
      <c r="F57" s="450"/>
      <c r="G57" s="450"/>
      <c r="H57" s="450"/>
      <c r="I57" s="450"/>
      <c r="J57" s="450"/>
      <c r="K57" s="450"/>
      <c r="L57" s="450"/>
      <c r="M57" s="450"/>
      <c r="N57" s="456"/>
      <c r="O57" s="382"/>
    </row>
    <row r="58" spans="1:15" x14ac:dyDescent="0.3">
      <c r="A58" s="445">
        <v>23</v>
      </c>
      <c r="B58" s="152" t="s">
        <v>546</v>
      </c>
      <c r="C58" s="463" t="s">
        <v>224</v>
      </c>
      <c r="D58" s="447" t="s">
        <v>1851</v>
      </c>
      <c r="E58" s="449" t="s">
        <v>1840</v>
      </c>
      <c r="F58" s="449" t="s">
        <v>1016</v>
      </c>
      <c r="G58" s="449"/>
      <c r="H58" s="449"/>
      <c r="I58" s="449"/>
      <c r="J58" s="449" t="s">
        <v>1016</v>
      </c>
      <c r="K58" s="449"/>
      <c r="L58" s="449" t="s">
        <v>1016</v>
      </c>
      <c r="M58" s="449"/>
      <c r="N58" s="455"/>
      <c r="O58" s="382"/>
    </row>
    <row r="59" spans="1:15" x14ac:dyDescent="0.3">
      <c r="A59" s="446"/>
      <c r="B59" s="152" t="s">
        <v>410</v>
      </c>
      <c r="C59" s="464"/>
      <c r="D59" s="448"/>
      <c r="E59" s="450"/>
      <c r="F59" s="450"/>
      <c r="G59" s="450"/>
      <c r="H59" s="450"/>
      <c r="I59" s="450"/>
      <c r="J59" s="450"/>
      <c r="K59" s="450"/>
      <c r="L59" s="450"/>
      <c r="M59" s="450"/>
      <c r="N59" s="456"/>
      <c r="O59" s="382"/>
    </row>
    <row r="60" spans="1:15" x14ac:dyDescent="0.3">
      <c r="A60" s="445">
        <v>24</v>
      </c>
      <c r="B60" s="152" t="s">
        <v>387</v>
      </c>
      <c r="C60" s="447" t="s">
        <v>1864</v>
      </c>
      <c r="D60" s="447" t="s">
        <v>1844</v>
      </c>
      <c r="E60" s="449" t="s">
        <v>1840</v>
      </c>
      <c r="F60" s="449" t="s">
        <v>1016</v>
      </c>
      <c r="G60" s="449"/>
      <c r="H60" s="449"/>
      <c r="I60" s="449"/>
      <c r="J60" s="449" t="s">
        <v>1016</v>
      </c>
      <c r="K60" s="449"/>
      <c r="L60" s="449" t="s">
        <v>1016</v>
      </c>
      <c r="M60" s="449"/>
      <c r="N60" s="455"/>
      <c r="O60" s="382"/>
    </row>
    <row r="61" spans="1:15" x14ac:dyDescent="0.3">
      <c r="A61" s="457"/>
      <c r="B61" s="152" t="s">
        <v>415</v>
      </c>
      <c r="C61" s="458"/>
      <c r="D61" s="458"/>
      <c r="E61" s="459"/>
      <c r="F61" s="459"/>
      <c r="G61" s="459"/>
      <c r="H61" s="459"/>
      <c r="I61" s="459"/>
      <c r="J61" s="459"/>
      <c r="K61" s="459"/>
      <c r="L61" s="459"/>
      <c r="M61" s="459"/>
      <c r="N61" s="460"/>
      <c r="O61" s="382"/>
    </row>
    <row r="62" spans="1:15" x14ac:dyDescent="0.3">
      <c r="A62" s="446"/>
      <c r="B62" s="152" t="s">
        <v>366</v>
      </c>
      <c r="C62" s="448"/>
      <c r="D62" s="448"/>
      <c r="E62" s="450"/>
      <c r="F62" s="450"/>
      <c r="G62" s="450"/>
      <c r="H62" s="450"/>
      <c r="I62" s="450"/>
      <c r="J62" s="450"/>
      <c r="K62" s="450"/>
      <c r="L62" s="450"/>
      <c r="M62" s="450"/>
      <c r="N62" s="456"/>
      <c r="O62" s="382"/>
    </row>
    <row r="63" spans="1:15" x14ac:dyDescent="0.3">
      <c r="A63" s="445">
        <v>25</v>
      </c>
      <c r="B63" s="152" t="s">
        <v>370</v>
      </c>
      <c r="C63" s="447" t="s">
        <v>1865</v>
      </c>
      <c r="D63" s="447" t="s">
        <v>1842</v>
      </c>
      <c r="E63" s="449" t="s">
        <v>1840</v>
      </c>
      <c r="F63" s="449"/>
      <c r="G63" s="449" t="s">
        <v>1016</v>
      </c>
      <c r="H63" s="449"/>
      <c r="I63" s="449"/>
      <c r="J63" s="449" t="s">
        <v>1016</v>
      </c>
      <c r="K63" s="449"/>
      <c r="L63" s="449" t="s">
        <v>1016</v>
      </c>
      <c r="M63" s="449"/>
      <c r="N63" s="455"/>
      <c r="O63" s="382"/>
    </row>
    <row r="64" spans="1:15" x14ac:dyDescent="0.3">
      <c r="A64" s="457"/>
      <c r="B64" s="152" t="s">
        <v>398</v>
      </c>
      <c r="C64" s="458"/>
      <c r="D64" s="458"/>
      <c r="E64" s="459"/>
      <c r="F64" s="459"/>
      <c r="G64" s="459"/>
      <c r="H64" s="459"/>
      <c r="I64" s="459"/>
      <c r="J64" s="459"/>
      <c r="K64" s="459"/>
      <c r="L64" s="459"/>
      <c r="M64" s="459"/>
      <c r="N64" s="460"/>
      <c r="O64" s="382"/>
    </row>
    <row r="65" spans="1:15" x14ac:dyDescent="0.3">
      <c r="A65" s="446"/>
      <c r="B65" s="152" t="s">
        <v>415</v>
      </c>
      <c r="C65" s="448"/>
      <c r="D65" s="448"/>
      <c r="E65" s="450"/>
      <c r="F65" s="450"/>
      <c r="G65" s="450"/>
      <c r="H65" s="450"/>
      <c r="I65" s="450"/>
      <c r="J65" s="450"/>
      <c r="K65" s="450"/>
      <c r="L65" s="450"/>
      <c r="M65" s="450"/>
      <c r="N65" s="456"/>
      <c r="O65" s="382"/>
    </row>
    <row r="66" spans="1:15" x14ac:dyDescent="0.3">
      <c r="A66" s="445">
        <v>26</v>
      </c>
      <c r="B66" s="152" t="s">
        <v>568</v>
      </c>
      <c r="C66" s="463" t="s">
        <v>1866</v>
      </c>
      <c r="D66" s="447" t="s">
        <v>1844</v>
      </c>
      <c r="E66" s="449" t="s">
        <v>1840</v>
      </c>
      <c r="F66" s="449"/>
      <c r="G66" s="449"/>
      <c r="H66" s="449" t="s">
        <v>1016</v>
      </c>
      <c r="I66" s="449"/>
      <c r="J66" s="449" t="s">
        <v>1016</v>
      </c>
      <c r="K66" s="449"/>
      <c r="L66" s="449" t="s">
        <v>1016</v>
      </c>
      <c r="M66" s="449"/>
      <c r="N66" s="455"/>
      <c r="O66" s="382"/>
    </row>
    <row r="67" spans="1:15" x14ac:dyDescent="0.3">
      <c r="A67" s="457"/>
      <c r="B67" s="152" t="s">
        <v>387</v>
      </c>
      <c r="C67" s="465"/>
      <c r="D67" s="458"/>
      <c r="E67" s="459"/>
      <c r="F67" s="459"/>
      <c r="G67" s="459"/>
      <c r="H67" s="459"/>
      <c r="I67" s="459"/>
      <c r="J67" s="459"/>
      <c r="K67" s="459"/>
      <c r="L67" s="459"/>
      <c r="M67" s="459"/>
      <c r="N67" s="460"/>
      <c r="O67" s="382"/>
    </row>
    <row r="68" spans="1:15" x14ac:dyDescent="0.3">
      <c r="A68" s="446"/>
      <c r="B68" s="152" t="s">
        <v>572</v>
      </c>
      <c r="C68" s="464"/>
      <c r="D68" s="448"/>
      <c r="E68" s="450"/>
      <c r="F68" s="450"/>
      <c r="G68" s="450"/>
      <c r="H68" s="450"/>
      <c r="I68" s="450"/>
      <c r="J68" s="450"/>
      <c r="K68" s="450"/>
      <c r="L68" s="450"/>
      <c r="M68" s="450"/>
      <c r="N68" s="456"/>
      <c r="O68" s="382"/>
    </row>
    <row r="69" spans="1:15" x14ac:dyDescent="0.3">
      <c r="A69" s="445">
        <v>27</v>
      </c>
      <c r="B69" s="152" t="s">
        <v>387</v>
      </c>
      <c r="C69" s="447" t="s">
        <v>1867</v>
      </c>
      <c r="D69" s="447" t="s">
        <v>1842</v>
      </c>
      <c r="E69" s="449" t="s">
        <v>1840</v>
      </c>
      <c r="F69" s="449" t="s">
        <v>1016</v>
      </c>
      <c r="G69" s="449"/>
      <c r="H69" s="449"/>
      <c r="I69" s="449"/>
      <c r="J69" s="449" t="s">
        <v>1016</v>
      </c>
      <c r="K69" s="449"/>
      <c r="L69" s="449" t="s">
        <v>1016</v>
      </c>
      <c r="M69" s="449"/>
      <c r="N69" s="455"/>
      <c r="O69" s="382"/>
    </row>
    <row r="70" spans="1:15" x14ac:dyDescent="0.3">
      <c r="A70" s="457"/>
      <c r="B70" s="152" t="s">
        <v>370</v>
      </c>
      <c r="C70" s="458"/>
      <c r="D70" s="458"/>
      <c r="E70" s="459"/>
      <c r="F70" s="459"/>
      <c r="G70" s="459"/>
      <c r="H70" s="459"/>
      <c r="I70" s="459"/>
      <c r="J70" s="459"/>
      <c r="K70" s="459"/>
      <c r="L70" s="459"/>
      <c r="M70" s="459"/>
      <c r="N70" s="460"/>
      <c r="O70" s="382"/>
    </row>
    <row r="71" spans="1:15" x14ac:dyDescent="0.3">
      <c r="A71" s="446"/>
      <c r="B71" s="152" t="s">
        <v>398</v>
      </c>
      <c r="C71" s="448"/>
      <c r="D71" s="448"/>
      <c r="E71" s="450"/>
      <c r="F71" s="450"/>
      <c r="G71" s="450"/>
      <c r="H71" s="450"/>
      <c r="I71" s="450"/>
      <c r="J71" s="450"/>
      <c r="K71" s="450"/>
      <c r="L71" s="450"/>
      <c r="M71" s="450"/>
      <c r="N71" s="456"/>
      <c r="O71" s="382"/>
    </row>
    <row r="72" spans="1:15" x14ac:dyDescent="0.3">
      <c r="A72" s="445">
        <v>28</v>
      </c>
      <c r="B72" s="152" t="s">
        <v>415</v>
      </c>
      <c r="C72" s="447" t="s">
        <v>1868</v>
      </c>
      <c r="D72" s="447" t="s">
        <v>1842</v>
      </c>
      <c r="E72" s="449" t="s">
        <v>1840</v>
      </c>
      <c r="F72" s="449"/>
      <c r="G72" s="449"/>
      <c r="H72" s="449" t="s">
        <v>1016</v>
      </c>
      <c r="I72" s="449"/>
      <c r="J72" s="449" t="s">
        <v>1016</v>
      </c>
      <c r="K72" s="449"/>
      <c r="L72" s="449" t="s">
        <v>1016</v>
      </c>
      <c r="M72" s="449"/>
      <c r="N72" s="455"/>
      <c r="O72" s="382"/>
    </row>
    <row r="73" spans="1:15" x14ac:dyDescent="0.3">
      <c r="A73" s="457"/>
      <c r="B73" s="152" t="s">
        <v>1020</v>
      </c>
      <c r="C73" s="458"/>
      <c r="D73" s="458"/>
      <c r="E73" s="459"/>
      <c r="F73" s="459"/>
      <c r="G73" s="459"/>
      <c r="H73" s="459"/>
      <c r="I73" s="459"/>
      <c r="J73" s="459"/>
      <c r="K73" s="459"/>
      <c r="L73" s="459"/>
      <c r="M73" s="459"/>
      <c r="N73" s="460"/>
      <c r="O73" s="382"/>
    </row>
    <row r="74" spans="1:15" x14ac:dyDescent="0.3">
      <c r="A74" s="446"/>
      <c r="B74" s="152" t="s">
        <v>572</v>
      </c>
      <c r="C74" s="448"/>
      <c r="D74" s="448"/>
      <c r="E74" s="450"/>
      <c r="F74" s="450"/>
      <c r="G74" s="450"/>
      <c r="H74" s="450"/>
      <c r="I74" s="450"/>
      <c r="J74" s="450"/>
      <c r="K74" s="450"/>
      <c r="L74" s="450"/>
      <c r="M74" s="450"/>
      <c r="N74" s="456"/>
      <c r="O74" s="382"/>
    </row>
    <row r="75" spans="1:15" ht="28.8" x14ac:dyDescent="0.3">
      <c r="A75" s="154">
        <v>29</v>
      </c>
      <c r="B75" s="152" t="s">
        <v>1027</v>
      </c>
      <c r="C75" s="115" t="s">
        <v>200</v>
      </c>
      <c r="D75" s="152" t="s">
        <v>1839</v>
      </c>
      <c r="E75" s="153" t="s">
        <v>1840</v>
      </c>
      <c r="F75" s="153" t="s">
        <v>1016</v>
      </c>
      <c r="G75" s="153"/>
      <c r="H75" s="153"/>
      <c r="I75" s="153"/>
      <c r="J75" s="153" t="s">
        <v>1016</v>
      </c>
      <c r="K75" s="153"/>
      <c r="L75" s="153" t="s">
        <v>1016</v>
      </c>
      <c r="M75" s="153"/>
      <c r="N75" s="157"/>
      <c r="O75" s="383"/>
    </row>
    <row r="76" spans="1:15" x14ac:dyDescent="0.3">
      <c r="A76" s="154"/>
      <c r="B76" s="152"/>
      <c r="C76" s="115"/>
      <c r="D76" s="153"/>
      <c r="E76" s="153"/>
      <c r="F76" s="153"/>
      <c r="G76" s="153"/>
      <c r="H76" s="153"/>
      <c r="I76" s="153"/>
      <c r="J76" s="153"/>
      <c r="K76" s="153"/>
      <c r="L76" s="153"/>
      <c r="M76" s="153"/>
      <c r="N76" s="157"/>
      <c r="O76" s="30"/>
    </row>
    <row r="79" spans="1:15" ht="23.4" x14ac:dyDescent="0.3">
      <c r="B79" s="312" t="s">
        <v>4039</v>
      </c>
    </row>
  </sheetData>
  <protectedRanges>
    <protectedRange sqref="B4:N76" name="Tabel 5c"/>
  </protectedRanges>
  <mergeCells count="374">
    <mergeCell ref="O4:O75"/>
    <mergeCell ref="M72:M74"/>
    <mergeCell ref="N72:N74"/>
    <mergeCell ref="O2:O3"/>
    <mergeCell ref="G72:G74"/>
    <mergeCell ref="H72:H74"/>
    <mergeCell ref="I72:I74"/>
    <mergeCell ref="J72:J74"/>
    <mergeCell ref="K72:K74"/>
    <mergeCell ref="L72:L74"/>
    <mergeCell ref="K69:K71"/>
    <mergeCell ref="L69:L71"/>
    <mergeCell ref="M69:M71"/>
    <mergeCell ref="N69:N71"/>
    <mergeCell ref="K63:K65"/>
    <mergeCell ref="L63:L65"/>
    <mergeCell ref="M63:M65"/>
    <mergeCell ref="N63:N65"/>
    <mergeCell ref="K58:K59"/>
    <mergeCell ref="L58:L59"/>
    <mergeCell ref="M58:M59"/>
    <mergeCell ref="N58:N59"/>
    <mergeCell ref="K53:K55"/>
    <mergeCell ref="L53:L55"/>
    <mergeCell ref="A69:A71"/>
    <mergeCell ref="C72:C74"/>
    <mergeCell ref="A72:A74"/>
    <mergeCell ref="D72:D74"/>
    <mergeCell ref="E72:E74"/>
    <mergeCell ref="F72:F74"/>
    <mergeCell ref="N66:N68"/>
    <mergeCell ref="A66:A68"/>
    <mergeCell ref="C69:C71"/>
    <mergeCell ref="D69:D71"/>
    <mergeCell ref="E69:E71"/>
    <mergeCell ref="F69:F71"/>
    <mergeCell ref="G69:G71"/>
    <mergeCell ref="H69:H71"/>
    <mergeCell ref="I69:I71"/>
    <mergeCell ref="J69:J71"/>
    <mergeCell ref="H66:H68"/>
    <mergeCell ref="I66:I68"/>
    <mergeCell ref="J66:J68"/>
    <mergeCell ref="K66:K68"/>
    <mergeCell ref="L66:L68"/>
    <mergeCell ref="M66:M68"/>
    <mergeCell ref="A63:A65"/>
    <mergeCell ref="C66:C68"/>
    <mergeCell ref="D66:D68"/>
    <mergeCell ref="E66:E68"/>
    <mergeCell ref="F66:F68"/>
    <mergeCell ref="G66:G68"/>
    <mergeCell ref="N60:N62"/>
    <mergeCell ref="A60:A62"/>
    <mergeCell ref="C63:C65"/>
    <mergeCell ref="D63:D65"/>
    <mergeCell ref="E63:E65"/>
    <mergeCell ref="F63:F65"/>
    <mergeCell ref="G63:G65"/>
    <mergeCell ref="H63:H65"/>
    <mergeCell ref="I63:I65"/>
    <mergeCell ref="J63:J65"/>
    <mergeCell ref="H60:H62"/>
    <mergeCell ref="I60:I62"/>
    <mergeCell ref="J60:J62"/>
    <mergeCell ref="K60:K62"/>
    <mergeCell ref="L60:L62"/>
    <mergeCell ref="M60:M62"/>
    <mergeCell ref="N56:N57"/>
    <mergeCell ref="C58:C59"/>
    <mergeCell ref="D58:D59"/>
    <mergeCell ref="E58:E59"/>
    <mergeCell ref="F58:F59"/>
    <mergeCell ref="G58:G59"/>
    <mergeCell ref="H58:H59"/>
    <mergeCell ref="I58:I59"/>
    <mergeCell ref="J58:J59"/>
    <mergeCell ref="G56:G57"/>
    <mergeCell ref="H56:H57"/>
    <mergeCell ref="I56:I57"/>
    <mergeCell ref="J56:J57"/>
    <mergeCell ref="K56:K57"/>
    <mergeCell ref="L56:L57"/>
    <mergeCell ref="K50:K52"/>
    <mergeCell ref="L50:L52"/>
    <mergeCell ref="M50:M52"/>
    <mergeCell ref="A58:A59"/>
    <mergeCell ref="C60:C62"/>
    <mergeCell ref="D60:D62"/>
    <mergeCell ref="E60:E62"/>
    <mergeCell ref="F60:F62"/>
    <mergeCell ref="G60:G62"/>
    <mergeCell ref="M56:M57"/>
    <mergeCell ref="H47:H49"/>
    <mergeCell ref="I47:I49"/>
    <mergeCell ref="J47:J49"/>
    <mergeCell ref="M53:M55"/>
    <mergeCell ref="N53:N55"/>
    <mergeCell ref="A53:A55"/>
    <mergeCell ref="A56:A57"/>
    <mergeCell ref="C56:C57"/>
    <mergeCell ref="D56:D57"/>
    <mergeCell ref="E56:E57"/>
    <mergeCell ref="F56:F57"/>
    <mergeCell ref="N50:N52"/>
    <mergeCell ref="A50:A52"/>
    <mergeCell ref="C53:C55"/>
    <mergeCell ref="D53:D55"/>
    <mergeCell ref="E53:E55"/>
    <mergeCell ref="F53:F55"/>
    <mergeCell ref="G53:G55"/>
    <mergeCell ref="H53:H55"/>
    <mergeCell ref="I53:I55"/>
    <mergeCell ref="J53:J55"/>
    <mergeCell ref="H50:H52"/>
    <mergeCell ref="I50:I52"/>
    <mergeCell ref="J50:J52"/>
    <mergeCell ref="A47:A49"/>
    <mergeCell ref="C50:C52"/>
    <mergeCell ref="D50:D52"/>
    <mergeCell ref="E50:E52"/>
    <mergeCell ref="F50:F52"/>
    <mergeCell ref="G50:G52"/>
    <mergeCell ref="C47:C49"/>
    <mergeCell ref="D47:D49"/>
    <mergeCell ref="E47:E49"/>
    <mergeCell ref="F47:F49"/>
    <mergeCell ref="G47:G49"/>
    <mergeCell ref="J42:J43"/>
    <mergeCell ref="K42:K43"/>
    <mergeCell ref="L42:L43"/>
    <mergeCell ref="M42:M43"/>
    <mergeCell ref="N42:N43"/>
    <mergeCell ref="K47:K49"/>
    <mergeCell ref="L47:L49"/>
    <mergeCell ref="M47:M49"/>
    <mergeCell ref="N47:N49"/>
    <mergeCell ref="A44:A46"/>
    <mergeCell ref="C44:C46"/>
    <mergeCell ref="D44:D46"/>
    <mergeCell ref="E44:E46"/>
    <mergeCell ref="F44:F46"/>
    <mergeCell ref="M44:M46"/>
    <mergeCell ref="N44:N46"/>
    <mergeCell ref="K44:K46"/>
    <mergeCell ref="L44:L46"/>
    <mergeCell ref="G44:G46"/>
    <mergeCell ref="H44:H46"/>
    <mergeCell ref="I44:I46"/>
    <mergeCell ref="J44:J46"/>
    <mergeCell ref="A42:A43"/>
    <mergeCell ref="C42:C43"/>
    <mergeCell ref="D42:D43"/>
    <mergeCell ref="E42:E43"/>
    <mergeCell ref="F42:F43"/>
    <mergeCell ref="G42:G43"/>
    <mergeCell ref="H42:H43"/>
    <mergeCell ref="I42:I43"/>
    <mergeCell ref="G40:G41"/>
    <mergeCell ref="H40:H41"/>
    <mergeCell ref="I40:I41"/>
    <mergeCell ref="J38:J39"/>
    <mergeCell ref="K38:K39"/>
    <mergeCell ref="L38:L39"/>
    <mergeCell ref="M38:M39"/>
    <mergeCell ref="N38:N39"/>
    <mergeCell ref="A40:A41"/>
    <mergeCell ref="C40:C41"/>
    <mergeCell ref="D40:D41"/>
    <mergeCell ref="E40:E41"/>
    <mergeCell ref="F40:F41"/>
    <mergeCell ref="M40:M41"/>
    <mergeCell ref="N40:N41"/>
    <mergeCell ref="J40:J41"/>
    <mergeCell ref="K40:K41"/>
    <mergeCell ref="L40:L41"/>
    <mergeCell ref="C38:C39"/>
    <mergeCell ref="A38:A39"/>
    <mergeCell ref="D38:D39"/>
    <mergeCell ref="E38:E39"/>
    <mergeCell ref="F38:F39"/>
    <mergeCell ref="G38:G39"/>
    <mergeCell ref="H38:H39"/>
    <mergeCell ref="I38:I39"/>
    <mergeCell ref="A36:A37"/>
    <mergeCell ref="F36:F37"/>
    <mergeCell ref="G36:G37"/>
    <mergeCell ref="H36:H37"/>
    <mergeCell ref="I36:I37"/>
    <mergeCell ref="J34:J35"/>
    <mergeCell ref="L34:L35"/>
    <mergeCell ref="K34:K35"/>
    <mergeCell ref="M34:M35"/>
    <mergeCell ref="A34:A35"/>
    <mergeCell ref="N34:N35"/>
    <mergeCell ref="C36:C37"/>
    <mergeCell ref="D36:D37"/>
    <mergeCell ref="E36:E37"/>
    <mergeCell ref="K36:K37"/>
    <mergeCell ref="L36:L37"/>
    <mergeCell ref="M36:M37"/>
    <mergeCell ref="N36:N37"/>
    <mergeCell ref="J36:J37"/>
    <mergeCell ref="C34:C35"/>
    <mergeCell ref="D34:D35"/>
    <mergeCell ref="E34:E35"/>
    <mergeCell ref="F34:F35"/>
    <mergeCell ref="G34:G35"/>
    <mergeCell ref="H34:H35"/>
    <mergeCell ref="I34:I35"/>
    <mergeCell ref="A32:A33"/>
    <mergeCell ref="D32:D33"/>
    <mergeCell ref="E32:E33"/>
    <mergeCell ref="F32:F33"/>
    <mergeCell ref="G32:G33"/>
    <mergeCell ref="H32:H33"/>
    <mergeCell ref="J29:J31"/>
    <mergeCell ref="K29:K31"/>
    <mergeCell ref="L29:L31"/>
    <mergeCell ref="M29:M31"/>
    <mergeCell ref="N29:N31"/>
    <mergeCell ref="C32:C33"/>
    <mergeCell ref="I32:I33"/>
    <mergeCell ref="J32:J33"/>
    <mergeCell ref="K32:K33"/>
    <mergeCell ref="L32:L33"/>
    <mergeCell ref="M32:M33"/>
    <mergeCell ref="N32:N33"/>
    <mergeCell ref="A26:A28"/>
    <mergeCell ref="A29:A31"/>
    <mergeCell ref="C29:C31"/>
    <mergeCell ref="D29:D31"/>
    <mergeCell ref="E29:E31"/>
    <mergeCell ref="F29:F31"/>
    <mergeCell ref="G29:G31"/>
    <mergeCell ref="H29:H31"/>
    <mergeCell ref="I29:I31"/>
    <mergeCell ref="H26:H28"/>
    <mergeCell ref="I26:I28"/>
    <mergeCell ref="J23:J25"/>
    <mergeCell ref="K23:K25"/>
    <mergeCell ref="L23:L25"/>
    <mergeCell ref="M23:M25"/>
    <mergeCell ref="N23:N25"/>
    <mergeCell ref="C26:C28"/>
    <mergeCell ref="D26:D28"/>
    <mergeCell ref="E26:E28"/>
    <mergeCell ref="F26:F28"/>
    <mergeCell ref="G26:G28"/>
    <mergeCell ref="N26:N28"/>
    <mergeCell ref="J26:J28"/>
    <mergeCell ref="K26:K28"/>
    <mergeCell ref="L26:L28"/>
    <mergeCell ref="M26:M28"/>
    <mergeCell ref="A21:A22"/>
    <mergeCell ref="C23:C25"/>
    <mergeCell ref="A23:A25"/>
    <mergeCell ref="D23:D25"/>
    <mergeCell ref="E23:E25"/>
    <mergeCell ref="F23:F25"/>
    <mergeCell ref="G23:G25"/>
    <mergeCell ref="H23:H25"/>
    <mergeCell ref="I23:I25"/>
    <mergeCell ref="H21:H22"/>
    <mergeCell ref="I21:I22"/>
    <mergeCell ref="J18:J20"/>
    <mergeCell ref="K18:K20"/>
    <mergeCell ref="L18:L20"/>
    <mergeCell ref="M18:M20"/>
    <mergeCell ref="N18:N20"/>
    <mergeCell ref="C21:C22"/>
    <mergeCell ref="D21:D22"/>
    <mergeCell ref="E21:E22"/>
    <mergeCell ref="F21:F22"/>
    <mergeCell ref="G21:G22"/>
    <mergeCell ref="N21:N22"/>
    <mergeCell ref="J21:J22"/>
    <mergeCell ref="K21:K22"/>
    <mergeCell ref="L21:L22"/>
    <mergeCell ref="M21:M22"/>
    <mergeCell ref="A18:A20"/>
    <mergeCell ref="C18:C20"/>
    <mergeCell ref="D18:D20"/>
    <mergeCell ref="E18:E20"/>
    <mergeCell ref="F18:F20"/>
    <mergeCell ref="G18:G20"/>
    <mergeCell ref="H18:H20"/>
    <mergeCell ref="I18:I20"/>
    <mergeCell ref="G15:G17"/>
    <mergeCell ref="H15:H17"/>
    <mergeCell ref="I15:I17"/>
    <mergeCell ref="N13:N14"/>
    <mergeCell ref="A13:A14"/>
    <mergeCell ref="A15:A17"/>
    <mergeCell ref="C15:C17"/>
    <mergeCell ref="D15:D17"/>
    <mergeCell ref="E15:E17"/>
    <mergeCell ref="F15:F17"/>
    <mergeCell ref="M15:M17"/>
    <mergeCell ref="N15:N17"/>
    <mergeCell ref="J15:J17"/>
    <mergeCell ref="K15:K17"/>
    <mergeCell ref="L15:L17"/>
    <mergeCell ref="C13:C14"/>
    <mergeCell ref="D13:D14"/>
    <mergeCell ref="E13:E14"/>
    <mergeCell ref="F13:F14"/>
    <mergeCell ref="J13:J14"/>
    <mergeCell ref="L13:L14"/>
    <mergeCell ref="G13:G14"/>
    <mergeCell ref="H13:H14"/>
    <mergeCell ref="H10:H12"/>
    <mergeCell ref="I10:I12"/>
    <mergeCell ref="J10:J12"/>
    <mergeCell ref="K10:K12"/>
    <mergeCell ref="L10:L12"/>
    <mergeCell ref="I13:I14"/>
    <mergeCell ref="K13:K14"/>
    <mergeCell ref="M8:M9"/>
    <mergeCell ref="M13:M14"/>
    <mergeCell ref="A10:A12"/>
    <mergeCell ref="C10:C12"/>
    <mergeCell ref="D10:D12"/>
    <mergeCell ref="E10:E12"/>
    <mergeCell ref="F10:F12"/>
    <mergeCell ref="M10:M12"/>
    <mergeCell ref="N10:N12"/>
    <mergeCell ref="A6:A7"/>
    <mergeCell ref="C6:C7"/>
    <mergeCell ref="D6:D7"/>
    <mergeCell ref="E6:E7"/>
    <mergeCell ref="F6:F7"/>
    <mergeCell ref="M6:M7"/>
    <mergeCell ref="N6:N7"/>
    <mergeCell ref="A8:A9"/>
    <mergeCell ref="C8:C9"/>
    <mergeCell ref="D8:D9"/>
    <mergeCell ref="E8:E9"/>
    <mergeCell ref="F8:F9"/>
    <mergeCell ref="G8:G9"/>
    <mergeCell ref="H8:H9"/>
    <mergeCell ref="I8:I9"/>
    <mergeCell ref="G6:G7"/>
    <mergeCell ref="G10:G12"/>
    <mergeCell ref="H6:H7"/>
    <mergeCell ref="I6:I7"/>
    <mergeCell ref="J6:J7"/>
    <mergeCell ref="K6:K7"/>
    <mergeCell ref="L6:L7"/>
    <mergeCell ref="J8:J9"/>
    <mergeCell ref="K8:K9"/>
    <mergeCell ref="L8:L9"/>
    <mergeCell ref="I2:K2"/>
    <mergeCell ref="L2:N2"/>
    <mergeCell ref="J4:J5"/>
    <mergeCell ref="K4:K5"/>
    <mergeCell ref="L4:L5"/>
    <mergeCell ref="M4:M5"/>
    <mergeCell ref="N4:N5"/>
    <mergeCell ref="N8:N9"/>
    <mergeCell ref="A4:A5"/>
    <mergeCell ref="C4:C5"/>
    <mergeCell ref="D4:D5"/>
    <mergeCell ref="E4:E5"/>
    <mergeCell ref="F4:F5"/>
    <mergeCell ref="G4:G5"/>
    <mergeCell ref="H4:H5"/>
    <mergeCell ref="I4:I5"/>
    <mergeCell ref="A2:A3"/>
    <mergeCell ref="B2:B3"/>
    <mergeCell ref="C2:C3"/>
    <mergeCell ref="D2:D3"/>
    <mergeCell ref="E2:E3"/>
    <mergeCell ref="F2:H2"/>
  </mergeCells>
  <dataValidations count="2">
    <dataValidation type="list" allowBlank="1" showInputMessage="1" showErrorMessage="1" prompt="Pilih salah satu opsi yang ada" sqref="E4 E6 E8 E10 E13 E15 E18 E21 E23 E26 E29 E32 E34 E36 E38 E40 E42 E44 E47 E50 E53 E56 E58 E60 E63 E66 E69 E72 E75:E76" xr:uid="{63E9C4EA-A90B-4BF6-95BC-5BED5E62834C}">
      <formula1>$D$3:$D$7</formula1>
    </dataValidation>
    <dataValidation type="list" allowBlank="1" showInputMessage="1" showErrorMessage="1" prompt="Cell hanya dapat diisi tanda centang (V) atau dikosongkan" sqref="J75:J76 F4 M75:M76 G4 K75:K76 H4 F75:F76 I4 L75:L76 J4 H75:H76 K4 I75:I76 L4 G75:G76 M4 N4 F6 G6 H6 I6 J6 K6 L6 M6 N6 F8 G8 H8 I8 J8 K8 L8 M8 N8 F10 G10 H10 I10 J10 K10 L10 M10 N10 F13 J13 L13 G13 H13 I13 K13 M13 N13 F15 G15 H15 I15 J15 K15 L15 M15 N15 F18 G18 H18 I18 J18 K18 L18 M18 N18 F21 G21 H21 I21 J21 K21 L21 M21 N21 F23 G23 H23 I23 J23 K23 L23 M23 N23 F26 G26 H26 I26 J26 K26 L26 M26 N26 F29 G29 H29 I29 J29 K29 L29 M29 N29 F32 G32 H32 I32 J32 K32 L32 M32 N32 F34 G34 H34 I34 J34 L34 K34 M34 N34 F36 G36 H36 I36 J36 K36 L36 M36 N36 F38 G38 H38 I38 J38 K38 L38 M38 N38 F40 G40 H40 I40 J40 K40 L40 M40 N40 F42 G42 H42 I42 J42 K42 L42 M42 N42 F44 G44 H44 I44 J44 K44 L44 M44 N44 F47 G47 H47 I47 J47 K47 L47 M47 N47 F50 G50 H50 I50 J50 K50 L50 M50 N50 F53 G53 H53 I53 J53 K53 L53 M53 N53 F56 G56 H56 I56 J56 K56 L56 M56 N56 F58 G58 H58 I58 J58 K58 L58 M58 N58 F60 G60 H60 I60 J60 K60 L60 M60 N60 F63 G63 H63 I63 J63 K63 L63 M63 N63 F66 G66 H66 I66 J66 K66 L66 M66 N66 F69 G69 H69 I69 J69 K69 L69 M69 N69 F72 G72 H72 I72 J72 K72 L72 M72 N72 N75:N76" xr:uid="{91AA9A63-FBD6-4B38-BB57-4C2172B7585A}">
      <formula1>$F$7:$F$8</formula1>
    </dataValidation>
  </dataValidations>
  <hyperlinks>
    <hyperlink ref="O4" r:id="rId1" xr:uid="{E4D03446-D13A-4090-BC85-549C2CC1E7BE}"/>
    <hyperlink ref="B79" location="'Daftar Sheet'!A1" display="&lt;&lt;&lt; Daftar Sheet" xr:uid="{4B976A78-965B-4032-BC2E-275A296ABC35}"/>
  </hyperlinks>
  <pageMargins left="0.7" right="0.7" top="0.75" bottom="0.75" header="0.3" footer="0.3"/>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FCD6F-DCDB-40B0-927E-9359A8D780F2}">
  <dimension ref="A2:C10"/>
  <sheetViews>
    <sheetView zoomScale="85" zoomScaleNormal="85" workbookViewId="0">
      <selection activeCell="B10" sqref="B10"/>
    </sheetView>
  </sheetViews>
  <sheetFormatPr defaultRowHeight="14.4" x14ac:dyDescent="0.3"/>
  <cols>
    <col min="1" max="1" width="3.77734375" bestFit="1" customWidth="1"/>
    <col min="2" max="2" width="76.21875" bestFit="1" customWidth="1"/>
    <col min="3" max="3" width="83.21875" bestFit="1" customWidth="1"/>
  </cols>
  <sheetData>
    <row r="2" spans="1:3" x14ac:dyDescent="0.3">
      <c r="A2" s="2" t="s">
        <v>51</v>
      </c>
      <c r="B2" s="2" t="s">
        <v>2336</v>
      </c>
      <c r="C2" s="2" t="s">
        <v>137</v>
      </c>
    </row>
    <row r="3" spans="1:3" ht="28.8" x14ac:dyDescent="0.3">
      <c r="A3" s="3">
        <v>1</v>
      </c>
      <c r="B3" s="268" t="s">
        <v>3980</v>
      </c>
      <c r="C3" s="387" t="s">
        <v>3981</v>
      </c>
    </row>
    <row r="4" spans="1:3" x14ac:dyDescent="0.3">
      <c r="A4" s="3"/>
      <c r="B4" s="268"/>
      <c r="C4" s="434"/>
    </row>
    <row r="5" spans="1:3" x14ac:dyDescent="0.3">
      <c r="A5" s="3"/>
      <c r="B5" s="268"/>
      <c r="C5" s="434"/>
    </row>
    <row r="6" spans="1:3" x14ac:dyDescent="0.3">
      <c r="A6" s="3"/>
      <c r="B6" s="268"/>
      <c r="C6" s="434"/>
    </row>
    <row r="7" spans="1:3" x14ac:dyDescent="0.3">
      <c r="A7" s="3"/>
      <c r="B7" s="268"/>
      <c r="C7" s="433"/>
    </row>
    <row r="10" spans="1:3" ht="23.4" x14ac:dyDescent="0.3">
      <c r="B10" s="312" t="s">
        <v>4039</v>
      </c>
    </row>
  </sheetData>
  <mergeCells count="1">
    <mergeCell ref="C3:C7"/>
  </mergeCells>
  <hyperlinks>
    <hyperlink ref="C3" r:id="rId1" xr:uid="{916CA565-F9BC-421E-95B5-3EACB4038D03}"/>
    <hyperlink ref="B10" location="'Daftar Sheet'!A1" display="&lt;&lt;&lt; Daftar Sheet" xr:uid="{8D77620A-8384-4172-8A47-E677B9BCF457}"/>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5FE73-7666-441C-BE6B-7B58DB329607}">
  <dimension ref="A2:H12"/>
  <sheetViews>
    <sheetView zoomScale="70" zoomScaleNormal="70" workbookViewId="0">
      <selection activeCell="B12" sqref="B12"/>
    </sheetView>
  </sheetViews>
  <sheetFormatPr defaultRowHeight="14.4" x14ac:dyDescent="0.3"/>
  <cols>
    <col min="2" max="2" width="63" customWidth="1"/>
    <col min="7" max="7" width="90.6640625" customWidth="1"/>
    <col min="8" max="8" width="79.88671875" bestFit="1" customWidth="1"/>
  </cols>
  <sheetData>
    <row r="2" spans="1:8" ht="31.05" customHeight="1" x14ac:dyDescent="0.3">
      <c r="A2" s="406" t="s">
        <v>51</v>
      </c>
      <c r="B2" s="406" t="s">
        <v>1869</v>
      </c>
      <c r="C2" s="408" t="s">
        <v>1870</v>
      </c>
      <c r="D2" s="467"/>
      <c r="E2" s="467"/>
      <c r="F2" s="468"/>
      <c r="G2" s="414" t="s">
        <v>1871</v>
      </c>
      <c r="H2" s="369" t="s">
        <v>137</v>
      </c>
    </row>
    <row r="3" spans="1:8" ht="27.6" x14ac:dyDescent="0.3">
      <c r="A3" s="407"/>
      <c r="B3" s="407"/>
      <c r="C3" s="163" t="s">
        <v>1872</v>
      </c>
      <c r="D3" s="164" t="s">
        <v>1873</v>
      </c>
      <c r="E3" s="164" t="s">
        <v>1874</v>
      </c>
      <c r="F3" s="164" t="s">
        <v>1875</v>
      </c>
      <c r="G3" s="469"/>
      <c r="H3" s="370"/>
    </row>
    <row r="4" spans="1:8" ht="82.8" x14ac:dyDescent="0.3">
      <c r="A4" s="151">
        <v>1</v>
      </c>
      <c r="B4" s="158" t="s">
        <v>1876</v>
      </c>
      <c r="C4" s="165">
        <v>0.78</v>
      </c>
      <c r="D4" s="166">
        <v>0.18</v>
      </c>
      <c r="E4" s="166">
        <v>0.03</v>
      </c>
      <c r="F4" s="166">
        <v>0.01</v>
      </c>
      <c r="G4" s="161" t="s">
        <v>1877</v>
      </c>
      <c r="H4" s="387" t="s">
        <v>3982</v>
      </c>
    </row>
    <row r="5" spans="1:8" ht="55.2" x14ac:dyDescent="0.3">
      <c r="A5" s="151">
        <v>2</v>
      </c>
      <c r="B5" s="158" t="s">
        <v>1882</v>
      </c>
      <c r="C5" s="165">
        <v>0.77</v>
      </c>
      <c r="D5" s="166">
        <v>0.18</v>
      </c>
      <c r="E5" s="166">
        <v>0.05</v>
      </c>
      <c r="F5" s="166">
        <v>0</v>
      </c>
      <c r="G5" s="162" t="s">
        <v>1878</v>
      </c>
      <c r="H5" s="382"/>
    </row>
    <row r="6" spans="1:8" ht="82.8" x14ac:dyDescent="0.3">
      <c r="A6" s="151">
        <v>3</v>
      </c>
      <c r="B6" s="158" t="s">
        <v>1883</v>
      </c>
      <c r="C6" s="165">
        <v>0.76</v>
      </c>
      <c r="D6" s="166">
        <v>0.2</v>
      </c>
      <c r="E6" s="166">
        <v>0.04</v>
      </c>
      <c r="F6" s="166">
        <v>0</v>
      </c>
      <c r="G6" s="162" t="s">
        <v>1879</v>
      </c>
      <c r="H6" s="382"/>
    </row>
    <row r="7" spans="1:8" ht="41.4" x14ac:dyDescent="0.3">
      <c r="A7" s="151">
        <v>4</v>
      </c>
      <c r="B7" s="158" t="s">
        <v>1884</v>
      </c>
      <c r="C7" s="165">
        <v>0.8</v>
      </c>
      <c r="D7" s="166">
        <v>0.18</v>
      </c>
      <c r="E7" s="166">
        <v>0.02</v>
      </c>
      <c r="F7" s="166">
        <v>0</v>
      </c>
      <c r="G7" s="162" t="s">
        <v>1880</v>
      </c>
      <c r="H7" s="382"/>
    </row>
    <row r="8" spans="1:8" ht="27.6" x14ac:dyDescent="0.3">
      <c r="A8" s="151">
        <v>5</v>
      </c>
      <c r="B8" s="158" t="s">
        <v>1885</v>
      </c>
      <c r="C8" s="165">
        <v>0.78</v>
      </c>
      <c r="D8" s="166">
        <v>0.19</v>
      </c>
      <c r="E8" s="166">
        <v>0.03</v>
      </c>
      <c r="F8" s="166">
        <v>0</v>
      </c>
      <c r="G8" s="162" t="s">
        <v>1881</v>
      </c>
      <c r="H8" s="383"/>
    </row>
    <row r="9" spans="1:8" x14ac:dyDescent="0.3">
      <c r="A9" s="466" t="s">
        <v>1554</v>
      </c>
      <c r="B9" s="431"/>
      <c r="C9" s="159">
        <f>SUM(C4:C8)</f>
        <v>3.8900000000000006</v>
      </c>
      <c r="D9" s="159">
        <f>SUM(D4:D8)</f>
        <v>0.92999999999999994</v>
      </c>
      <c r="E9" s="159">
        <f>SUM(E4:E8)</f>
        <v>0.16999999999999998</v>
      </c>
      <c r="F9" s="159">
        <f>SUM(F4:F8)</f>
        <v>0.01</v>
      </c>
      <c r="G9" s="160"/>
    </row>
    <row r="12" spans="1:8" ht="23.4" x14ac:dyDescent="0.3">
      <c r="B12" s="312" t="s">
        <v>4039</v>
      </c>
    </row>
  </sheetData>
  <protectedRanges>
    <protectedRange sqref="C4:G8" name="Tabel 5d"/>
  </protectedRanges>
  <mergeCells count="7">
    <mergeCell ref="A9:B9"/>
    <mergeCell ref="H2:H3"/>
    <mergeCell ref="H4:H8"/>
    <mergeCell ref="A2:A3"/>
    <mergeCell ref="B2:B3"/>
    <mergeCell ref="C2:F2"/>
    <mergeCell ref="G2:G3"/>
  </mergeCells>
  <hyperlinks>
    <hyperlink ref="H4" r:id="rId1" xr:uid="{B716DA07-7860-4D06-94EF-7EB44D12CDE7}"/>
    <hyperlink ref="B12" location="'Daftar Sheet'!A1" display="&lt;&lt;&lt; Daftar Sheet" xr:uid="{7BEFA66F-DD50-419F-9D5B-60CF2333DCF6}"/>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B212E-D7B1-4E98-BC7B-30C6A22FE524}">
  <dimension ref="A2:C12"/>
  <sheetViews>
    <sheetView zoomScale="85" zoomScaleNormal="85" workbookViewId="0">
      <selection activeCell="B12" sqref="B12"/>
    </sheetView>
  </sheetViews>
  <sheetFormatPr defaultRowHeight="14.4" x14ac:dyDescent="0.3"/>
  <cols>
    <col min="1" max="1" width="3.21875" bestFit="1" customWidth="1"/>
    <col min="2" max="2" width="25.109375" customWidth="1"/>
    <col min="3" max="3" width="79.44140625" style="14" bestFit="1" customWidth="1"/>
  </cols>
  <sheetData>
    <row r="2" spans="1:3" x14ac:dyDescent="0.3">
      <c r="A2" s="2" t="s">
        <v>0</v>
      </c>
      <c r="B2" s="2" t="s">
        <v>2336</v>
      </c>
      <c r="C2" s="2" t="s">
        <v>137</v>
      </c>
    </row>
    <row r="3" spans="1:3" ht="26.4" x14ac:dyDescent="0.3">
      <c r="A3" s="106">
        <v>1</v>
      </c>
      <c r="B3" s="214" t="s">
        <v>3997</v>
      </c>
      <c r="C3" s="7" t="s">
        <v>3996</v>
      </c>
    </row>
    <row r="4" spans="1:3" ht="26.4" x14ac:dyDescent="0.3">
      <c r="A4" s="106">
        <v>2</v>
      </c>
      <c r="B4" s="214" t="s">
        <v>3998</v>
      </c>
      <c r="C4" s="7" t="s">
        <v>2108</v>
      </c>
    </row>
    <row r="5" spans="1:3" x14ac:dyDescent="0.3">
      <c r="A5" s="106"/>
      <c r="B5" s="268"/>
      <c r="C5" s="7"/>
    </row>
    <row r="6" spans="1:3" x14ac:dyDescent="0.3">
      <c r="A6" s="106"/>
      <c r="B6" s="268"/>
      <c r="C6" s="7"/>
    </row>
    <row r="7" spans="1:3" x14ac:dyDescent="0.3">
      <c r="A7" s="106"/>
      <c r="B7" s="268"/>
      <c r="C7" s="7"/>
    </row>
    <row r="8" spans="1:3" x14ac:dyDescent="0.3">
      <c r="A8" s="106"/>
      <c r="B8" s="268"/>
      <c r="C8" s="7"/>
    </row>
    <row r="9" spans="1:3" x14ac:dyDescent="0.3">
      <c r="A9" s="106"/>
      <c r="B9" s="268"/>
      <c r="C9" s="7"/>
    </row>
    <row r="12" spans="1:3" ht="23.4" x14ac:dyDescent="0.3">
      <c r="B12" s="312" t="s">
        <v>4039</v>
      </c>
    </row>
  </sheetData>
  <hyperlinks>
    <hyperlink ref="C3" r:id="rId1" xr:uid="{9876F878-E53B-4C5E-807D-37517BB52286}"/>
    <hyperlink ref="C4" r:id="rId2" xr:uid="{88B438AA-0A43-4809-A956-B549BFA06720}"/>
    <hyperlink ref="B12" location="'Daftar Sheet'!A1" display="&lt;&lt;&lt; Daftar Sheet" xr:uid="{D5A1621D-9CD8-4DA3-9DDD-D7EB2EA05DA6}"/>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5BB1-F13C-4D60-9878-E8DC83E827BC}">
  <dimension ref="A2:G9"/>
  <sheetViews>
    <sheetView view="pageBreakPreview" zoomScale="115" zoomScaleNormal="100" zoomScaleSheetLayoutView="115" workbookViewId="0"/>
  </sheetViews>
  <sheetFormatPr defaultRowHeight="14.4" x14ac:dyDescent="0.3"/>
  <cols>
    <col min="7" max="7" width="79.21875" bestFit="1" customWidth="1"/>
  </cols>
  <sheetData>
    <row r="2" spans="1:7" x14ac:dyDescent="0.3">
      <c r="A2" s="406" t="s">
        <v>51</v>
      </c>
      <c r="B2" s="406" t="s">
        <v>1886</v>
      </c>
      <c r="C2" s="406" t="s">
        <v>1887</v>
      </c>
      <c r="D2" s="408" t="s">
        <v>1888</v>
      </c>
      <c r="E2" s="432"/>
      <c r="F2" s="432"/>
      <c r="G2" s="391" t="s">
        <v>137</v>
      </c>
    </row>
    <row r="3" spans="1:7" x14ac:dyDescent="0.3">
      <c r="A3" s="407"/>
      <c r="B3" s="407"/>
      <c r="C3" s="407"/>
      <c r="D3" s="164" t="s">
        <v>1889</v>
      </c>
      <c r="E3" s="164" t="s">
        <v>1562</v>
      </c>
      <c r="F3" s="169" t="s">
        <v>1890</v>
      </c>
      <c r="G3" s="391"/>
    </row>
    <row r="4" spans="1:7" x14ac:dyDescent="0.3">
      <c r="A4" s="151">
        <v>1</v>
      </c>
      <c r="B4" s="151" t="s">
        <v>1551</v>
      </c>
      <c r="C4" s="6">
        <v>124</v>
      </c>
      <c r="D4" s="167">
        <v>2.87</v>
      </c>
      <c r="E4" s="167">
        <v>3.36</v>
      </c>
      <c r="F4" s="170">
        <v>3.83</v>
      </c>
      <c r="G4" s="394" t="s">
        <v>2334</v>
      </c>
    </row>
    <row r="5" spans="1:7" x14ac:dyDescent="0.3">
      <c r="A5" s="151">
        <v>2</v>
      </c>
      <c r="B5" s="151" t="s">
        <v>1552</v>
      </c>
      <c r="C5" s="6">
        <v>140</v>
      </c>
      <c r="D5" s="167">
        <v>2.71</v>
      </c>
      <c r="E5" s="167">
        <v>3.42</v>
      </c>
      <c r="F5" s="170">
        <v>3.88</v>
      </c>
      <c r="G5" s="367"/>
    </row>
    <row r="6" spans="1:7" x14ac:dyDescent="0.3">
      <c r="A6" s="151">
        <v>3</v>
      </c>
      <c r="B6" s="151" t="s">
        <v>1553</v>
      </c>
      <c r="C6" s="6">
        <v>208</v>
      </c>
      <c r="D6" s="167">
        <v>2.54</v>
      </c>
      <c r="E6" s="167">
        <v>3.48</v>
      </c>
      <c r="F6" s="170">
        <v>3.88</v>
      </c>
      <c r="G6" s="367"/>
    </row>
    <row r="9" spans="1:7" ht="21" x14ac:dyDescent="0.3">
      <c r="B9" s="311" t="s">
        <v>4039</v>
      </c>
    </row>
  </sheetData>
  <protectedRanges>
    <protectedRange sqref="C4:F6" name="Tabel 8a"/>
  </protectedRanges>
  <mergeCells count="6">
    <mergeCell ref="G4:G6"/>
    <mergeCell ref="A2:A3"/>
    <mergeCell ref="B2:B3"/>
    <mergeCell ref="C2:C3"/>
    <mergeCell ref="D2:F2"/>
    <mergeCell ref="G2:G3"/>
  </mergeCells>
  <dataValidations count="1">
    <dataValidation type="decimal" operator="greaterThanOrEqual" allowBlank="1" showDropDown="1" showInputMessage="1" showErrorMessage="1" prompt="Masukan data yang valid. Data yang dimasukan harus dalam bentuk angka" sqref="C4:F6" xr:uid="{6C28AF1E-17AF-435A-AA1D-AB113ED4765B}">
      <formula1>0</formula1>
    </dataValidation>
  </dataValidations>
  <hyperlinks>
    <hyperlink ref="G4" r:id="rId1" xr:uid="{417214ED-2D57-4008-B816-8E7437A7594D}"/>
    <hyperlink ref="B9" location="'Daftar Sheet'!A1" display="&lt;&lt;&lt; Daftar Sheet" xr:uid="{2F47B0F5-DD7E-467A-9ED5-95BB3158D345}"/>
  </hyperlinks>
  <pageMargins left="0.7" right="0.7" top="0.75" bottom="0.75" header="0.3" footer="0.3"/>
  <pageSetup paperSize="224" orientation="portrait" horizontalDpi="300" verticalDpi="300"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A5DCC-AFD0-49B0-BE33-1901AD4C4C85}">
  <dimension ref="A2:H69"/>
  <sheetViews>
    <sheetView topLeftCell="A58" zoomScale="85" zoomScaleNormal="85" workbookViewId="0">
      <selection activeCell="B69" sqref="B69"/>
    </sheetView>
  </sheetViews>
  <sheetFormatPr defaultRowHeight="14.4" x14ac:dyDescent="0.3"/>
  <cols>
    <col min="1" max="1" width="3.77734375" style="10" bestFit="1" customWidth="1"/>
    <col min="2" max="2" width="202" bestFit="1" customWidth="1"/>
    <col min="3" max="3" width="27.6640625" bestFit="1" customWidth="1"/>
    <col min="4" max="4" width="13.21875" style="1" bestFit="1" customWidth="1"/>
    <col min="5" max="5" width="8.6640625" style="1" bestFit="1" customWidth="1"/>
    <col min="6" max="6" width="12.44140625" style="1" bestFit="1" customWidth="1"/>
    <col min="7" max="7" width="18.33203125" style="10" bestFit="1" customWidth="1"/>
    <col min="8" max="8" width="83.21875" bestFit="1" customWidth="1"/>
  </cols>
  <sheetData>
    <row r="2" spans="1:8" x14ac:dyDescent="0.3">
      <c r="A2" s="391" t="s">
        <v>51</v>
      </c>
      <c r="B2" s="391" t="s">
        <v>1094</v>
      </c>
      <c r="C2" s="391" t="s">
        <v>1095</v>
      </c>
      <c r="D2" s="391" t="s">
        <v>1010</v>
      </c>
      <c r="E2" s="391"/>
      <c r="F2" s="391"/>
      <c r="G2" s="391" t="s">
        <v>1096</v>
      </c>
      <c r="H2" s="368" t="s">
        <v>137</v>
      </c>
    </row>
    <row r="3" spans="1:8" x14ac:dyDescent="0.3">
      <c r="A3" s="391"/>
      <c r="B3" s="391"/>
      <c r="C3" s="391"/>
      <c r="D3" s="2" t="s">
        <v>1097</v>
      </c>
      <c r="E3" s="2" t="s">
        <v>488</v>
      </c>
      <c r="F3" s="2" t="s">
        <v>307</v>
      </c>
      <c r="G3" s="391"/>
      <c r="H3" s="368"/>
    </row>
    <row r="4" spans="1:8" x14ac:dyDescent="0.3">
      <c r="A4" s="3">
        <v>1</v>
      </c>
      <c r="B4" s="30" t="s">
        <v>1098</v>
      </c>
      <c r="C4" s="38">
        <v>44107</v>
      </c>
      <c r="D4" s="33"/>
      <c r="E4" s="33"/>
      <c r="F4" s="33" t="s">
        <v>1099</v>
      </c>
      <c r="G4" s="3" t="s">
        <v>1100</v>
      </c>
      <c r="H4" s="34" t="s">
        <v>1161</v>
      </c>
    </row>
    <row r="5" spans="1:8" x14ac:dyDescent="0.3">
      <c r="A5" s="3">
        <v>2</v>
      </c>
      <c r="B5" s="30" t="s">
        <v>1101</v>
      </c>
      <c r="C5" s="39">
        <v>44057</v>
      </c>
      <c r="D5" s="33"/>
      <c r="E5" s="33" t="s">
        <v>1099</v>
      </c>
      <c r="F5" s="33"/>
      <c r="G5" s="3" t="s">
        <v>1102</v>
      </c>
      <c r="H5" s="30"/>
    </row>
    <row r="6" spans="1:8" x14ac:dyDescent="0.3">
      <c r="A6" s="3">
        <v>3</v>
      </c>
      <c r="B6" s="30" t="s">
        <v>1103</v>
      </c>
      <c r="C6" s="39">
        <v>44511</v>
      </c>
      <c r="D6" s="33"/>
      <c r="E6" s="33"/>
      <c r="F6" s="33" t="s">
        <v>1099</v>
      </c>
      <c r="G6" s="3" t="s">
        <v>1104</v>
      </c>
      <c r="H6" s="30"/>
    </row>
    <row r="7" spans="1:8" x14ac:dyDescent="0.3">
      <c r="A7" s="3">
        <v>4</v>
      </c>
      <c r="B7" s="30" t="s">
        <v>1105</v>
      </c>
      <c r="C7" s="38">
        <v>44513</v>
      </c>
      <c r="D7" s="33"/>
      <c r="E7" s="33"/>
      <c r="F7" s="33" t="s">
        <v>1099</v>
      </c>
      <c r="G7" s="3" t="s">
        <v>1104</v>
      </c>
      <c r="H7" s="34" t="s">
        <v>1172</v>
      </c>
    </row>
    <row r="8" spans="1:8" x14ac:dyDescent="0.3">
      <c r="A8" s="3">
        <v>5</v>
      </c>
      <c r="B8" s="30" t="s">
        <v>1106</v>
      </c>
      <c r="C8" s="39">
        <v>44523</v>
      </c>
      <c r="D8" s="33"/>
      <c r="E8" s="33" t="s">
        <v>1099</v>
      </c>
      <c r="F8" s="33"/>
      <c r="G8" s="3" t="s">
        <v>1104</v>
      </c>
      <c r="H8" s="30"/>
    </row>
    <row r="9" spans="1:8" x14ac:dyDescent="0.3">
      <c r="A9" s="3">
        <v>6</v>
      </c>
      <c r="B9" s="30" t="s">
        <v>1107</v>
      </c>
      <c r="C9" s="39">
        <v>44535</v>
      </c>
      <c r="D9" s="33"/>
      <c r="E9" s="33" t="s">
        <v>1099</v>
      </c>
      <c r="F9" s="33"/>
      <c r="G9" s="3" t="s">
        <v>1104</v>
      </c>
      <c r="H9" s="34" t="s">
        <v>1200</v>
      </c>
    </row>
    <row r="10" spans="1:8" x14ac:dyDescent="0.3">
      <c r="A10" s="3">
        <v>7</v>
      </c>
      <c r="B10" s="30" t="s">
        <v>1108</v>
      </c>
      <c r="C10" s="38">
        <v>44558</v>
      </c>
      <c r="D10" s="33"/>
      <c r="E10" s="33"/>
      <c r="F10" s="33" t="s">
        <v>1099</v>
      </c>
      <c r="G10" s="3" t="s">
        <v>1104</v>
      </c>
      <c r="H10" s="30"/>
    </row>
    <row r="11" spans="1:8" x14ac:dyDescent="0.3">
      <c r="A11" s="3">
        <v>8</v>
      </c>
      <c r="B11" s="30" t="s">
        <v>1109</v>
      </c>
      <c r="C11" s="39">
        <v>44253</v>
      </c>
      <c r="D11" s="33"/>
      <c r="E11" s="33"/>
      <c r="F11" s="33" t="s">
        <v>1099</v>
      </c>
      <c r="G11" s="3" t="s">
        <v>1104</v>
      </c>
      <c r="H11" s="34" t="s">
        <v>1169</v>
      </c>
    </row>
    <row r="12" spans="1:8" x14ac:dyDescent="0.3">
      <c r="A12" s="3">
        <v>9</v>
      </c>
      <c r="B12" s="30" t="s">
        <v>1110</v>
      </c>
      <c r="C12" s="39">
        <v>44253</v>
      </c>
      <c r="D12" s="33"/>
      <c r="E12" s="33"/>
      <c r="F12" s="33" t="s">
        <v>1099</v>
      </c>
      <c r="G12" s="3" t="s">
        <v>1100</v>
      </c>
      <c r="H12" s="34" t="s">
        <v>1180</v>
      </c>
    </row>
    <row r="13" spans="1:8" x14ac:dyDescent="0.3">
      <c r="A13" s="3">
        <v>10</v>
      </c>
      <c r="B13" s="30" t="s">
        <v>1111</v>
      </c>
      <c r="C13" s="38">
        <v>44296</v>
      </c>
      <c r="D13" s="33"/>
      <c r="E13" s="33"/>
      <c r="F13" s="33" t="s">
        <v>1099</v>
      </c>
      <c r="G13" s="3" t="s">
        <v>1104</v>
      </c>
      <c r="H13" s="30"/>
    </row>
    <row r="14" spans="1:8" x14ac:dyDescent="0.3">
      <c r="A14" s="3">
        <v>11</v>
      </c>
      <c r="B14" s="30" t="s">
        <v>1112</v>
      </c>
      <c r="C14" s="39">
        <v>44314</v>
      </c>
      <c r="D14" s="33"/>
      <c r="E14" s="33" t="s">
        <v>1099</v>
      </c>
      <c r="F14" s="33"/>
      <c r="G14" s="3" t="s">
        <v>1104</v>
      </c>
      <c r="H14" s="30"/>
    </row>
    <row r="15" spans="1:8" x14ac:dyDescent="0.3">
      <c r="A15" s="3">
        <v>12</v>
      </c>
      <c r="B15" s="30" t="s">
        <v>1113</v>
      </c>
      <c r="C15" s="39">
        <v>44266</v>
      </c>
      <c r="D15" s="33"/>
      <c r="E15" s="33"/>
      <c r="F15" s="33" t="s">
        <v>1099</v>
      </c>
      <c r="G15" s="3" t="s">
        <v>1104</v>
      </c>
      <c r="H15" s="34" t="s">
        <v>1164</v>
      </c>
    </row>
    <row r="16" spans="1:8" x14ac:dyDescent="0.3">
      <c r="A16" s="3">
        <v>13</v>
      </c>
      <c r="B16" s="30" t="s">
        <v>1165</v>
      </c>
      <c r="C16" s="38">
        <v>44282</v>
      </c>
      <c r="D16" s="33"/>
      <c r="E16" s="33"/>
      <c r="F16" s="33" t="s">
        <v>1099</v>
      </c>
      <c r="G16" s="3" t="s">
        <v>1104</v>
      </c>
      <c r="H16" s="34" t="s">
        <v>1164</v>
      </c>
    </row>
    <row r="17" spans="1:8" x14ac:dyDescent="0.3">
      <c r="A17" s="3">
        <v>14</v>
      </c>
      <c r="B17" s="30" t="s">
        <v>1166</v>
      </c>
      <c r="C17" s="39">
        <v>44282</v>
      </c>
      <c r="D17" s="33"/>
      <c r="E17" s="33"/>
      <c r="F17" s="33" t="s">
        <v>1099</v>
      </c>
      <c r="G17" s="3" t="s">
        <v>1100</v>
      </c>
      <c r="H17" s="34" t="s">
        <v>1167</v>
      </c>
    </row>
    <row r="18" spans="1:8" x14ac:dyDescent="0.3">
      <c r="A18" s="3">
        <v>15</v>
      </c>
      <c r="B18" s="30" t="s">
        <v>1114</v>
      </c>
      <c r="C18" s="39">
        <v>44442</v>
      </c>
      <c r="D18" s="33"/>
      <c r="E18" s="33"/>
      <c r="F18" s="33" t="s">
        <v>1099</v>
      </c>
      <c r="G18" s="3" t="s">
        <v>1100</v>
      </c>
      <c r="H18" s="30"/>
    </row>
    <row r="19" spans="1:8" x14ac:dyDescent="0.3">
      <c r="A19" s="3">
        <v>16</v>
      </c>
      <c r="B19" s="30" t="s">
        <v>1115</v>
      </c>
      <c r="C19" s="38">
        <v>44464</v>
      </c>
      <c r="D19" s="33"/>
      <c r="E19" s="33"/>
      <c r="F19" s="33" t="s">
        <v>1099</v>
      </c>
      <c r="G19" s="3" t="s">
        <v>1100</v>
      </c>
      <c r="H19" s="34" t="s">
        <v>1169</v>
      </c>
    </row>
    <row r="20" spans="1:8" x14ac:dyDescent="0.3">
      <c r="A20" s="3">
        <v>17</v>
      </c>
      <c r="B20" s="30" t="s">
        <v>1116</v>
      </c>
      <c r="C20" s="39">
        <v>44416</v>
      </c>
      <c r="D20" s="33"/>
      <c r="E20" s="33"/>
      <c r="F20" s="33" t="s">
        <v>1099</v>
      </c>
      <c r="G20" s="3" t="s">
        <v>1102</v>
      </c>
      <c r="H20" s="30"/>
    </row>
    <row r="21" spans="1:8" x14ac:dyDescent="0.3">
      <c r="A21" s="3">
        <v>18</v>
      </c>
      <c r="B21" s="30" t="s">
        <v>1117</v>
      </c>
      <c r="C21" s="38">
        <v>44261</v>
      </c>
      <c r="D21" s="33"/>
      <c r="E21" s="33"/>
      <c r="F21" s="33" t="s">
        <v>1099</v>
      </c>
      <c r="G21" s="3" t="s">
        <v>1100</v>
      </c>
      <c r="H21" s="30"/>
    </row>
    <row r="22" spans="1:8" x14ac:dyDescent="0.3">
      <c r="A22" s="3">
        <v>19</v>
      </c>
      <c r="B22" s="30" t="s">
        <v>1118</v>
      </c>
      <c r="C22" s="39">
        <v>44261</v>
      </c>
      <c r="D22" s="33"/>
      <c r="E22" s="33"/>
      <c r="F22" s="33" t="s">
        <v>1099</v>
      </c>
      <c r="G22" s="3" t="s">
        <v>1100</v>
      </c>
      <c r="H22" s="30"/>
    </row>
    <row r="23" spans="1:8" x14ac:dyDescent="0.3">
      <c r="A23" s="3">
        <v>20</v>
      </c>
      <c r="B23" s="30" t="s">
        <v>1119</v>
      </c>
      <c r="C23" s="39">
        <v>44300</v>
      </c>
      <c r="D23" s="33"/>
      <c r="E23" s="33" t="s">
        <v>1099</v>
      </c>
      <c r="F23" s="33"/>
      <c r="G23" s="3" t="s">
        <v>1100</v>
      </c>
      <c r="H23" s="30"/>
    </row>
    <row r="24" spans="1:8" x14ac:dyDescent="0.3">
      <c r="A24" s="3">
        <v>21</v>
      </c>
      <c r="B24" s="30" t="s">
        <v>1120</v>
      </c>
      <c r="C24" s="39">
        <v>44599</v>
      </c>
      <c r="D24" s="33"/>
      <c r="E24" s="33" t="s">
        <v>1099</v>
      </c>
      <c r="F24" s="33"/>
      <c r="G24" s="3" t="s">
        <v>1104</v>
      </c>
      <c r="H24" s="34" t="s">
        <v>1170</v>
      </c>
    </row>
    <row r="25" spans="1:8" x14ac:dyDescent="0.3">
      <c r="A25" s="3">
        <v>22</v>
      </c>
      <c r="B25" s="30" t="s">
        <v>1121</v>
      </c>
      <c r="C25" s="39">
        <v>44609</v>
      </c>
      <c r="D25" s="33"/>
      <c r="E25" s="33" t="s">
        <v>1099</v>
      </c>
      <c r="F25" s="33"/>
      <c r="G25" s="3" t="s">
        <v>1104</v>
      </c>
      <c r="H25" s="30"/>
    </row>
    <row r="26" spans="1:8" x14ac:dyDescent="0.3">
      <c r="A26" s="3">
        <v>23</v>
      </c>
      <c r="B26" s="30" t="s">
        <v>1181</v>
      </c>
      <c r="C26" s="38">
        <v>44615</v>
      </c>
      <c r="D26" s="33"/>
      <c r="E26" s="33"/>
      <c r="F26" s="33" t="s">
        <v>1099</v>
      </c>
      <c r="G26" s="3" t="s">
        <v>1102</v>
      </c>
      <c r="H26" s="34" t="s">
        <v>1182</v>
      </c>
    </row>
    <row r="27" spans="1:8" x14ac:dyDescent="0.3">
      <c r="A27" s="3">
        <v>24</v>
      </c>
      <c r="B27" s="30" t="s">
        <v>1122</v>
      </c>
      <c r="C27" s="39">
        <v>44616</v>
      </c>
      <c r="D27" s="33"/>
      <c r="E27" s="33"/>
      <c r="F27" s="33" t="s">
        <v>1099</v>
      </c>
      <c r="G27" s="3" t="s">
        <v>1102</v>
      </c>
      <c r="H27" s="34" t="s">
        <v>1175</v>
      </c>
    </row>
    <row r="28" spans="1:8" x14ac:dyDescent="0.3">
      <c r="A28" s="3">
        <v>25</v>
      </c>
      <c r="B28" s="30" t="s">
        <v>1123</v>
      </c>
      <c r="C28" s="39">
        <v>44616</v>
      </c>
      <c r="D28" s="33"/>
      <c r="E28" s="33"/>
      <c r="F28" s="33" t="s">
        <v>1099</v>
      </c>
      <c r="G28" s="3" t="s">
        <v>1102</v>
      </c>
      <c r="H28" s="34" t="s">
        <v>1176</v>
      </c>
    </row>
    <row r="29" spans="1:8" x14ac:dyDescent="0.3">
      <c r="A29" s="3">
        <v>26</v>
      </c>
      <c r="B29" s="30" t="s">
        <v>1124</v>
      </c>
      <c r="C29" s="38">
        <v>44616</v>
      </c>
      <c r="D29" s="33"/>
      <c r="E29" s="33"/>
      <c r="F29" s="33" t="s">
        <v>1099</v>
      </c>
      <c r="G29" s="3" t="s">
        <v>1102</v>
      </c>
      <c r="H29" s="34" t="s">
        <v>1178</v>
      </c>
    </row>
    <row r="30" spans="1:8" x14ac:dyDescent="0.3">
      <c r="A30" s="3">
        <v>27</v>
      </c>
      <c r="B30" s="30" t="s">
        <v>1125</v>
      </c>
      <c r="C30" s="39">
        <v>44625</v>
      </c>
      <c r="D30" s="33"/>
      <c r="E30" s="33"/>
      <c r="F30" s="33" t="s">
        <v>1099</v>
      </c>
      <c r="G30" s="3" t="s">
        <v>1104</v>
      </c>
      <c r="H30" s="34" t="s">
        <v>1185</v>
      </c>
    </row>
    <row r="31" spans="1:8" x14ac:dyDescent="0.3">
      <c r="A31" s="3">
        <v>28</v>
      </c>
      <c r="B31" s="30" t="s">
        <v>1183</v>
      </c>
      <c r="C31" s="39">
        <v>44626</v>
      </c>
      <c r="D31" s="33"/>
      <c r="E31" s="33"/>
      <c r="F31" s="33" t="s">
        <v>1099</v>
      </c>
      <c r="G31" s="3" t="s">
        <v>1102</v>
      </c>
      <c r="H31" s="34" t="s">
        <v>1184</v>
      </c>
    </row>
    <row r="32" spans="1:8" x14ac:dyDescent="0.3">
      <c r="A32" s="3">
        <v>29</v>
      </c>
      <c r="B32" s="30" t="s">
        <v>1193</v>
      </c>
      <c r="C32" s="38">
        <v>44629</v>
      </c>
      <c r="D32" s="33"/>
      <c r="E32" s="33"/>
      <c r="F32" s="33" t="s">
        <v>1099</v>
      </c>
      <c r="G32" s="3" t="s">
        <v>1100</v>
      </c>
      <c r="H32" s="34" t="s">
        <v>1194</v>
      </c>
    </row>
    <row r="33" spans="1:8" x14ac:dyDescent="0.3">
      <c r="A33" s="3">
        <v>30</v>
      </c>
      <c r="B33" s="30" t="s">
        <v>1126</v>
      </c>
      <c r="C33" s="39">
        <v>44632</v>
      </c>
      <c r="D33" s="33"/>
      <c r="E33" s="33"/>
      <c r="F33" s="33" t="s">
        <v>1099</v>
      </c>
      <c r="G33" s="3" t="s">
        <v>1104</v>
      </c>
      <c r="H33" s="34" t="s">
        <v>1195</v>
      </c>
    </row>
    <row r="34" spans="1:8" x14ac:dyDescent="0.3">
      <c r="A34" s="3">
        <v>31</v>
      </c>
      <c r="B34" s="30" t="s">
        <v>1127</v>
      </c>
      <c r="C34" s="39">
        <v>44636</v>
      </c>
      <c r="D34" s="33"/>
      <c r="E34" s="33" t="s">
        <v>1099</v>
      </c>
      <c r="F34" s="33"/>
      <c r="G34" s="3" t="s">
        <v>1100</v>
      </c>
      <c r="H34" s="34" t="s">
        <v>1190</v>
      </c>
    </row>
    <row r="35" spans="1:8" x14ac:dyDescent="0.3">
      <c r="A35" s="3">
        <v>32</v>
      </c>
      <c r="B35" s="30" t="s">
        <v>1128</v>
      </c>
      <c r="C35" s="38">
        <v>44639</v>
      </c>
      <c r="D35" s="33"/>
      <c r="E35" s="33"/>
      <c r="F35" s="33" t="s">
        <v>1099</v>
      </c>
      <c r="G35" s="3" t="s">
        <v>1100</v>
      </c>
      <c r="H35" s="34" t="s">
        <v>1191</v>
      </c>
    </row>
    <row r="36" spans="1:8" x14ac:dyDescent="0.3">
      <c r="A36" s="3">
        <v>33</v>
      </c>
      <c r="B36" s="30" t="s">
        <v>1129</v>
      </c>
      <c r="C36" s="39">
        <v>44639</v>
      </c>
      <c r="D36" s="33"/>
      <c r="E36" s="33"/>
      <c r="F36" s="33" t="s">
        <v>1099</v>
      </c>
      <c r="G36" s="3" t="s">
        <v>1104</v>
      </c>
      <c r="H36" s="34" t="s">
        <v>1162</v>
      </c>
    </row>
    <row r="37" spans="1:8" x14ac:dyDescent="0.3">
      <c r="A37" s="3">
        <v>34</v>
      </c>
      <c r="B37" s="30" t="s">
        <v>1130</v>
      </c>
      <c r="C37" s="39">
        <v>44639</v>
      </c>
      <c r="D37" s="33"/>
      <c r="E37" s="33"/>
      <c r="F37" s="33" t="s">
        <v>1099</v>
      </c>
      <c r="G37" s="3" t="s">
        <v>1102</v>
      </c>
      <c r="H37" s="34" t="s">
        <v>1163</v>
      </c>
    </row>
    <row r="38" spans="1:8" x14ac:dyDescent="0.3">
      <c r="A38" s="3">
        <v>35</v>
      </c>
      <c r="B38" s="30" t="s">
        <v>1131</v>
      </c>
      <c r="C38" s="38">
        <v>44702</v>
      </c>
      <c r="D38" s="33"/>
      <c r="E38" s="33"/>
      <c r="F38" s="33" t="s">
        <v>1099</v>
      </c>
      <c r="G38" s="3" t="s">
        <v>1100</v>
      </c>
      <c r="H38" s="34" t="s">
        <v>1192</v>
      </c>
    </row>
    <row r="39" spans="1:8" x14ac:dyDescent="0.3">
      <c r="A39" s="3">
        <v>36</v>
      </c>
      <c r="B39" s="30" t="s">
        <v>1132</v>
      </c>
      <c r="C39" s="39">
        <v>44616</v>
      </c>
      <c r="D39" s="33"/>
      <c r="E39" s="33"/>
      <c r="F39" s="33" t="s">
        <v>1099</v>
      </c>
      <c r="G39" s="3" t="s">
        <v>1102</v>
      </c>
      <c r="H39" s="34" t="s">
        <v>1173</v>
      </c>
    </row>
    <row r="40" spans="1:8" x14ac:dyDescent="0.3">
      <c r="A40" s="3">
        <v>37</v>
      </c>
      <c r="B40" s="30" t="s">
        <v>1186</v>
      </c>
      <c r="C40" s="39">
        <v>44625</v>
      </c>
      <c r="D40" s="33"/>
      <c r="E40" s="33"/>
      <c r="F40" s="33" t="s">
        <v>1099</v>
      </c>
      <c r="G40" s="3" t="s">
        <v>1104</v>
      </c>
      <c r="H40" s="34" t="s">
        <v>1187</v>
      </c>
    </row>
    <row r="41" spans="1:8" x14ac:dyDescent="0.3">
      <c r="A41" s="3">
        <v>38</v>
      </c>
      <c r="B41" s="30" t="s">
        <v>1133</v>
      </c>
      <c r="C41" s="38">
        <v>44716</v>
      </c>
      <c r="D41" s="33"/>
      <c r="E41" s="33"/>
      <c r="F41" s="33" t="s">
        <v>1099</v>
      </c>
      <c r="G41" s="3" t="s">
        <v>1102</v>
      </c>
      <c r="H41" s="34" t="s">
        <v>1199</v>
      </c>
    </row>
    <row r="42" spans="1:8" x14ac:dyDescent="0.3">
      <c r="A42" s="3">
        <v>39</v>
      </c>
      <c r="B42" s="30" t="s">
        <v>1135</v>
      </c>
      <c r="C42" s="39">
        <v>44819</v>
      </c>
      <c r="D42" s="33"/>
      <c r="E42" s="33"/>
      <c r="F42" s="33" t="s">
        <v>1099</v>
      </c>
      <c r="G42" s="3" t="s">
        <v>1134</v>
      </c>
      <c r="H42" s="34" t="s">
        <v>1197</v>
      </c>
    </row>
    <row r="43" spans="1:8" x14ac:dyDescent="0.3">
      <c r="A43" s="3">
        <v>40</v>
      </c>
      <c r="B43" s="30" t="s">
        <v>1136</v>
      </c>
      <c r="C43" s="38">
        <v>44819</v>
      </c>
      <c r="D43" s="33"/>
      <c r="E43" s="33"/>
      <c r="F43" s="33" t="s">
        <v>1099</v>
      </c>
      <c r="G43" s="3" t="s">
        <v>1137</v>
      </c>
      <c r="H43" s="34" t="s">
        <v>1196</v>
      </c>
    </row>
    <row r="44" spans="1:8" x14ac:dyDescent="0.3">
      <c r="A44" s="3">
        <v>41</v>
      </c>
      <c r="B44" s="30" t="s">
        <v>1138</v>
      </c>
      <c r="C44" s="39">
        <v>44819</v>
      </c>
      <c r="D44" s="33"/>
      <c r="E44" s="33"/>
      <c r="F44" s="33" t="s">
        <v>1099</v>
      </c>
      <c r="G44" s="3" t="s">
        <v>1137</v>
      </c>
      <c r="H44" s="34" t="s">
        <v>1198</v>
      </c>
    </row>
    <row r="45" spans="1:8" x14ac:dyDescent="0.3">
      <c r="A45" s="3">
        <v>42</v>
      </c>
      <c r="B45" s="30" t="s">
        <v>1139</v>
      </c>
      <c r="C45" s="39">
        <v>44885</v>
      </c>
      <c r="D45" s="33"/>
      <c r="E45" s="33"/>
      <c r="F45" s="33" t="s">
        <v>1099</v>
      </c>
      <c r="G45" s="3" t="s">
        <v>1140</v>
      </c>
      <c r="H45" s="34" t="s">
        <v>1171</v>
      </c>
    </row>
    <row r="46" spans="1:8" x14ac:dyDescent="0.3">
      <c r="A46" s="3">
        <v>43</v>
      </c>
      <c r="B46" s="30" t="s">
        <v>1141</v>
      </c>
      <c r="C46" s="38">
        <v>44884</v>
      </c>
      <c r="D46" s="33"/>
      <c r="E46" s="33"/>
      <c r="F46" s="33" t="s">
        <v>1099</v>
      </c>
      <c r="G46" s="3" t="s">
        <v>1137</v>
      </c>
      <c r="H46" s="34" t="s">
        <v>1201</v>
      </c>
    </row>
    <row r="47" spans="1:8" x14ac:dyDescent="0.3">
      <c r="A47" s="3">
        <v>44</v>
      </c>
      <c r="B47" s="30" t="s">
        <v>4024</v>
      </c>
      <c r="C47" s="39">
        <v>44819</v>
      </c>
      <c r="D47" s="33"/>
      <c r="E47" s="33"/>
      <c r="F47" s="33" t="s">
        <v>1099</v>
      </c>
      <c r="G47" s="3" t="s">
        <v>1102</v>
      </c>
      <c r="H47" s="34" t="s">
        <v>4023</v>
      </c>
    </row>
    <row r="48" spans="1:8" x14ac:dyDescent="0.3">
      <c r="A48" s="3">
        <v>45</v>
      </c>
      <c r="B48" s="30" t="s">
        <v>4026</v>
      </c>
      <c r="C48" s="38">
        <v>44819</v>
      </c>
      <c r="D48" s="33"/>
      <c r="E48" s="33"/>
      <c r="F48" s="33" t="s">
        <v>1099</v>
      </c>
      <c r="G48" s="3" t="s">
        <v>1102</v>
      </c>
      <c r="H48" s="34" t="s">
        <v>4025</v>
      </c>
    </row>
    <row r="49" spans="1:8" x14ac:dyDescent="0.3">
      <c r="A49" s="3">
        <v>46</v>
      </c>
      <c r="B49" s="30" t="s">
        <v>1143</v>
      </c>
      <c r="C49" s="39">
        <v>44981</v>
      </c>
      <c r="D49" s="33"/>
      <c r="E49" s="33"/>
      <c r="F49" s="33" t="s">
        <v>1099</v>
      </c>
      <c r="G49" s="3" t="s">
        <v>1102</v>
      </c>
      <c r="H49" s="34" t="s">
        <v>1174</v>
      </c>
    </row>
    <row r="50" spans="1:8" x14ac:dyDescent="0.3">
      <c r="A50" s="3">
        <v>47</v>
      </c>
      <c r="B50" s="30" t="s">
        <v>1144</v>
      </c>
      <c r="C50" s="38">
        <v>44981</v>
      </c>
      <c r="D50" s="33"/>
      <c r="E50" s="33"/>
      <c r="F50" s="33" t="s">
        <v>1099</v>
      </c>
      <c r="G50" s="3" t="s">
        <v>1100</v>
      </c>
      <c r="H50" s="34" t="s">
        <v>1177</v>
      </c>
    </row>
    <row r="51" spans="1:8" x14ac:dyDescent="0.3">
      <c r="A51" s="3">
        <v>48</v>
      </c>
      <c r="B51" s="30" t="s">
        <v>1145</v>
      </c>
      <c r="C51" s="39">
        <v>44981</v>
      </c>
      <c r="D51" s="33"/>
      <c r="E51" s="33"/>
      <c r="F51" s="33" t="s">
        <v>1099</v>
      </c>
      <c r="G51" s="3" t="s">
        <v>1104</v>
      </c>
      <c r="H51" s="34" t="s">
        <v>1179</v>
      </c>
    </row>
    <row r="52" spans="1:8" x14ac:dyDescent="0.3">
      <c r="A52" s="3">
        <v>49</v>
      </c>
      <c r="B52" s="30" t="s">
        <v>1146</v>
      </c>
      <c r="C52" s="39">
        <v>44927</v>
      </c>
      <c r="D52" s="33"/>
      <c r="E52" s="33" t="s">
        <v>1099</v>
      </c>
      <c r="F52" s="33"/>
      <c r="G52" s="3" t="s">
        <v>1100</v>
      </c>
      <c r="H52" s="30"/>
    </row>
    <row r="53" spans="1:8" x14ac:dyDescent="0.3">
      <c r="A53" s="3">
        <v>50</v>
      </c>
      <c r="B53" s="30" t="s">
        <v>1147</v>
      </c>
      <c r="C53" s="38">
        <v>44954</v>
      </c>
      <c r="D53" s="33"/>
      <c r="E53" s="33" t="s">
        <v>1016</v>
      </c>
      <c r="F53" s="33"/>
      <c r="G53" s="3" t="s">
        <v>1102</v>
      </c>
      <c r="H53" s="30"/>
    </row>
    <row r="54" spans="1:8" x14ac:dyDescent="0.3">
      <c r="A54" s="3">
        <v>51</v>
      </c>
      <c r="B54" s="30" t="s">
        <v>1148</v>
      </c>
      <c r="C54" s="39">
        <v>45058</v>
      </c>
      <c r="D54" s="33"/>
      <c r="E54" s="33"/>
      <c r="F54" s="33" t="s">
        <v>1099</v>
      </c>
      <c r="G54" s="3" t="s">
        <v>1134</v>
      </c>
      <c r="H54" s="34" t="s">
        <v>1168</v>
      </c>
    </row>
    <row r="55" spans="1:8" x14ac:dyDescent="0.3">
      <c r="A55" s="3">
        <v>52</v>
      </c>
      <c r="B55" s="30" t="s">
        <v>1149</v>
      </c>
      <c r="C55" s="39">
        <v>45058</v>
      </c>
      <c r="D55" s="33"/>
      <c r="E55" s="33"/>
      <c r="F55" s="33" t="s">
        <v>1099</v>
      </c>
      <c r="G55" s="3" t="s">
        <v>1104</v>
      </c>
      <c r="H55" s="34" t="s">
        <v>1161</v>
      </c>
    </row>
    <row r="56" spans="1:8" x14ac:dyDescent="0.3">
      <c r="A56" s="3">
        <v>53</v>
      </c>
      <c r="B56" s="30" t="s">
        <v>1150</v>
      </c>
      <c r="C56" s="38">
        <v>44996</v>
      </c>
      <c r="D56" s="33"/>
      <c r="E56" s="33"/>
      <c r="F56" s="33" t="s">
        <v>1099</v>
      </c>
      <c r="G56" s="3" t="s">
        <v>1100</v>
      </c>
      <c r="H56" s="34" t="s">
        <v>1189</v>
      </c>
    </row>
    <row r="57" spans="1:8" x14ac:dyDescent="0.3">
      <c r="A57" s="3">
        <v>54</v>
      </c>
      <c r="B57" s="30" t="s">
        <v>1151</v>
      </c>
      <c r="C57" s="39">
        <v>44996</v>
      </c>
      <c r="D57" s="33"/>
      <c r="E57" s="33"/>
      <c r="F57" s="33" t="s">
        <v>1099</v>
      </c>
      <c r="G57" s="3" t="s">
        <v>1142</v>
      </c>
      <c r="H57" s="34" t="s">
        <v>1188</v>
      </c>
    </row>
    <row r="58" spans="1:8" x14ac:dyDescent="0.3">
      <c r="A58" s="3">
        <v>55</v>
      </c>
      <c r="B58" s="204" t="s">
        <v>1152</v>
      </c>
      <c r="C58" s="205">
        <v>44981</v>
      </c>
      <c r="D58" s="203"/>
      <c r="E58" s="203"/>
      <c r="F58" s="203" t="s">
        <v>1099</v>
      </c>
      <c r="G58" s="42" t="s">
        <v>1142</v>
      </c>
      <c r="H58" s="206" t="s">
        <v>1179</v>
      </c>
    </row>
    <row r="59" spans="1:8" x14ac:dyDescent="0.3">
      <c r="A59" s="3">
        <v>56</v>
      </c>
      <c r="B59" s="30" t="s">
        <v>2240</v>
      </c>
      <c r="C59" s="5" t="s">
        <v>2241</v>
      </c>
      <c r="D59" s="3"/>
      <c r="E59" s="3"/>
      <c r="F59" s="3" t="s">
        <v>1099</v>
      </c>
      <c r="G59" s="3" t="s">
        <v>1104</v>
      </c>
      <c r="H59" s="380" t="s">
        <v>2251</v>
      </c>
    </row>
    <row r="60" spans="1:8" x14ac:dyDescent="0.3">
      <c r="A60" s="3">
        <v>57</v>
      </c>
      <c r="B60" s="30" t="s">
        <v>2242</v>
      </c>
      <c r="C60" s="5" t="s">
        <v>2241</v>
      </c>
      <c r="D60" s="3"/>
      <c r="E60" s="3"/>
      <c r="F60" s="3" t="s">
        <v>1099</v>
      </c>
      <c r="G60" s="3" t="s">
        <v>1100</v>
      </c>
      <c r="H60" s="442"/>
    </row>
    <row r="61" spans="1:8" x14ac:dyDescent="0.3">
      <c r="A61" s="3">
        <v>58</v>
      </c>
      <c r="B61" s="30" t="s">
        <v>2243</v>
      </c>
      <c r="C61" s="5" t="s">
        <v>2241</v>
      </c>
      <c r="D61" s="3"/>
      <c r="E61" s="3"/>
      <c r="F61" s="3" t="s">
        <v>1099</v>
      </c>
      <c r="G61" s="3" t="s">
        <v>1102</v>
      </c>
      <c r="H61" s="442"/>
    </row>
    <row r="62" spans="1:8" x14ac:dyDescent="0.3">
      <c r="A62" s="3">
        <v>59</v>
      </c>
      <c r="B62" s="30" t="s">
        <v>2244</v>
      </c>
      <c r="C62" s="5" t="s">
        <v>2241</v>
      </c>
      <c r="D62" s="3"/>
      <c r="E62" s="3"/>
      <c r="F62" s="3" t="s">
        <v>1099</v>
      </c>
      <c r="G62" s="3" t="s">
        <v>2245</v>
      </c>
      <c r="H62" s="443"/>
    </row>
    <row r="63" spans="1:8" x14ac:dyDescent="0.3">
      <c r="A63" s="3">
        <v>60</v>
      </c>
      <c r="B63" s="30" t="s">
        <v>2247</v>
      </c>
      <c r="C63" s="5" t="s">
        <v>2246</v>
      </c>
      <c r="D63" s="3"/>
      <c r="E63" s="3"/>
      <c r="F63" s="3" t="s">
        <v>1099</v>
      </c>
      <c r="G63" s="3" t="s">
        <v>1104</v>
      </c>
      <c r="H63" s="380" t="s">
        <v>2252</v>
      </c>
    </row>
    <row r="64" spans="1:8" x14ac:dyDescent="0.3">
      <c r="A64" s="3">
        <v>61</v>
      </c>
      <c r="B64" s="30" t="s">
        <v>2248</v>
      </c>
      <c r="C64" s="5" t="s">
        <v>2246</v>
      </c>
      <c r="D64" s="3"/>
      <c r="E64" s="3"/>
      <c r="F64" s="3" t="s">
        <v>1099</v>
      </c>
      <c r="G64" s="3" t="s">
        <v>1102</v>
      </c>
      <c r="H64" s="442"/>
    </row>
    <row r="65" spans="1:8" x14ac:dyDescent="0.3">
      <c r="A65" s="3">
        <v>62</v>
      </c>
      <c r="B65" s="30" t="s">
        <v>2249</v>
      </c>
      <c r="C65" s="3" t="s">
        <v>2246</v>
      </c>
      <c r="D65" s="3"/>
      <c r="E65" s="3"/>
      <c r="F65" s="3" t="s">
        <v>1099</v>
      </c>
      <c r="G65" s="3" t="s">
        <v>1104</v>
      </c>
      <c r="H65" s="442"/>
    </row>
    <row r="66" spans="1:8" x14ac:dyDescent="0.3">
      <c r="A66" s="3">
        <v>63</v>
      </c>
      <c r="B66" s="30" t="s">
        <v>2250</v>
      </c>
      <c r="C66" s="3" t="s">
        <v>2246</v>
      </c>
      <c r="D66" s="3"/>
      <c r="E66" s="3"/>
      <c r="F66" s="3" t="s">
        <v>1099</v>
      </c>
      <c r="G66" s="3" t="s">
        <v>1100</v>
      </c>
      <c r="H66" s="443"/>
    </row>
    <row r="69" spans="1:8" ht="21" x14ac:dyDescent="0.3">
      <c r="B69" s="311" t="s">
        <v>4039</v>
      </c>
    </row>
  </sheetData>
  <protectedRanges>
    <protectedRange sqref="C4:C58" name="Tabel 8b1_1"/>
  </protectedRanges>
  <autoFilter ref="A3:H66" xr:uid="{650A5DCC-AFD0-49B0-BE33-1901AD4C4C85}"/>
  <mergeCells count="8">
    <mergeCell ref="H59:H62"/>
    <mergeCell ref="H63:H66"/>
    <mergeCell ref="A2:A3"/>
    <mergeCell ref="H2:H3"/>
    <mergeCell ref="D2:F2"/>
    <mergeCell ref="G2:G3"/>
    <mergeCell ref="C2:C3"/>
    <mergeCell ref="B2:B3"/>
  </mergeCells>
  <dataValidations count="1">
    <dataValidation type="custom" allowBlank="1" showDropDown="1" showInputMessage="1" showErrorMessage="1" prompt="Masukan data yang valid. Contoh tanggal : 29 Desember 2021, maka input yang valid adalah 29/12/2021" sqref="C4:C58" xr:uid="{C1954813-A2FD-49FB-B0A3-F25DBC7C9A52}">
      <formula1>OR(NOT(ISERROR(DATEVALUE(C4))), AND(ISNUMBER(C4), LEFT(CELL("format", C4))="D"))</formula1>
    </dataValidation>
  </dataValidations>
  <hyperlinks>
    <hyperlink ref="H4" r:id="rId1" xr:uid="{4707E59F-36E1-4962-A548-58AEEA459BC3}"/>
    <hyperlink ref="H36" r:id="rId2" xr:uid="{DFD20827-1295-44B9-882B-D706D0B8158F}"/>
    <hyperlink ref="H37" r:id="rId3" xr:uid="{3DB0CE68-D08A-48C7-B135-D76A6897BBE4}"/>
    <hyperlink ref="H16" r:id="rId4" xr:uid="{EFF55DF3-D3BE-4E08-8302-0B99FF1126F1}"/>
    <hyperlink ref="H17" r:id="rId5" xr:uid="{A3BCFB59-36B3-410C-B37C-F2BD1A77FA97}"/>
    <hyperlink ref="H15" r:id="rId6" xr:uid="{2915CEB0-01AC-47BE-8CAD-9CFD8935231F}"/>
    <hyperlink ref="H54" r:id="rId7" xr:uid="{96280169-0608-4C81-A39C-DFE20FFABE0D}"/>
    <hyperlink ref="H55" r:id="rId8" xr:uid="{6E7324D5-6F43-4066-A789-66FDE795C7C8}"/>
    <hyperlink ref="H19" r:id="rId9" xr:uid="{E872302C-12D8-4CF1-85BE-22FEAC055BDA}"/>
    <hyperlink ref="H24" r:id="rId10" xr:uid="{40BCBC18-8B62-4C72-BF65-BD30B1F79B37}"/>
    <hyperlink ref="H45" r:id="rId11" xr:uid="{038C9827-3C31-454F-B7DF-B09243F6E250}"/>
    <hyperlink ref="H7" r:id="rId12" xr:uid="{67EB66CC-E335-47C1-AB51-FB2A5A2AD000}"/>
    <hyperlink ref="H39" r:id="rId13" xr:uid="{04D7575D-9121-45E4-820B-61B347E595D4}"/>
    <hyperlink ref="H49" r:id="rId14" xr:uid="{AD6B1602-E592-4D60-991C-88FE71D2F7D2}"/>
    <hyperlink ref="H27" r:id="rId15" xr:uid="{5E038A8D-A5CC-48A4-9B73-6E2ED3E5B389}"/>
    <hyperlink ref="H28" r:id="rId16" xr:uid="{2E80662F-ECF4-43B3-9EB8-24648C20A457}"/>
    <hyperlink ref="H50" r:id="rId17" xr:uid="{5C809458-DAFD-4FBA-8E86-0725715CF3C7}"/>
    <hyperlink ref="H29" r:id="rId18" xr:uid="{5F485091-5AAD-4168-B2D1-7F6C0AB0C11E}"/>
    <hyperlink ref="H51" r:id="rId19" xr:uid="{8D0AD2F5-36BA-4965-AC96-8CCCC415CC7E}"/>
    <hyperlink ref="H58" r:id="rId20" xr:uid="{96F85092-5E0C-472C-A3DE-9F4BA1424495}"/>
    <hyperlink ref="H11" r:id="rId21" xr:uid="{82D8759C-62AC-4E2C-B1D2-E8B8DBDD7752}"/>
    <hyperlink ref="H12" r:id="rId22" xr:uid="{AA7361E4-84AA-4D78-968C-F047149F3021}"/>
    <hyperlink ref="H26" r:id="rId23" xr:uid="{F2276077-DEAE-40F1-9048-1C2F3F9B23B7}"/>
    <hyperlink ref="H31" r:id="rId24" xr:uid="{47E0F63B-1592-4B42-A897-16E5ECBCC803}"/>
    <hyperlink ref="H30" r:id="rId25" xr:uid="{708ADBFE-8160-40FA-A676-08C729562ACB}"/>
    <hyperlink ref="H40" r:id="rId26" xr:uid="{7F7976CE-27EC-4C4C-82F8-5A3198D002C6}"/>
    <hyperlink ref="H57" r:id="rId27" xr:uid="{08C0378A-5A2E-47C3-8EF5-A897B1ECCBD9}"/>
    <hyperlink ref="H56" r:id="rId28" xr:uid="{349DFB9E-C6F3-42DE-8B9B-46EACB9FB939}"/>
    <hyperlink ref="H34" r:id="rId29" xr:uid="{9293B743-776C-4156-831A-24DD8E9BDE99}"/>
    <hyperlink ref="H35" r:id="rId30" xr:uid="{C107343D-4C1B-414E-95E3-8CC2FD03AEE1}"/>
    <hyperlink ref="H38" r:id="rId31" xr:uid="{D089D3B0-0CCB-4886-8FB6-3EEF2643B1C8}"/>
    <hyperlink ref="H32" r:id="rId32" xr:uid="{1A707390-C520-4ECD-857F-7864A76076DB}"/>
    <hyperlink ref="H33" r:id="rId33" xr:uid="{FAD036A5-29E5-47CC-910C-B83423E4258A}"/>
    <hyperlink ref="H43" r:id="rId34" xr:uid="{05EEE6FC-F9A3-40FB-9B08-946139C1325A}"/>
    <hyperlink ref="H42" r:id="rId35" xr:uid="{D3063D76-F720-41AE-AE82-F464A2DCF9A1}"/>
    <hyperlink ref="H44" r:id="rId36" xr:uid="{77179957-E0B4-47DD-B8FF-84F796A44BBD}"/>
    <hyperlink ref="H41" r:id="rId37" xr:uid="{9E8D6CE3-C524-4007-BEB1-6A6842B74467}"/>
    <hyperlink ref="H9" r:id="rId38" xr:uid="{7A3D43BF-CB5E-4066-9EFF-824663D84775}"/>
    <hyperlink ref="H46" r:id="rId39" xr:uid="{78E8B6E7-2184-4489-9F89-760AC71C06D8}"/>
    <hyperlink ref="H59" r:id="rId40" xr:uid="{59A7EEC3-FF8B-4D2D-BF40-240576BCD432}"/>
    <hyperlink ref="H63" r:id="rId41" xr:uid="{70491E74-786F-48D3-B017-B182E0C43107}"/>
    <hyperlink ref="H47" r:id="rId42" xr:uid="{CB67057E-4BA9-49E8-A0C7-933EE731ECBE}"/>
    <hyperlink ref="H48" r:id="rId43" xr:uid="{C0D81FD9-0171-4C39-8569-8658A59256C2}"/>
    <hyperlink ref="B69" location="'Daftar Sheet'!A1" display="&lt;&lt;&lt; Daftar Sheet" xr:uid="{B24D74C0-3AFA-4F98-826E-F885C68D995E}"/>
  </hyperlinks>
  <pageMargins left="0.7" right="0.7" top="0.75" bottom="0.75" header="0.3" footer="0.3"/>
  <pageSetup paperSize="224" orientation="portrait" horizontalDpi="300" verticalDpi="300" r:id="rId44"/>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635A-432D-4218-84C6-F24ED140065B}">
  <dimension ref="A2:H21"/>
  <sheetViews>
    <sheetView zoomScale="85" zoomScaleNormal="85" workbookViewId="0">
      <selection activeCell="B21" sqref="B21"/>
    </sheetView>
  </sheetViews>
  <sheetFormatPr defaultRowHeight="14.4" x14ac:dyDescent="0.3"/>
  <cols>
    <col min="1" max="1" width="3.77734375" style="10" bestFit="1" customWidth="1"/>
    <col min="2" max="2" width="92.77734375" bestFit="1" customWidth="1"/>
    <col min="3" max="3" width="27.6640625" bestFit="1" customWidth="1"/>
    <col min="4" max="4" width="13.21875" bestFit="1" customWidth="1"/>
    <col min="5" max="5" width="8.6640625" bestFit="1" customWidth="1"/>
    <col min="6" max="6" width="12.44140625" bestFit="1" customWidth="1"/>
    <col min="7" max="7" width="18.33203125" style="10" bestFit="1" customWidth="1"/>
    <col min="8" max="8" width="87.5546875" style="26" bestFit="1" customWidth="1"/>
  </cols>
  <sheetData>
    <row r="2" spans="1:8" x14ac:dyDescent="0.3">
      <c r="A2" s="391" t="s">
        <v>51</v>
      </c>
      <c r="B2" s="391" t="s">
        <v>1094</v>
      </c>
      <c r="C2" s="391" t="s">
        <v>1095</v>
      </c>
      <c r="D2" s="391" t="s">
        <v>1010</v>
      </c>
      <c r="E2" s="391"/>
      <c r="F2" s="391"/>
      <c r="G2" s="391" t="s">
        <v>1096</v>
      </c>
      <c r="H2" s="368" t="s">
        <v>137</v>
      </c>
    </row>
    <row r="3" spans="1:8" x14ac:dyDescent="0.3">
      <c r="A3" s="391"/>
      <c r="B3" s="391"/>
      <c r="C3" s="391"/>
      <c r="D3" s="2" t="s">
        <v>1097</v>
      </c>
      <c r="E3" s="2" t="s">
        <v>488</v>
      </c>
      <c r="F3" s="2" t="s">
        <v>307</v>
      </c>
      <c r="G3" s="391"/>
      <c r="H3" s="368"/>
    </row>
    <row r="4" spans="1:8" x14ac:dyDescent="0.3">
      <c r="A4" s="3">
        <v>1</v>
      </c>
      <c r="B4" s="37" t="s">
        <v>3858</v>
      </c>
      <c r="C4" s="38">
        <v>44813</v>
      </c>
      <c r="D4" s="6" t="s">
        <v>1016</v>
      </c>
      <c r="E4" s="6"/>
      <c r="F4" s="6"/>
      <c r="G4" s="6" t="s">
        <v>1104</v>
      </c>
      <c r="H4" s="7" t="s">
        <v>3857</v>
      </c>
    </row>
    <row r="5" spans="1:8" x14ac:dyDescent="0.3">
      <c r="A5" s="3">
        <v>2</v>
      </c>
      <c r="B5" s="37" t="s">
        <v>1153</v>
      </c>
      <c r="C5" s="38">
        <v>44753</v>
      </c>
      <c r="D5" s="6"/>
      <c r="E5" s="6" t="s">
        <v>1016</v>
      </c>
      <c r="F5" s="6"/>
      <c r="G5" s="6" t="s">
        <v>1104</v>
      </c>
      <c r="H5" s="7" t="s">
        <v>4101</v>
      </c>
    </row>
    <row r="6" spans="1:8" x14ac:dyDescent="0.3">
      <c r="A6" s="3">
        <v>3</v>
      </c>
      <c r="B6" s="37" t="s">
        <v>1154</v>
      </c>
      <c r="C6" s="38">
        <v>44753</v>
      </c>
      <c r="D6" s="6"/>
      <c r="E6" s="6" t="s">
        <v>1016</v>
      </c>
      <c r="F6" s="6"/>
      <c r="G6" s="6" t="s">
        <v>1102</v>
      </c>
      <c r="H6" s="7" t="s">
        <v>4101</v>
      </c>
    </row>
    <row r="7" spans="1:8" ht="31.05" customHeight="1" x14ac:dyDescent="0.3">
      <c r="A7" s="3">
        <v>4</v>
      </c>
      <c r="B7" s="37" t="s">
        <v>1155</v>
      </c>
      <c r="C7" s="38">
        <v>44753</v>
      </c>
      <c r="D7" s="6"/>
      <c r="E7" s="6" t="s">
        <v>1016</v>
      </c>
      <c r="F7" s="6"/>
      <c r="G7" s="6" t="s">
        <v>1104</v>
      </c>
      <c r="H7" s="4"/>
    </row>
    <row r="8" spans="1:8" ht="27.6" x14ac:dyDescent="0.3">
      <c r="A8" s="3">
        <v>5</v>
      </c>
      <c r="B8" s="37" t="s">
        <v>3995</v>
      </c>
      <c r="C8" s="38">
        <v>44753</v>
      </c>
      <c r="D8" s="6"/>
      <c r="E8" s="6" t="s">
        <v>1016</v>
      </c>
      <c r="F8" s="6"/>
      <c r="G8" s="6" t="s">
        <v>1100</v>
      </c>
      <c r="H8" s="7" t="s">
        <v>3859</v>
      </c>
    </row>
    <row r="9" spans="1:8" x14ac:dyDescent="0.3">
      <c r="A9" s="3">
        <v>6</v>
      </c>
      <c r="B9" s="37" t="s">
        <v>1156</v>
      </c>
      <c r="C9" s="38">
        <v>44753</v>
      </c>
      <c r="D9" s="6"/>
      <c r="E9" s="6" t="s">
        <v>1016</v>
      </c>
      <c r="F9" s="6"/>
      <c r="G9" s="6"/>
      <c r="H9" s="4"/>
    </row>
    <row r="10" spans="1:8" x14ac:dyDescent="0.3">
      <c r="A10" s="3">
        <v>7</v>
      </c>
      <c r="B10" s="37" t="s">
        <v>1157</v>
      </c>
      <c r="C10" s="38">
        <v>44753</v>
      </c>
      <c r="D10" s="6"/>
      <c r="E10" s="6" t="s">
        <v>1016</v>
      </c>
      <c r="F10" s="6"/>
      <c r="G10" s="6"/>
      <c r="H10" s="4"/>
    </row>
    <row r="11" spans="1:8" x14ac:dyDescent="0.3">
      <c r="A11" s="3">
        <v>8</v>
      </c>
      <c r="B11" s="37" t="s">
        <v>1157</v>
      </c>
      <c r="C11" s="38">
        <v>44753</v>
      </c>
      <c r="D11" s="6"/>
      <c r="E11" s="6" t="s">
        <v>1016</v>
      </c>
      <c r="F11" s="6"/>
      <c r="G11" s="6"/>
      <c r="H11" s="4"/>
    </row>
    <row r="12" spans="1:8" x14ac:dyDescent="0.3">
      <c r="A12" s="3">
        <v>9</v>
      </c>
      <c r="B12" s="37" t="s">
        <v>4114</v>
      </c>
      <c r="C12" s="38">
        <v>45142</v>
      </c>
      <c r="D12" s="6" t="s">
        <v>1016</v>
      </c>
      <c r="E12" s="6"/>
      <c r="F12" s="6"/>
      <c r="G12" s="6" t="s">
        <v>4113</v>
      </c>
      <c r="H12" s="7" t="s">
        <v>4115</v>
      </c>
    </row>
    <row r="13" spans="1:8" x14ac:dyDescent="0.3">
      <c r="A13" s="3">
        <v>10</v>
      </c>
      <c r="B13" s="30"/>
      <c r="C13" s="30"/>
      <c r="D13" s="30"/>
      <c r="E13" s="30"/>
      <c r="F13" s="30"/>
      <c r="G13" s="3"/>
      <c r="H13" s="4"/>
    </row>
    <row r="14" spans="1:8" x14ac:dyDescent="0.3">
      <c r="A14" s="3">
        <v>11</v>
      </c>
      <c r="B14" s="30"/>
      <c r="C14" s="30"/>
      <c r="D14" s="30"/>
      <c r="E14" s="30"/>
      <c r="F14" s="30"/>
      <c r="G14" s="3"/>
      <c r="H14" s="4"/>
    </row>
    <row r="15" spans="1:8" x14ac:dyDescent="0.3">
      <c r="A15" s="3">
        <v>12</v>
      </c>
      <c r="B15" s="30"/>
      <c r="C15" s="30"/>
      <c r="D15" s="30"/>
      <c r="E15" s="30"/>
      <c r="F15" s="30"/>
      <c r="G15" s="3"/>
      <c r="H15" s="4"/>
    </row>
    <row r="16" spans="1:8" x14ac:dyDescent="0.3">
      <c r="A16" s="3">
        <v>13</v>
      </c>
      <c r="B16" s="30"/>
      <c r="C16" s="30"/>
      <c r="D16" s="30"/>
      <c r="E16" s="30"/>
      <c r="F16" s="30"/>
      <c r="G16" s="3"/>
      <c r="H16" s="4"/>
    </row>
    <row r="17" spans="1:8" x14ac:dyDescent="0.3">
      <c r="A17" s="3">
        <v>14</v>
      </c>
      <c r="B17" s="30"/>
      <c r="C17" s="30"/>
      <c r="D17" s="30"/>
      <c r="E17" s="30"/>
      <c r="F17" s="30"/>
      <c r="G17" s="3"/>
      <c r="H17" s="4"/>
    </row>
    <row r="18" spans="1:8" x14ac:dyDescent="0.3">
      <c r="A18" s="3">
        <v>15</v>
      </c>
      <c r="B18" s="30"/>
      <c r="C18" s="30"/>
      <c r="D18" s="30"/>
      <c r="E18" s="30"/>
      <c r="F18" s="30"/>
      <c r="G18" s="3"/>
      <c r="H18" s="4"/>
    </row>
    <row r="21" spans="1:8" ht="21" x14ac:dyDescent="0.3">
      <c r="B21" s="311" t="s">
        <v>4039</v>
      </c>
    </row>
  </sheetData>
  <protectedRanges>
    <protectedRange sqref="B4:G12" name="Tabel 8b2"/>
  </protectedRanges>
  <mergeCells count="6">
    <mergeCell ref="H2:H3"/>
    <mergeCell ref="A2:A3"/>
    <mergeCell ref="B2:B3"/>
    <mergeCell ref="C2:C3"/>
    <mergeCell ref="D2:F2"/>
    <mergeCell ref="G2:G3"/>
  </mergeCells>
  <dataValidations count="2">
    <dataValidation type="list" allowBlank="1" showInputMessage="1" showErrorMessage="1" prompt="Cell hanya dapat diisi tanda centang (V) atau dikosongkan" sqref="D4:F12" xr:uid="{E9457F60-0F38-4CA2-A63F-39E53C5FDB9D}">
      <formula1>$B$5:$B$6</formula1>
    </dataValidation>
    <dataValidation type="custom" allowBlank="1" showDropDown="1" showInputMessage="1" showErrorMessage="1" prompt="Masukan data yang valid. Contoh tanggal : 29 Desember 2021, maka input yang valid adalah 29/12/2021" sqref="C4:C12" xr:uid="{E8B08625-4298-4607-9375-C53B4AFCC067}">
      <formula1>OR(NOT(ISERROR(DATEVALUE(C4))), AND(ISNUMBER(C4), LEFT(CELL("format", C4))="D"))</formula1>
    </dataValidation>
  </dataValidations>
  <hyperlinks>
    <hyperlink ref="H4" r:id="rId1" xr:uid="{20E32760-A356-497B-911E-064806E6CF7A}"/>
    <hyperlink ref="H8" r:id="rId2" xr:uid="{667B3698-952A-4610-B437-ABA83EB4DDE5}"/>
    <hyperlink ref="B21" location="'Daftar Sheet'!A1" display="&lt;&lt;&lt; Daftar Sheet" xr:uid="{83002D66-B74C-4562-B303-1BA67969544A}"/>
    <hyperlink ref="H5" r:id="rId3" xr:uid="{C5A8904E-B943-498B-BFD0-9405E1A0222E}"/>
    <hyperlink ref="H6" r:id="rId4" xr:uid="{5E5E3ACD-888A-4C2F-958A-656087B6FB1E}"/>
    <hyperlink ref="H12" r:id="rId5" xr:uid="{4D5F704E-A2A7-481B-AF95-B47C3667BFAA}"/>
  </hyperlinks>
  <pageMargins left="0.7" right="0.7" top="0.75" bottom="0.75" header="0.3" footer="0.3"/>
  <pageSetup paperSize="224" orientation="portrait" horizontalDpi="300" verticalDpi="300" r:id="rId6"/>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865D-2884-4AA5-AD30-AEC33094A52A}">
  <dimension ref="A2:L13"/>
  <sheetViews>
    <sheetView workbookViewId="0">
      <selection activeCell="L4" sqref="L4:L10"/>
    </sheetView>
  </sheetViews>
  <sheetFormatPr defaultRowHeight="14.4" x14ac:dyDescent="0.3"/>
  <cols>
    <col min="12" max="12" width="79.21875" bestFit="1" customWidth="1"/>
  </cols>
  <sheetData>
    <row r="2" spans="1:12" x14ac:dyDescent="0.3">
      <c r="A2" s="406" t="s">
        <v>1892</v>
      </c>
      <c r="B2" s="408" t="s">
        <v>1893</v>
      </c>
      <c r="C2" s="432"/>
      <c r="D2" s="432"/>
      <c r="E2" s="432"/>
      <c r="F2" s="432"/>
      <c r="G2" s="432"/>
      <c r="H2" s="409"/>
      <c r="I2" s="470" t="s">
        <v>1894</v>
      </c>
      <c r="J2" s="471"/>
      <c r="K2" s="471"/>
      <c r="L2" s="391" t="s">
        <v>137</v>
      </c>
    </row>
    <row r="3" spans="1:12" x14ac:dyDescent="0.3">
      <c r="A3" s="407"/>
      <c r="B3" s="177" t="s">
        <v>1895</v>
      </c>
      <c r="C3" s="177" t="s">
        <v>1896</v>
      </c>
      <c r="D3" s="177" t="s">
        <v>1897</v>
      </c>
      <c r="E3" s="177" t="s">
        <v>1898</v>
      </c>
      <c r="F3" s="177" t="s">
        <v>1899</v>
      </c>
      <c r="G3" s="177" t="s">
        <v>1900</v>
      </c>
      <c r="H3" s="177" t="s">
        <v>1901</v>
      </c>
      <c r="I3" s="472"/>
      <c r="J3" s="472"/>
      <c r="K3" s="472"/>
      <c r="L3" s="391"/>
    </row>
    <row r="4" spans="1:12" x14ac:dyDescent="0.3">
      <c r="A4" s="151" t="s">
        <v>1902</v>
      </c>
      <c r="B4" s="6">
        <v>192</v>
      </c>
      <c r="C4" s="6">
        <v>188</v>
      </c>
      <c r="D4" s="6">
        <v>188</v>
      </c>
      <c r="E4" s="6">
        <v>177</v>
      </c>
      <c r="F4" s="6">
        <v>59</v>
      </c>
      <c r="G4" s="6">
        <v>26</v>
      </c>
      <c r="H4" s="171">
        <v>0</v>
      </c>
      <c r="I4" s="473">
        <v>188</v>
      </c>
      <c r="J4" s="474"/>
      <c r="K4" s="474"/>
      <c r="L4" s="387" t="s">
        <v>1891</v>
      </c>
    </row>
    <row r="5" spans="1:12" x14ac:dyDescent="0.3">
      <c r="A5" s="151" t="s">
        <v>1903</v>
      </c>
      <c r="B5" s="172"/>
      <c r="C5" s="6">
        <v>141</v>
      </c>
      <c r="D5" s="6">
        <v>126</v>
      </c>
      <c r="E5" s="6">
        <v>126</v>
      </c>
      <c r="F5" s="6">
        <v>120</v>
      </c>
      <c r="G5" s="6">
        <v>36</v>
      </c>
      <c r="H5" s="171">
        <v>18</v>
      </c>
      <c r="I5" s="473">
        <v>108</v>
      </c>
      <c r="J5" s="474"/>
      <c r="K5" s="474"/>
      <c r="L5" s="382"/>
    </row>
    <row r="6" spans="1:12" x14ac:dyDescent="0.3">
      <c r="A6" s="151" t="s">
        <v>1549</v>
      </c>
      <c r="B6" s="172"/>
      <c r="C6" s="172"/>
      <c r="D6" s="6">
        <v>150</v>
      </c>
      <c r="E6" s="6">
        <v>147</v>
      </c>
      <c r="F6" s="6">
        <v>147</v>
      </c>
      <c r="G6" s="6">
        <v>124</v>
      </c>
      <c r="H6" s="171">
        <v>33</v>
      </c>
      <c r="I6" s="473">
        <v>114</v>
      </c>
      <c r="J6" s="474"/>
      <c r="K6" s="474"/>
      <c r="L6" s="382"/>
    </row>
    <row r="7" spans="1:12" x14ac:dyDescent="0.3">
      <c r="A7" s="173" t="s">
        <v>1550</v>
      </c>
      <c r="B7" s="174"/>
      <c r="C7" s="174"/>
      <c r="D7" s="174"/>
      <c r="E7" s="175">
        <v>171</v>
      </c>
      <c r="F7" s="175">
        <v>166</v>
      </c>
      <c r="G7" s="175">
        <v>158</v>
      </c>
      <c r="H7" s="176">
        <v>85</v>
      </c>
      <c r="I7" s="473">
        <v>73</v>
      </c>
      <c r="J7" s="474"/>
      <c r="K7" s="474"/>
      <c r="L7" s="382"/>
    </row>
    <row r="8" spans="1:12" x14ac:dyDescent="0.3">
      <c r="A8" s="151" t="s">
        <v>1551</v>
      </c>
      <c r="B8" s="172"/>
      <c r="C8" s="172"/>
      <c r="D8" s="172"/>
      <c r="E8" s="172"/>
      <c r="F8" s="6">
        <v>155</v>
      </c>
      <c r="G8" s="6">
        <v>146</v>
      </c>
      <c r="H8" s="6">
        <v>146</v>
      </c>
      <c r="I8" s="475"/>
      <c r="J8" s="474"/>
      <c r="K8" s="474"/>
      <c r="L8" s="382"/>
    </row>
    <row r="9" spans="1:12" x14ac:dyDescent="0.3">
      <c r="A9" s="151" t="s">
        <v>1552</v>
      </c>
      <c r="B9" s="172"/>
      <c r="C9" s="172"/>
      <c r="D9" s="172"/>
      <c r="E9" s="172"/>
      <c r="F9" s="172"/>
      <c r="G9" s="6">
        <v>170</v>
      </c>
      <c r="H9" s="6">
        <v>167</v>
      </c>
      <c r="I9" s="475"/>
      <c r="J9" s="474"/>
      <c r="K9" s="474"/>
      <c r="L9" s="382"/>
    </row>
    <row r="10" spans="1:12" x14ac:dyDescent="0.3">
      <c r="A10" s="151" t="s">
        <v>1553</v>
      </c>
      <c r="B10" s="172"/>
      <c r="C10" s="172"/>
      <c r="D10" s="172"/>
      <c r="E10" s="172"/>
      <c r="F10" s="172"/>
      <c r="G10" s="172"/>
      <c r="H10" s="6">
        <v>242</v>
      </c>
      <c r="I10" s="475"/>
      <c r="J10" s="474"/>
      <c r="K10" s="474"/>
      <c r="L10" s="383"/>
    </row>
    <row r="13" spans="1:12" ht="21" x14ac:dyDescent="0.3">
      <c r="B13" s="311" t="s">
        <v>4039</v>
      </c>
    </row>
  </sheetData>
  <mergeCells count="12">
    <mergeCell ref="L2:L3"/>
    <mergeCell ref="L4:L10"/>
    <mergeCell ref="A2:A3"/>
    <mergeCell ref="B2:H2"/>
    <mergeCell ref="I2:K3"/>
    <mergeCell ref="I4:K4"/>
    <mergeCell ref="I5:K5"/>
    <mergeCell ref="I6:K6"/>
    <mergeCell ref="I7:K7"/>
    <mergeCell ref="I8:K8"/>
    <mergeCell ref="I9:K9"/>
    <mergeCell ref="I10:K10"/>
  </mergeCells>
  <dataValidations count="7">
    <dataValidation type="custom" allowBlank="1" showDropDown="1" showInputMessage="1" showErrorMessage="1" prompt="Data yang diisi harus dalam bentuk angka &gt;= 0" sqref="E7" xr:uid="{D9FD42F8-475C-4F35-84C2-E1EBB6B156B8}">
      <formula1>OR(E7="d", AND(ISNUMBER(E7),E7&gt;=0))</formula1>
    </dataValidation>
    <dataValidation type="custom" allowBlank="1" showDropDown="1" showInputMessage="1" showErrorMessage="1" prompt="Data yang diisi harus dalam bentuk angka &gt;= 0" sqref="H7" xr:uid="{1D94D021-45C9-4BC8-AC2E-864DE5B4AB06}">
      <formula1>OR(H7="e", AND(ISNUMBER(H7),H7&gt;=0))</formula1>
    </dataValidation>
    <dataValidation type="custom" allowBlank="1" showDropDown="1" showInputMessage="1" showErrorMessage="1" prompt="Data yang diisi harus dalam bentuk angka &gt;= 0" sqref="I7" xr:uid="{A1713CC7-E84D-4848-A74E-CD1E32049440}">
      <formula1>OR(I7="f", AND(ISNUMBER(I7),I7&gt;=0))</formula1>
    </dataValidation>
    <dataValidation type="decimal" operator="greaterThanOrEqual" allowBlank="1" showDropDown="1" showInputMessage="1" showErrorMessage="1" prompt="Data yang diisi harus dalam bentuk angka &gt;= 0" sqref="C4:G4 C5:I5 D6:I6 F7:G7 F8:H8 G9:H9 H10" xr:uid="{C330FC5E-881D-47AD-9397-EEC2550E0F2D}">
      <formula1>0</formula1>
    </dataValidation>
    <dataValidation type="custom" allowBlank="1" showDropDown="1" showInputMessage="1" showErrorMessage="1" prompt="Data yang diisi harus dalam bentuk angka &gt;= 0" sqref="B4" xr:uid="{8102CEAC-A71A-4E87-B8C5-560B03D671BE}">
      <formula1>OR(B4="a", AND(ISNUMBER(B4),B4&gt;=0))</formula1>
    </dataValidation>
    <dataValidation type="custom" allowBlank="1" showDropDown="1" showInputMessage="1" showErrorMessage="1" prompt="Data yang diisi harus dalam bentuk angka &gt;= 0" sqref="H4" xr:uid="{EA488168-367D-4FA5-928B-5B90E8E90AA5}">
      <formula1>OR(H4="b", AND(ISNUMBER(H4),H4&gt;=0))</formula1>
    </dataValidation>
    <dataValidation type="custom" allowBlank="1" showDropDown="1" showInputMessage="1" showErrorMessage="1" prompt="Data yang diisi harus dalam bentuk angka &gt;= 0" sqref="I4" xr:uid="{502F9664-2D38-442B-9D73-D401FAA88BF0}">
      <formula1>OR(I4="c", AND(ISNUMBER(I4),I4&gt;=0))</formula1>
    </dataValidation>
  </dataValidations>
  <hyperlinks>
    <hyperlink ref="L4" r:id="rId1" xr:uid="{7CC7375F-3E9D-4048-92D8-E242956FFD25}"/>
    <hyperlink ref="B13" location="'Daftar Sheet'!A1" display="&lt;&lt;&lt; Daftar Sheet" xr:uid="{246F0BEB-4ABE-4E21-A3F6-D54C8D25B98D}"/>
  </hyperlinks>
  <pageMargins left="0.7" right="0.7" top="0.75" bottom="0.75" header="0.3" footer="0.3"/>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F120-2239-491A-9632-186928B8CE60}">
  <dimension ref="A2:C8"/>
  <sheetViews>
    <sheetView workbookViewId="0">
      <selection activeCell="B8" sqref="B8"/>
    </sheetView>
  </sheetViews>
  <sheetFormatPr defaultRowHeight="14.4" x14ac:dyDescent="0.3"/>
  <cols>
    <col min="1" max="1" width="3.77734375" bestFit="1" customWidth="1"/>
    <col min="2" max="2" width="14.77734375" bestFit="1" customWidth="1"/>
    <col min="3" max="3" width="78.21875" bestFit="1" customWidth="1"/>
  </cols>
  <sheetData>
    <row r="2" spans="1:3" x14ac:dyDescent="0.3">
      <c r="A2" s="2" t="s">
        <v>51</v>
      </c>
      <c r="B2" s="267" t="s">
        <v>3813</v>
      </c>
      <c r="C2" s="267" t="s">
        <v>137</v>
      </c>
    </row>
    <row r="3" spans="1:3" x14ac:dyDescent="0.3">
      <c r="A3" s="3">
        <v>1</v>
      </c>
      <c r="B3" s="30" t="s">
        <v>4091</v>
      </c>
      <c r="C3" s="34" t="s">
        <v>1909</v>
      </c>
    </row>
    <row r="4" spans="1:3" x14ac:dyDescent="0.3">
      <c r="A4" s="3">
        <v>2</v>
      </c>
      <c r="B4" s="30"/>
      <c r="C4" s="30"/>
    </row>
    <row r="5" spans="1:3" x14ac:dyDescent="0.3">
      <c r="A5" s="3">
        <v>3</v>
      </c>
      <c r="B5" s="30"/>
      <c r="C5" s="30"/>
    </row>
    <row r="8" spans="1:3" ht="21" x14ac:dyDescent="0.3">
      <c r="B8" s="311" t="s">
        <v>4039</v>
      </c>
    </row>
  </sheetData>
  <hyperlinks>
    <hyperlink ref="C3" r:id="rId1" xr:uid="{6E69769E-593C-4E22-9AC9-871A38D25D9C}"/>
    <hyperlink ref="B8" location="'Daftar Sheet'!A1" display="&lt;&lt;&lt; Daftar Sheet" xr:uid="{C2DA010E-6D98-462D-B1B0-64F5CCC7CF3E}"/>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9805-F8C5-4C2C-8039-B150918D4B38}">
  <dimension ref="A2:G10"/>
  <sheetViews>
    <sheetView zoomScale="85" zoomScaleNormal="85" workbookViewId="0">
      <selection activeCell="B10" sqref="B10"/>
    </sheetView>
  </sheetViews>
  <sheetFormatPr defaultRowHeight="14.4" x14ac:dyDescent="0.3"/>
  <cols>
    <col min="7" max="7" width="78.21875" bestFit="1" customWidth="1"/>
  </cols>
  <sheetData>
    <row r="2" spans="1:7" ht="37.049999999999997" customHeight="1" x14ac:dyDescent="0.3">
      <c r="A2" s="406" t="s">
        <v>1886</v>
      </c>
      <c r="B2" s="406" t="s">
        <v>1887</v>
      </c>
      <c r="C2" s="406" t="s">
        <v>1904</v>
      </c>
      <c r="D2" s="408" t="s">
        <v>1905</v>
      </c>
      <c r="E2" s="467"/>
      <c r="F2" s="467"/>
      <c r="G2" s="391" t="s">
        <v>137</v>
      </c>
    </row>
    <row r="3" spans="1:7" ht="27.6" x14ac:dyDescent="0.3">
      <c r="A3" s="407"/>
      <c r="B3" s="407"/>
      <c r="C3" s="407"/>
      <c r="D3" s="164" t="s">
        <v>1906</v>
      </c>
      <c r="E3" s="164" t="s">
        <v>1907</v>
      </c>
      <c r="F3" s="169" t="s">
        <v>1908</v>
      </c>
      <c r="G3" s="391"/>
    </row>
    <row r="4" spans="1:7" x14ac:dyDescent="0.3">
      <c r="A4" s="151" t="s">
        <v>1549</v>
      </c>
      <c r="B4" s="6">
        <v>136</v>
      </c>
      <c r="C4" s="6">
        <v>120</v>
      </c>
      <c r="D4" s="6">
        <v>92</v>
      </c>
      <c r="E4" s="6">
        <v>20</v>
      </c>
      <c r="F4" s="131">
        <v>8</v>
      </c>
      <c r="G4" s="394" t="s">
        <v>1909</v>
      </c>
    </row>
    <row r="5" spans="1:7" x14ac:dyDescent="0.3">
      <c r="A5" s="151" t="s">
        <v>1550</v>
      </c>
      <c r="B5" s="6">
        <v>107</v>
      </c>
      <c r="C5" s="6">
        <v>98</v>
      </c>
      <c r="D5" s="6">
        <v>75</v>
      </c>
      <c r="E5" s="6">
        <v>23</v>
      </c>
      <c r="F5" s="131">
        <v>0</v>
      </c>
      <c r="G5" s="367"/>
    </row>
    <row r="6" spans="1:7" x14ac:dyDescent="0.3">
      <c r="A6" s="151" t="s">
        <v>1551</v>
      </c>
      <c r="B6" s="6">
        <v>124</v>
      </c>
      <c r="C6" s="6">
        <v>110</v>
      </c>
      <c r="D6" s="6">
        <v>79</v>
      </c>
      <c r="E6" s="6">
        <v>31</v>
      </c>
      <c r="F6" s="131">
        <v>0</v>
      </c>
      <c r="G6" s="367"/>
    </row>
    <row r="7" spans="1:7" x14ac:dyDescent="0.3">
      <c r="A7" s="178" t="s">
        <v>1554</v>
      </c>
      <c r="B7" s="151">
        <f>SUM(B4:B6)</f>
        <v>367</v>
      </c>
      <c r="C7" s="151">
        <f>SUM(C4:C6)</f>
        <v>328</v>
      </c>
      <c r="D7" s="151">
        <f>SUM(D4:D6)</f>
        <v>246</v>
      </c>
      <c r="E7" s="151">
        <f>SUM(E4:E6)</f>
        <v>74</v>
      </c>
      <c r="F7" s="151">
        <f>SUM(F4:F6)</f>
        <v>8</v>
      </c>
    </row>
    <row r="10" spans="1:7" ht="21" x14ac:dyDescent="0.3">
      <c r="B10" s="311" t="s">
        <v>4039</v>
      </c>
    </row>
  </sheetData>
  <protectedRanges>
    <protectedRange sqref="B4:F6" name="Tabel 8d1"/>
  </protectedRanges>
  <mergeCells count="6">
    <mergeCell ref="G4:G6"/>
    <mergeCell ref="A2:A3"/>
    <mergeCell ref="B2:B3"/>
    <mergeCell ref="C2:C3"/>
    <mergeCell ref="D2:F2"/>
    <mergeCell ref="G2:G3"/>
  </mergeCells>
  <dataValidations count="1">
    <dataValidation type="decimal" operator="greaterThanOrEqual" allowBlank="1" showDropDown="1" showInputMessage="1" showErrorMessage="1" prompt="Masukan data yang valid. Data yang dimasukan harus dalam bentuk angka" sqref="B4:F6" xr:uid="{A37DC4C3-7D46-4D2E-8783-C8A371E053F6}">
      <formula1>0</formula1>
    </dataValidation>
  </dataValidations>
  <hyperlinks>
    <hyperlink ref="G4" r:id="rId1" xr:uid="{625F371E-BF21-4DC1-B9BA-86EE3502B78D}"/>
    <hyperlink ref="B10" location="'Daftar Sheet'!A1" display="&lt;&lt;&lt; Daftar Sheet" xr:uid="{0A890DBF-1E3F-46ED-AF09-76F91CA42F31}"/>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D0BDF-E652-41AD-9702-BCBC90F62E2D}">
  <dimension ref="A2:G10"/>
  <sheetViews>
    <sheetView workbookViewId="0">
      <selection activeCell="B10" sqref="B10"/>
    </sheetView>
  </sheetViews>
  <sheetFormatPr defaultRowHeight="14.4" x14ac:dyDescent="0.3"/>
  <cols>
    <col min="3" max="3" width="12.5546875" bestFit="1" customWidth="1"/>
    <col min="7" max="7" width="78.21875" bestFit="1" customWidth="1"/>
  </cols>
  <sheetData>
    <row r="2" spans="1:7" ht="30.45" customHeight="1" x14ac:dyDescent="0.3">
      <c r="A2" s="406" t="s">
        <v>1886</v>
      </c>
      <c r="B2" s="406" t="s">
        <v>1887</v>
      </c>
      <c r="C2" s="406" t="s">
        <v>1904</v>
      </c>
      <c r="D2" s="408" t="s">
        <v>1910</v>
      </c>
      <c r="E2" s="467"/>
      <c r="F2" s="467"/>
      <c r="G2" s="391" t="s">
        <v>137</v>
      </c>
    </row>
    <row r="3" spans="1:7" x14ac:dyDescent="0.3">
      <c r="A3" s="407"/>
      <c r="B3" s="407"/>
      <c r="C3" s="407"/>
      <c r="D3" s="164" t="s">
        <v>1911</v>
      </c>
      <c r="E3" s="164" t="s">
        <v>1912</v>
      </c>
      <c r="F3" s="169" t="s">
        <v>1913</v>
      </c>
      <c r="G3" s="391"/>
    </row>
    <row r="4" spans="1:7" x14ac:dyDescent="0.3">
      <c r="A4" s="151" t="s">
        <v>1549</v>
      </c>
      <c r="B4" s="6">
        <v>136</v>
      </c>
      <c r="C4" s="6">
        <v>120</v>
      </c>
      <c r="D4" s="6">
        <v>11</v>
      </c>
      <c r="E4" s="6">
        <v>22</v>
      </c>
      <c r="F4" s="131">
        <v>87</v>
      </c>
      <c r="G4" s="387" t="s">
        <v>1909</v>
      </c>
    </row>
    <row r="5" spans="1:7" x14ac:dyDescent="0.3">
      <c r="A5" s="151" t="s">
        <v>1550</v>
      </c>
      <c r="B5" s="6">
        <v>107</v>
      </c>
      <c r="C5" s="6">
        <v>98</v>
      </c>
      <c r="D5" s="6">
        <v>10</v>
      </c>
      <c r="E5" s="6">
        <v>11</v>
      </c>
      <c r="F5" s="131">
        <v>77</v>
      </c>
      <c r="G5" s="382"/>
    </row>
    <row r="6" spans="1:7" x14ac:dyDescent="0.3">
      <c r="A6" s="151" t="s">
        <v>1551</v>
      </c>
      <c r="B6" s="6">
        <v>124</v>
      </c>
      <c r="C6" s="6">
        <v>110</v>
      </c>
      <c r="D6" s="6">
        <v>10</v>
      </c>
      <c r="E6" s="6">
        <v>15</v>
      </c>
      <c r="F6" s="131">
        <v>85</v>
      </c>
      <c r="G6" s="383"/>
    </row>
    <row r="7" spans="1:7" x14ac:dyDescent="0.3">
      <c r="A7" s="178" t="s">
        <v>1554</v>
      </c>
      <c r="B7" s="151">
        <f>SUM(B4:B6)</f>
        <v>367</v>
      </c>
      <c r="C7" s="151">
        <f>SUM(C4:C6)</f>
        <v>328</v>
      </c>
      <c r="D7" s="151">
        <f>SUM(D4:D6)</f>
        <v>31</v>
      </c>
      <c r="E7" s="151">
        <f>SUM(E4:E6)</f>
        <v>48</v>
      </c>
      <c r="F7" s="151">
        <f>SUM(F4:F6)</f>
        <v>249</v>
      </c>
    </row>
    <row r="10" spans="1:7" ht="21" x14ac:dyDescent="0.3">
      <c r="B10" s="311" t="s">
        <v>4039</v>
      </c>
    </row>
  </sheetData>
  <protectedRanges>
    <protectedRange sqref="B4:F6" name="Tabel 8d2"/>
  </protectedRanges>
  <mergeCells count="6">
    <mergeCell ref="G4:G6"/>
    <mergeCell ref="A2:A3"/>
    <mergeCell ref="B2:B3"/>
    <mergeCell ref="C2:C3"/>
    <mergeCell ref="D2:F2"/>
    <mergeCell ref="G2:G3"/>
  </mergeCells>
  <dataValidations count="1">
    <dataValidation type="decimal" operator="greaterThanOrEqual" allowBlank="1" showDropDown="1" showInputMessage="1" showErrorMessage="1" prompt="Masukan data yang valid. Data yang dimasukan harus dalam bentuk angka" sqref="B4:F6" xr:uid="{E07FBA28-2AB3-40A8-BDC0-0FC00F456210}">
      <formula1>0</formula1>
    </dataValidation>
  </dataValidations>
  <hyperlinks>
    <hyperlink ref="G4" r:id="rId1" xr:uid="{36B6F7F7-D700-46EA-9DA0-A4EFE1934338}"/>
    <hyperlink ref="B10" location="'Daftar Sheet'!A1" display="&lt;&lt;&lt; Daftar Sheet" xr:uid="{A1FC82A8-31D7-436E-B550-2B4C331A0BFE}"/>
  </hyperlinks>
  <pageMargins left="0.7" right="0.7" top="0.75" bottom="0.75" header="0.3" footer="0.3"/>
  <legacy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F61F-1680-40D6-832A-E0283EE27EE0}">
  <dimension ref="A2:H10"/>
  <sheetViews>
    <sheetView workbookViewId="0">
      <selection activeCell="C10" sqref="C10"/>
    </sheetView>
  </sheetViews>
  <sheetFormatPr defaultRowHeight="14.4" x14ac:dyDescent="0.3"/>
  <cols>
    <col min="3" max="3" width="18.77734375" customWidth="1"/>
    <col min="8" max="8" width="78.21875" bestFit="1" customWidth="1"/>
  </cols>
  <sheetData>
    <row r="2" spans="1:8" ht="51" customHeight="1" x14ac:dyDescent="0.3">
      <c r="A2" s="406" t="s">
        <v>1886</v>
      </c>
      <c r="B2" s="406" t="s">
        <v>1887</v>
      </c>
      <c r="C2" s="406" t="s">
        <v>1914</v>
      </c>
      <c r="D2" s="406" t="s">
        <v>1904</v>
      </c>
      <c r="E2" s="408" t="s">
        <v>1915</v>
      </c>
      <c r="F2" s="432"/>
      <c r="G2" s="432"/>
      <c r="H2" s="391" t="s">
        <v>137</v>
      </c>
    </row>
    <row r="3" spans="1:8" ht="69" x14ac:dyDescent="0.3">
      <c r="A3" s="407"/>
      <c r="B3" s="407"/>
      <c r="C3" s="476"/>
      <c r="D3" s="407"/>
      <c r="E3" s="164" t="s">
        <v>1916</v>
      </c>
      <c r="F3" s="164" t="s">
        <v>1917</v>
      </c>
      <c r="G3" s="169" t="s">
        <v>1918</v>
      </c>
      <c r="H3" s="391"/>
    </row>
    <row r="4" spans="1:8" x14ac:dyDescent="0.3">
      <c r="A4" s="151" t="s">
        <v>1549</v>
      </c>
      <c r="B4" s="6">
        <v>136</v>
      </c>
      <c r="C4" s="6">
        <v>50</v>
      </c>
      <c r="D4" s="6">
        <v>120</v>
      </c>
      <c r="E4" s="6">
        <v>9</v>
      </c>
      <c r="F4" s="6">
        <v>91</v>
      </c>
      <c r="G4" s="131">
        <v>20</v>
      </c>
      <c r="H4" s="394" t="s">
        <v>1909</v>
      </c>
    </row>
    <row r="5" spans="1:8" x14ac:dyDescent="0.3">
      <c r="A5" s="151" t="s">
        <v>1550</v>
      </c>
      <c r="B5" s="6">
        <v>107</v>
      </c>
      <c r="C5" s="6">
        <v>50</v>
      </c>
      <c r="D5" s="6">
        <v>98</v>
      </c>
      <c r="E5" s="6">
        <v>8</v>
      </c>
      <c r="F5" s="6">
        <v>83</v>
      </c>
      <c r="G5" s="131">
        <v>7</v>
      </c>
      <c r="H5" s="367"/>
    </row>
    <row r="6" spans="1:8" x14ac:dyDescent="0.3">
      <c r="A6" s="151" t="s">
        <v>1551</v>
      </c>
      <c r="B6" s="6">
        <v>124</v>
      </c>
      <c r="C6" s="6">
        <v>50</v>
      </c>
      <c r="D6" s="6">
        <v>110</v>
      </c>
      <c r="E6" s="6">
        <v>9</v>
      </c>
      <c r="F6" s="6">
        <v>88</v>
      </c>
      <c r="G6" s="131">
        <v>13</v>
      </c>
      <c r="H6" s="367"/>
    </row>
    <row r="7" spans="1:8" x14ac:dyDescent="0.3">
      <c r="A7" s="178" t="s">
        <v>1554</v>
      </c>
      <c r="B7" s="158">
        <f t="shared" ref="B7:G7" si="0">SUM(B4:B6)</f>
        <v>367</v>
      </c>
      <c r="C7" s="158">
        <f t="shared" si="0"/>
        <v>150</v>
      </c>
      <c r="D7" s="158">
        <f t="shared" si="0"/>
        <v>328</v>
      </c>
      <c r="E7" s="158">
        <f t="shared" si="0"/>
        <v>26</v>
      </c>
      <c r="F7" s="158">
        <f t="shared" si="0"/>
        <v>262</v>
      </c>
      <c r="G7" s="158">
        <f t="shared" si="0"/>
        <v>40</v>
      </c>
    </row>
    <row r="10" spans="1:8" ht="21" x14ac:dyDescent="0.3">
      <c r="C10" s="311" t="s">
        <v>4039</v>
      </c>
    </row>
  </sheetData>
  <protectedRanges>
    <protectedRange sqref="B4:G6" name="Tabel 8e1"/>
  </protectedRanges>
  <mergeCells count="7">
    <mergeCell ref="H4:H6"/>
    <mergeCell ref="A2:A3"/>
    <mergeCell ref="B2:B3"/>
    <mergeCell ref="C2:C3"/>
    <mergeCell ref="D2:D3"/>
    <mergeCell ref="E2:G2"/>
    <mergeCell ref="H2:H3"/>
  </mergeCells>
  <dataValidations count="1">
    <dataValidation type="decimal" operator="greaterThanOrEqual" allowBlank="1" showDropDown="1" showInputMessage="1" showErrorMessage="1" prompt="Masukan data yang valid. Data yang dimasukan harus dalam bentuk angka" sqref="B4:G6" xr:uid="{9030A278-E251-4FAA-8D3A-1CC16FAA26D5}">
      <formula1>0</formula1>
    </dataValidation>
  </dataValidations>
  <hyperlinks>
    <hyperlink ref="H4" r:id="rId1" xr:uid="{72AE597C-F72C-4B65-80E2-A1FA67471751}"/>
    <hyperlink ref="C10" location="'Daftar Sheet'!A1" display="&lt;&lt;&lt; Daftar Sheet" xr:uid="{8382A721-FD08-42DF-B5BD-3F7D0E96F49F}"/>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F957-945F-4E21-9BAB-52E8B8B3B64E}">
  <dimension ref="A2:H15"/>
  <sheetViews>
    <sheetView topLeftCell="A7" zoomScaleNormal="100" workbookViewId="0">
      <selection activeCell="G15" sqref="G15"/>
    </sheetView>
  </sheetViews>
  <sheetFormatPr defaultRowHeight="14.4" x14ac:dyDescent="0.3"/>
  <cols>
    <col min="2" max="2" width="21.77734375" customWidth="1"/>
    <col min="7" max="7" width="75" customWidth="1"/>
    <col min="8" max="8" width="78.21875" bestFit="1" customWidth="1"/>
  </cols>
  <sheetData>
    <row r="2" spans="1:8" ht="33" customHeight="1" x14ac:dyDescent="0.3">
      <c r="A2" s="406" t="s">
        <v>0</v>
      </c>
      <c r="B2" s="406" t="s">
        <v>1919</v>
      </c>
      <c r="C2" s="408" t="s">
        <v>1920</v>
      </c>
      <c r="D2" s="432"/>
      <c r="E2" s="432"/>
      <c r="F2" s="409"/>
      <c r="G2" s="414" t="s">
        <v>1871</v>
      </c>
      <c r="H2" s="391" t="s">
        <v>137</v>
      </c>
    </row>
    <row r="3" spans="1:8" ht="27.6" x14ac:dyDescent="0.3">
      <c r="A3" s="407"/>
      <c r="B3" s="407"/>
      <c r="C3" s="164" t="s">
        <v>1872</v>
      </c>
      <c r="D3" s="164" t="s">
        <v>1873</v>
      </c>
      <c r="E3" s="164" t="s">
        <v>1874</v>
      </c>
      <c r="F3" s="164" t="s">
        <v>1875</v>
      </c>
      <c r="G3" s="469"/>
      <c r="H3" s="391"/>
    </row>
    <row r="4" spans="1:8" x14ac:dyDescent="0.3">
      <c r="A4" s="151">
        <v>1</v>
      </c>
      <c r="B4" s="158" t="s">
        <v>1921</v>
      </c>
      <c r="C4" s="179">
        <v>0.98</v>
      </c>
      <c r="D4" s="179">
        <v>0.02</v>
      </c>
      <c r="E4" s="179">
        <v>0</v>
      </c>
      <c r="F4" s="179">
        <v>0</v>
      </c>
      <c r="G4" s="181" t="s">
        <v>1922</v>
      </c>
      <c r="H4" s="394" t="s">
        <v>1909</v>
      </c>
    </row>
    <row r="5" spans="1:8" ht="27.6" x14ac:dyDescent="0.3">
      <c r="A5" s="151">
        <v>2</v>
      </c>
      <c r="B5" s="158" t="s">
        <v>1923</v>
      </c>
      <c r="C5" s="179">
        <v>0.95</v>
      </c>
      <c r="D5" s="179">
        <v>0.05</v>
      </c>
      <c r="E5" s="179">
        <v>0</v>
      </c>
      <c r="F5" s="179">
        <v>0</v>
      </c>
      <c r="G5" s="181" t="s">
        <v>1924</v>
      </c>
      <c r="H5" s="367"/>
    </row>
    <row r="6" spans="1:8" ht="27.6" x14ac:dyDescent="0.3">
      <c r="A6" s="151">
        <v>3</v>
      </c>
      <c r="B6" s="158" t="s">
        <v>1925</v>
      </c>
      <c r="C6" s="179">
        <v>0.98</v>
      </c>
      <c r="D6" s="179">
        <v>0.02</v>
      </c>
      <c r="E6" s="179">
        <v>0</v>
      </c>
      <c r="F6" s="179">
        <v>0</v>
      </c>
      <c r="G6" s="181" t="s">
        <v>1926</v>
      </c>
      <c r="H6" s="367"/>
    </row>
    <row r="7" spans="1:8" ht="27.6" x14ac:dyDescent="0.3">
      <c r="A7" s="151">
        <v>4</v>
      </c>
      <c r="B7" s="158" t="s">
        <v>1927</v>
      </c>
      <c r="C7" s="179">
        <v>1</v>
      </c>
      <c r="D7" s="179">
        <v>0</v>
      </c>
      <c r="E7" s="179">
        <v>0</v>
      </c>
      <c r="F7" s="179">
        <v>0</v>
      </c>
      <c r="G7" s="181" t="s">
        <v>1928</v>
      </c>
      <c r="H7" s="367"/>
    </row>
    <row r="8" spans="1:8" ht="27.6" x14ac:dyDescent="0.3">
      <c r="A8" s="151">
        <v>5</v>
      </c>
      <c r="B8" s="158" t="s">
        <v>1929</v>
      </c>
      <c r="C8" s="179">
        <v>1</v>
      </c>
      <c r="D8" s="179">
        <v>0</v>
      </c>
      <c r="E8" s="179">
        <v>0</v>
      </c>
      <c r="F8" s="179">
        <v>0</v>
      </c>
      <c r="G8" s="181" t="s">
        <v>1930</v>
      </c>
      <c r="H8" s="367"/>
    </row>
    <row r="9" spans="1:8" ht="27.6" x14ac:dyDescent="0.3">
      <c r="A9" s="151">
        <v>6</v>
      </c>
      <c r="B9" s="158" t="s">
        <v>1931</v>
      </c>
      <c r="C9" s="179">
        <v>1</v>
      </c>
      <c r="D9" s="179">
        <v>0</v>
      </c>
      <c r="E9" s="179">
        <v>0</v>
      </c>
      <c r="F9" s="179">
        <v>0</v>
      </c>
      <c r="G9" s="181" t="s">
        <v>1932</v>
      </c>
      <c r="H9" s="367"/>
    </row>
    <row r="10" spans="1:8" ht="27.6" x14ac:dyDescent="0.3">
      <c r="A10" s="151">
        <v>7</v>
      </c>
      <c r="B10" s="158" t="s">
        <v>1933</v>
      </c>
      <c r="C10" s="179">
        <v>0.96</v>
      </c>
      <c r="D10" s="179">
        <v>0.04</v>
      </c>
      <c r="E10" s="179">
        <v>0</v>
      </c>
      <c r="F10" s="179">
        <v>0</v>
      </c>
      <c r="G10" s="181" t="s">
        <v>1934</v>
      </c>
      <c r="H10" s="367"/>
    </row>
    <row r="11" spans="1:8" x14ac:dyDescent="0.3">
      <c r="A11" s="466" t="s">
        <v>1554</v>
      </c>
      <c r="B11" s="431"/>
      <c r="C11" s="172"/>
      <c r="D11" s="172"/>
      <c r="E11" s="172"/>
      <c r="F11" s="172"/>
      <c r="G11" s="180"/>
    </row>
    <row r="15" spans="1:8" ht="21" x14ac:dyDescent="0.3">
      <c r="G15" s="311" t="s">
        <v>4039</v>
      </c>
    </row>
  </sheetData>
  <protectedRanges>
    <protectedRange sqref="C4:G10" name="Tabel 8e2"/>
  </protectedRanges>
  <mergeCells count="7">
    <mergeCell ref="A11:B11"/>
    <mergeCell ref="H2:H3"/>
    <mergeCell ref="H4:H10"/>
    <mergeCell ref="A2:A3"/>
    <mergeCell ref="B2:B3"/>
    <mergeCell ref="C2:F2"/>
    <mergeCell ref="G2:G3"/>
  </mergeCells>
  <dataValidations count="28">
    <dataValidation type="custom" allowBlank="1" showDropDown="1" showInputMessage="1" showErrorMessage="1" prompt="Data yang dimasukan harus dalam angka (diantara 0 - 100) dan jumlah persentase pada satu aspek harus = 100%)" sqref="D9" xr:uid="{2D51DFC2-DC30-4E94-AE4E-540AEC8BFEAC}">
      <formula1>AND(D9&gt;=0,D9&lt;=100,SUM(C$11:F$11) &lt;= 1)</formula1>
    </dataValidation>
    <dataValidation type="custom" allowBlank="1" showDropDown="1" showInputMessage="1" showErrorMessage="1" prompt="Data yang dimasukan harus dalam angka (diantara 0 - 100) dan jumlah persentase pada satu aspek harus = 100%)" sqref="D6" xr:uid="{DC408FBD-ECE5-4593-9993-7969B7F142CF}">
      <formula1>AND(D6&gt;=0,D6&lt;=100,SUM(C$8:F$8) &lt;= 1)</formula1>
    </dataValidation>
    <dataValidation type="custom" allowBlank="1" showDropDown="1" showInputMessage="1" showErrorMessage="1" prompt="Data yang dimasukan harus dalam angka (diantara 0 - 100) dan jumlah persentase pada satu aspek harus = 100%)" sqref="C10" xr:uid="{DF6DEA69-88BD-4439-A5F0-BCA137B1573A}">
      <formula1>AND(C10&gt;=0,C10&lt;=100,SUM(C$12:F$12) &lt;= 1)</formula1>
    </dataValidation>
    <dataValidation type="custom" allowBlank="1" showDropDown="1" showInputMessage="1" showErrorMessage="1" prompt="Data yang dimasukan harus dalam angka (diantara 0 - 100) dan jumlah persentase pada satu aspek harus = 100%)" sqref="F8" xr:uid="{66864399-C061-4407-9419-72A3BBF24AB7}">
      <formula1>AND(F8&gt;=0,F8&lt;=100,SUM(C$10:F$10) &lt;= 1)</formula1>
    </dataValidation>
    <dataValidation type="custom" allowBlank="1" showDropDown="1" showInputMessage="1" showErrorMessage="1" prompt="Data yang dimasukan harus dalam angka (diantara 0 - 100) dan jumlah persentase pada satu aspek harus = 100%)" sqref="C4" xr:uid="{39F57A92-FEDE-43DE-8B13-B84A84324460}">
      <formula1>AND(C4&gt;=0,C4&lt;=100,SUM(C$6:F$6) &lt;= 1)</formula1>
    </dataValidation>
    <dataValidation type="custom" allowBlank="1" showDropDown="1" showInputMessage="1" showErrorMessage="1" prompt="Data yang dimasukan harus dalam angka (diantara 0 - 100) dan jumlah persentase pada satu aspek harus = 100%)" sqref="E9" xr:uid="{7A127B7B-E883-4EAC-8A8A-10AF17CD4105}">
      <formula1>AND(E9&gt;=0,E9&lt;=100,SUM(E$11) &lt;= 1)</formula1>
    </dataValidation>
    <dataValidation type="custom" allowBlank="1" showDropDown="1" showInputMessage="1" showErrorMessage="1" prompt="Data yang dimasukan harus dalam angka (diantara 0 - 100) dan jumlah persentase pada satu aspek harus = 100%)" sqref="F6" xr:uid="{071B5987-50ED-4095-B238-B694EEA114B1}">
      <formula1>AND(F6&gt;=0,F6&lt;=100,SUM(C$8:F$8) &lt;= 1)</formula1>
    </dataValidation>
    <dataValidation type="custom" allowBlank="1" showDropDown="1" showInputMessage="1" showErrorMessage="1" prompt="Data yang dimasukan harus dalam angka (diantara 0 - 100) dan jumlah persentase pada satu aspek harus = 100%)" sqref="C7" xr:uid="{2DD96808-AB25-4EC1-BCEB-6E7B80A8DBE6}">
      <formula1>AND(C7&gt;=0,C7&lt;=100,SUM(C$9:F$9) &lt;= 1)</formula1>
    </dataValidation>
    <dataValidation type="custom" allowBlank="1" showDropDown="1" showInputMessage="1" showErrorMessage="1" prompt="Data yang dimasukan harus dalam angka (diantara 0 - 100) dan jumlah persentase pada satu aspek harus = 100%)" sqref="F7" xr:uid="{FFAF2473-BC05-4A74-8736-32196168D4E1}">
      <formula1>AND(F7&gt;=0,F7&lt;=100,SUM(C$9:F$9) &lt;= 1)</formula1>
    </dataValidation>
    <dataValidation type="custom" allowBlank="1" showDropDown="1" showInputMessage="1" showErrorMessage="1" prompt="Data yang dimasukan harus dalam angka (diantara 0 - 100) dan jumlah persentase pada satu aspek harus = 100%)" sqref="C5" xr:uid="{0A88D23C-B1EA-4D37-9B2C-F08466F2E967}">
      <formula1>AND(C5&gt;=0,C5&lt;=100,SUM(C$7:F$7) &lt;= 1)</formula1>
    </dataValidation>
    <dataValidation type="custom" allowBlank="1" showDropDown="1" showInputMessage="1" showErrorMessage="1" prompt="Data yang dimasukan harus dalam angka (diantara 0 - 100) dan jumlah persentase pada satu aspek harus = 100%)" sqref="E4" xr:uid="{B95CA750-E99D-470E-8681-00AADE53AC0D}">
      <formula1>AND(E4&gt;=0,E4&lt;=100,SUM(C$6:F$6) &lt;= 1)</formula1>
    </dataValidation>
    <dataValidation type="custom" allowBlank="1" showDropDown="1" showInputMessage="1" showErrorMessage="1" prompt="Data yang dimasukan harus dalam angka (diantara 0 - 100) dan jumlah persentase pada satu aspek harus = 100%)" sqref="E5" xr:uid="{CB29986B-5384-48F6-8078-988EAA04B860}">
      <formula1>AND(E5&gt;=0,E5&lt;=100,SUM(C$7:F$7) &lt;= 1)</formula1>
    </dataValidation>
    <dataValidation type="custom" allowBlank="1" showDropDown="1" showInputMessage="1" showErrorMessage="1" prompt="Data yang dimasukan harus dalam angka (diantara 0 - 100) dan jumlah persentase pada satu aspek harus = 100%)" sqref="E8" xr:uid="{5008F69B-D1D7-49D9-99E0-AE80C37292D9}">
      <formula1>AND(E8&gt;=0,E8&lt;=100,SUM(C$10:F$10) &lt;= 1)</formula1>
    </dataValidation>
    <dataValidation type="custom" allowBlank="1" showDropDown="1" showInputMessage="1" showErrorMessage="1" prompt="Data yang dimasukan harus dalam angka (diantara 0 - 100) dan jumlah persentase pada satu aspek harus = 100%)" sqref="F10" xr:uid="{E866368D-C81B-4E67-808D-27C3735F25F3}">
      <formula1>AND(F10&gt;=0,F10&lt;=100,SUM(C$12:F$12) &lt;= 1)</formula1>
    </dataValidation>
    <dataValidation type="custom" allowBlank="1" showDropDown="1" showInputMessage="1" showErrorMessage="1" prompt="Data yang dimasukan harus dalam angka (diantara 0 - 100) dan jumlah persentase pada satu aspek harus = 100%)" sqref="E7" xr:uid="{9858D4FC-E6E1-40B1-951F-F3D7BDD9411B}">
      <formula1>AND(E7&gt;=0,E7&lt;=100,SUM(C$9:F$9) &lt;= 1)</formula1>
    </dataValidation>
    <dataValidation type="custom" allowBlank="1" showDropDown="1" showInputMessage="1" showErrorMessage="1" prompt="Data yang dimasukan harus dalam angka (diantara 0 - 100) dan jumlah persentase pada satu aspek harus = 100%)" sqref="F9" xr:uid="{CCBC3A80-4E71-403F-BC2C-1F4B9A11B488}">
      <formula1>AND(F9&gt;=0,F9&lt;=100,SUM(C$11:F$11) &lt;= 1)</formula1>
    </dataValidation>
    <dataValidation type="custom" allowBlank="1" showDropDown="1" showInputMessage="1" showErrorMessage="1" prompt="Data yang dimasukan harus dalam angka (diantara 0 - 100) dan jumlah persentase pada satu aspek harus = 100%)" sqref="C9" xr:uid="{9CFE46DB-67CF-458D-80DB-F7115128F21C}">
      <formula1>AND(C9&gt;=0,C9&lt;=100,SUM(C$11:F$11) &lt;= 1)</formula1>
    </dataValidation>
    <dataValidation type="custom" allowBlank="1" showDropDown="1" showInputMessage="1" showErrorMessage="1" prompt="Data yang dimasukan harus dalam angka (diantara 0 - 100) dan jumlah persentase pada satu aspek harus = 100%)" sqref="D8" xr:uid="{AE1A383C-B1AE-4A39-BDA9-24C9ECED0240}">
      <formula1>AND(D8&gt;=0,D8&lt;=100,SUM(C$10:F$10) &lt;= 1)</formula1>
    </dataValidation>
    <dataValidation type="custom" allowBlank="1" showDropDown="1" showInputMessage="1" showErrorMessage="1" prompt="Data yang dimasukan harus dalam angka (diantara 0 - 100) dan jumlah persentase pada satu aspek harus = 100%)" sqref="E6" xr:uid="{B4B272F6-1606-4347-91DC-55092C5B06E2}">
      <formula1>AND(E6&gt;=0,E6&lt;=100,SUM(C$8:F$8) &lt;= 1)</formula1>
    </dataValidation>
    <dataValidation type="custom" allowBlank="1" showDropDown="1" showInputMessage="1" showErrorMessage="1" prompt="Data yang dimasukan harus dalam angka (diantara 0 - 100) dan jumlah persentase pada satu aspek harus = 100%)" sqref="E10" xr:uid="{979118C6-6BBA-4B43-8FB3-84CF13AAA9AC}">
      <formula1>AND(E10&gt;=0,E10&lt;=100,SUM(C$12:F$12) &lt;= 1)</formula1>
    </dataValidation>
    <dataValidation type="custom" allowBlank="1" showDropDown="1" showInputMessage="1" showErrorMessage="1" prompt="Data yang dimasukan harus dalam angka (diantara 0 - 100) dan jumlah persentase pada satu aspek harus = 100%)" sqref="D5" xr:uid="{D24057B4-FFAF-4FD4-9457-E4FF995B26F7}">
      <formula1>AND(D5&gt;=0,D5&lt;=100,SUM(C$7:F$7) &lt;= 1)</formula1>
    </dataValidation>
    <dataValidation type="custom" allowBlank="1" showDropDown="1" showInputMessage="1" showErrorMessage="1" prompt="Data yang dimasukan harus dalam angka (diantara 0 - 100) dan jumlah persentase pada satu aspek harus = 100%)" sqref="F4" xr:uid="{896FBAFC-147F-4FA5-8FD1-8FB9C9E9C501}">
      <formula1>AND(F4&gt;=0,F4&lt;=100,SUM(C$6:F$6) &lt;= 1)</formula1>
    </dataValidation>
    <dataValidation type="custom" allowBlank="1" showDropDown="1" showInputMessage="1" showErrorMessage="1" prompt="Data yang dimasukan harus dalam angka (diantara 0 - 100) dan jumlah persentase pada satu aspek harus = 100%)" sqref="D7" xr:uid="{391D4BFE-708F-42DF-B5AC-7692AD769273}">
      <formula1>AND(D7&gt;=0,D7&lt;=100,SUM(C$9:F$9) &lt;= 1)</formula1>
    </dataValidation>
    <dataValidation type="custom" allowBlank="1" showDropDown="1" showInputMessage="1" showErrorMessage="1" prompt="Data yang dimasukan harus dalam angka (diantara 0 - 100) dan jumlah persentase pada satu aspek harus = 100%)" sqref="C8" xr:uid="{F45431AA-50A8-4911-B9A1-3202A0C0652A}">
      <formula1>AND(C8&gt;=0,C8&lt;=100,SUM(C$10:F$10) &lt;= 1)</formula1>
    </dataValidation>
    <dataValidation type="custom" allowBlank="1" showDropDown="1" showInputMessage="1" showErrorMessage="1" prompt="Data yang dimasukan harus dalam angka (diantara 0 - 100) dan jumlah persentase pada satu aspek harus = 100%)" sqref="C6" xr:uid="{C37AE1B7-C0A0-498C-BE24-147EBE1756BC}">
      <formula1>AND(C6&gt;=0,C6&lt;=100,SUM(C$8:F$8) &lt;= 1)</formula1>
    </dataValidation>
    <dataValidation type="custom" allowBlank="1" showDropDown="1" showInputMessage="1" showErrorMessage="1" prompt="Data yang dimasukan harus dalam angka (diantara 0 - 100) dan jumlah persentase pada satu aspek harus = 100%)" sqref="F5" xr:uid="{1A966A6E-0B79-4525-875C-66D5EE56E88C}">
      <formula1>AND(F5&gt;=0,F5&lt;=100,SUM(C$7:F$7) &lt;= 1)</formula1>
    </dataValidation>
    <dataValidation type="custom" allowBlank="1" showDropDown="1" showInputMessage="1" showErrorMessage="1" prompt="Data yang dimasukan harus dalam angka (diantara 0 - 100) dan jumlah persentase pada satu aspek harus = 100%)" sqref="D10" xr:uid="{0AAB5071-C1C8-4916-BB1D-C2BCC48C51B7}">
      <formula1>AND(D10&gt;=0,D10&lt;=100,SUM(C$12:F$12) &lt;= 1)</formula1>
    </dataValidation>
    <dataValidation type="custom" allowBlank="1" showDropDown="1" showInputMessage="1" showErrorMessage="1" prompt="Data yang dimasukan harus dalam angka (diantara 0 - 100) dan jumlah persentase pada satu aspek harus = 100%)" sqref="D4" xr:uid="{34A8E9C2-5BDE-47E2-932E-59ED76083F65}">
      <formula1>AND(D4&gt;=0,D4&lt;=100,SUM(C$6:F$6) &lt;= 1)</formula1>
    </dataValidation>
  </dataValidations>
  <hyperlinks>
    <hyperlink ref="H4" r:id="rId1" xr:uid="{66D64680-1697-4198-A6CE-7D079974B48C}"/>
    <hyperlink ref="G15" location="'Daftar Sheet'!A1" display="&lt;&lt;&lt; Daftar Sheet" xr:uid="{38C63988-E380-4C1B-9C7E-AE218CA25231}"/>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C2AE-7D8A-448D-AEFA-40101518E88F}">
  <dimension ref="A2:J31"/>
  <sheetViews>
    <sheetView topLeftCell="B1" zoomScale="70" zoomScaleNormal="70" workbookViewId="0">
      <pane xSplit="2" ySplit="2" topLeftCell="D3" activePane="bottomRight" state="frozen"/>
      <selection activeCell="B1" sqref="B1"/>
      <selection pane="topRight" activeCell="C1" sqref="C1"/>
      <selection pane="bottomLeft" activeCell="B3" sqref="B3"/>
      <selection pane="bottomRight"/>
    </sheetView>
  </sheetViews>
  <sheetFormatPr defaultRowHeight="14.4" x14ac:dyDescent="0.3"/>
  <cols>
    <col min="3" max="3" width="18.6640625" customWidth="1"/>
    <col min="4" max="4" width="13.109375" style="10" customWidth="1"/>
    <col min="5" max="5" width="13.44140625" style="10" customWidth="1"/>
    <col min="6" max="6" width="14.77734375" style="10" customWidth="1"/>
    <col min="7" max="7" width="12.33203125" style="10" customWidth="1"/>
    <col min="8" max="8" width="14.33203125" style="10" customWidth="1"/>
    <col min="9" max="9" width="14.109375" style="10" customWidth="1"/>
    <col min="10" max="10" width="108.77734375" bestFit="1" customWidth="1"/>
  </cols>
  <sheetData>
    <row r="2" spans="1:10" ht="52.8" x14ac:dyDescent="0.3">
      <c r="A2" s="192" t="s">
        <v>51</v>
      </c>
      <c r="B2" s="196" t="s">
        <v>51</v>
      </c>
      <c r="C2" s="196" t="s">
        <v>1935</v>
      </c>
      <c r="D2" s="192" t="s">
        <v>1936</v>
      </c>
      <c r="E2" s="192" t="s">
        <v>1937</v>
      </c>
      <c r="F2" s="192" t="s">
        <v>1938</v>
      </c>
      <c r="G2" s="192" t="s">
        <v>1939</v>
      </c>
      <c r="H2" s="193" t="s">
        <v>1940</v>
      </c>
      <c r="I2" s="194" t="s">
        <v>1941</v>
      </c>
      <c r="J2" s="2" t="s">
        <v>137</v>
      </c>
    </row>
    <row r="3" spans="1:10" ht="26.4" x14ac:dyDescent="0.3">
      <c r="A3" s="195">
        <v>1</v>
      </c>
      <c r="B3" s="197">
        <v>1</v>
      </c>
      <c r="C3" s="198" t="s">
        <v>1942</v>
      </c>
      <c r="D3" s="186" t="s">
        <v>1016</v>
      </c>
      <c r="E3" s="186" t="s">
        <v>1016</v>
      </c>
      <c r="F3" s="186" t="s">
        <v>1016</v>
      </c>
      <c r="G3" s="186" t="s">
        <v>1016</v>
      </c>
      <c r="H3" s="188" t="s">
        <v>1016</v>
      </c>
      <c r="I3" s="191">
        <v>44757</v>
      </c>
      <c r="J3" s="42" t="s">
        <v>1966</v>
      </c>
    </row>
    <row r="4" spans="1:10" ht="26.4" x14ac:dyDescent="0.3">
      <c r="A4" s="195">
        <v>2</v>
      </c>
      <c r="B4" s="197">
        <v>2</v>
      </c>
      <c r="C4" s="198" t="s">
        <v>1943</v>
      </c>
      <c r="D4" s="187" t="s">
        <v>1016</v>
      </c>
      <c r="E4" s="187" t="s">
        <v>1016</v>
      </c>
      <c r="F4" s="187" t="s">
        <v>1016</v>
      </c>
      <c r="G4" s="187" t="s">
        <v>1016</v>
      </c>
      <c r="H4" s="189" t="s">
        <v>1016</v>
      </c>
      <c r="I4" s="191">
        <v>44757</v>
      </c>
      <c r="J4" s="480" t="s">
        <v>1967</v>
      </c>
    </row>
    <row r="5" spans="1:10" ht="26.4" x14ac:dyDescent="0.3">
      <c r="A5" s="195">
        <v>3</v>
      </c>
      <c r="B5" s="197">
        <v>3</v>
      </c>
      <c r="C5" s="198" t="s">
        <v>1944</v>
      </c>
      <c r="D5" s="187" t="s">
        <v>1016</v>
      </c>
      <c r="E5" s="187" t="s">
        <v>1016</v>
      </c>
      <c r="F5" s="187" t="s">
        <v>1016</v>
      </c>
      <c r="G5" s="187" t="s">
        <v>1016</v>
      </c>
      <c r="H5" s="189" t="s">
        <v>1016</v>
      </c>
      <c r="I5" s="191">
        <v>44757</v>
      </c>
      <c r="J5" s="480"/>
    </row>
    <row r="6" spans="1:10" ht="39.6" x14ac:dyDescent="0.3">
      <c r="A6" s="195">
        <v>4</v>
      </c>
      <c r="B6" s="197">
        <v>4</v>
      </c>
      <c r="C6" s="198" t="s">
        <v>1945</v>
      </c>
      <c r="D6" s="187" t="s">
        <v>1016</v>
      </c>
      <c r="E6" s="187" t="s">
        <v>1016</v>
      </c>
      <c r="F6" s="187" t="s">
        <v>1016</v>
      </c>
      <c r="G6" s="187" t="s">
        <v>1016</v>
      </c>
      <c r="H6" s="189" t="s">
        <v>1016</v>
      </c>
      <c r="I6" s="191">
        <v>44757</v>
      </c>
      <c r="J6" s="480"/>
    </row>
    <row r="7" spans="1:10" ht="39.6" x14ac:dyDescent="0.3">
      <c r="A7" s="195">
        <v>5</v>
      </c>
      <c r="B7" s="197">
        <v>5</v>
      </c>
      <c r="C7" s="198" t="s">
        <v>1946</v>
      </c>
      <c r="D7" s="187" t="s">
        <v>1016</v>
      </c>
      <c r="E7" s="187" t="s">
        <v>1016</v>
      </c>
      <c r="F7" s="187" t="s">
        <v>1016</v>
      </c>
      <c r="G7" s="187" t="s">
        <v>1016</v>
      </c>
      <c r="H7" s="189" t="s">
        <v>1016</v>
      </c>
      <c r="I7" s="191">
        <v>44757</v>
      </c>
      <c r="J7" s="480"/>
    </row>
    <row r="8" spans="1:10" ht="39.6" x14ac:dyDescent="0.3">
      <c r="A8" s="195">
        <v>6</v>
      </c>
      <c r="B8" s="197">
        <v>6</v>
      </c>
      <c r="C8" s="198" t="s">
        <v>1947</v>
      </c>
      <c r="D8" s="187" t="s">
        <v>1016</v>
      </c>
      <c r="E8" s="187" t="s">
        <v>1016</v>
      </c>
      <c r="F8" s="187" t="s">
        <v>1016</v>
      </c>
      <c r="G8" s="187" t="s">
        <v>1016</v>
      </c>
      <c r="H8" s="189" t="s">
        <v>1016</v>
      </c>
      <c r="I8" s="191">
        <v>44757</v>
      </c>
      <c r="J8" s="480"/>
    </row>
    <row r="9" spans="1:10" x14ac:dyDescent="0.3">
      <c r="A9" s="195">
        <v>7</v>
      </c>
      <c r="B9" s="197">
        <v>7</v>
      </c>
      <c r="C9" s="198" t="s">
        <v>1948</v>
      </c>
      <c r="D9" s="187" t="s">
        <v>1016</v>
      </c>
      <c r="E9" s="187" t="s">
        <v>1016</v>
      </c>
      <c r="F9" s="187" t="s">
        <v>1016</v>
      </c>
      <c r="G9" s="187" t="s">
        <v>1016</v>
      </c>
      <c r="H9" s="189" t="s">
        <v>1016</v>
      </c>
      <c r="I9" s="191">
        <v>44757</v>
      </c>
      <c r="J9" s="480"/>
    </row>
    <row r="10" spans="1:10" ht="26.4" x14ac:dyDescent="0.3">
      <c r="A10" s="195">
        <v>8</v>
      </c>
      <c r="B10" s="197">
        <v>8</v>
      </c>
      <c r="C10" s="198" t="s">
        <v>1949</v>
      </c>
      <c r="D10" s="187" t="s">
        <v>1016</v>
      </c>
      <c r="E10" s="187" t="s">
        <v>1016</v>
      </c>
      <c r="F10" s="187" t="s">
        <v>1016</v>
      </c>
      <c r="G10" s="187" t="s">
        <v>1016</v>
      </c>
      <c r="H10" s="189" t="s">
        <v>1016</v>
      </c>
      <c r="I10" s="191">
        <v>44757</v>
      </c>
      <c r="J10" s="481"/>
    </row>
    <row r="11" spans="1:10" ht="26.4" x14ac:dyDescent="0.3">
      <c r="A11" s="195">
        <v>9</v>
      </c>
      <c r="B11" s="197">
        <v>9</v>
      </c>
      <c r="C11" s="198" t="s">
        <v>1950</v>
      </c>
      <c r="D11" s="187" t="s">
        <v>1016</v>
      </c>
      <c r="E11" s="187" t="s">
        <v>1016</v>
      </c>
      <c r="F11" s="187" t="s">
        <v>1016</v>
      </c>
      <c r="G11" s="187" t="s">
        <v>1016</v>
      </c>
      <c r="H11" s="189" t="s">
        <v>1016</v>
      </c>
      <c r="I11" s="199">
        <v>44757</v>
      </c>
      <c r="J11" s="42" t="s">
        <v>1968</v>
      </c>
    </row>
    <row r="12" spans="1:10" x14ac:dyDescent="0.3">
      <c r="A12" s="195">
        <v>10</v>
      </c>
      <c r="B12" s="197">
        <v>10</v>
      </c>
      <c r="C12" s="198" t="s">
        <v>1951</v>
      </c>
      <c r="D12" s="187" t="s">
        <v>1016</v>
      </c>
      <c r="E12" s="187" t="s">
        <v>1016</v>
      </c>
      <c r="F12" s="187" t="s">
        <v>1016</v>
      </c>
      <c r="G12" s="187" t="s">
        <v>1016</v>
      </c>
      <c r="H12" s="189" t="s">
        <v>1016</v>
      </c>
      <c r="I12" s="199">
        <v>44757</v>
      </c>
      <c r="J12" s="480" t="s">
        <v>1969</v>
      </c>
    </row>
    <row r="13" spans="1:10" ht="26.4" x14ac:dyDescent="0.3">
      <c r="A13" s="195">
        <v>11</v>
      </c>
      <c r="B13" s="197">
        <v>11</v>
      </c>
      <c r="C13" s="198" t="s">
        <v>1952</v>
      </c>
      <c r="D13" s="187" t="s">
        <v>1016</v>
      </c>
      <c r="E13" s="187" t="s">
        <v>1016</v>
      </c>
      <c r="F13" s="187" t="s">
        <v>1016</v>
      </c>
      <c r="G13" s="187" t="s">
        <v>1016</v>
      </c>
      <c r="H13" s="189" t="s">
        <v>1016</v>
      </c>
      <c r="I13" s="199">
        <v>44757</v>
      </c>
      <c r="J13" s="482"/>
    </row>
    <row r="14" spans="1:10" ht="26.4" x14ac:dyDescent="0.3">
      <c r="A14" s="195">
        <v>12</v>
      </c>
      <c r="B14" s="197">
        <v>12</v>
      </c>
      <c r="C14" s="198" t="s">
        <v>1953</v>
      </c>
      <c r="D14" s="187" t="s">
        <v>1016</v>
      </c>
      <c r="E14" s="187" t="s">
        <v>1016</v>
      </c>
      <c r="F14" s="187" t="s">
        <v>1016</v>
      </c>
      <c r="G14" s="187" t="s">
        <v>1016</v>
      </c>
      <c r="H14" s="189" t="s">
        <v>1016</v>
      </c>
      <c r="I14" s="199">
        <v>44757</v>
      </c>
      <c r="J14" s="482"/>
    </row>
    <row r="15" spans="1:10" x14ac:dyDescent="0.3">
      <c r="A15" s="195">
        <v>13</v>
      </c>
      <c r="B15" s="197">
        <v>13</v>
      </c>
      <c r="C15" s="198" t="s">
        <v>1954</v>
      </c>
      <c r="D15" s="187" t="s">
        <v>1016</v>
      </c>
      <c r="E15" s="187" t="s">
        <v>1016</v>
      </c>
      <c r="F15" s="187" t="s">
        <v>1016</v>
      </c>
      <c r="G15" s="187" t="s">
        <v>1016</v>
      </c>
      <c r="H15" s="189" t="s">
        <v>1016</v>
      </c>
      <c r="I15" s="199">
        <v>44757</v>
      </c>
      <c r="J15" s="482"/>
    </row>
    <row r="16" spans="1:10" ht="26.4" x14ac:dyDescent="0.3">
      <c r="A16" s="195">
        <v>14</v>
      </c>
      <c r="B16" s="197">
        <v>14</v>
      </c>
      <c r="C16" s="198" t="s">
        <v>1955</v>
      </c>
      <c r="D16" s="187" t="s">
        <v>1016</v>
      </c>
      <c r="E16" s="187" t="s">
        <v>1016</v>
      </c>
      <c r="F16" s="187" t="s">
        <v>1016</v>
      </c>
      <c r="G16" s="187" t="s">
        <v>1016</v>
      </c>
      <c r="H16" s="189" t="s">
        <v>1016</v>
      </c>
      <c r="I16" s="199">
        <v>44757</v>
      </c>
      <c r="J16" s="482"/>
    </row>
    <row r="17" spans="1:10" ht="26.4" x14ac:dyDescent="0.3">
      <c r="A17" s="195">
        <v>15</v>
      </c>
      <c r="B17" s="197">
        <v>15</v>
      </c>
      <c r="C17" s="198" t="s">
        <v>1956</v>
      </c>
      <c r="D17" s="187" t="s">
        <v>1016</v>
      </c>
      <c r="E17" s="187" t="s">
        <v>1016</v>
      </c>
      <c r="F17" s="187" t="s">
        <v>1016</v>
      </c>
      <c r="G17" s="187" t="s">
        <v>1016</v>
      </c>
      <c r="H17" s="189" t="s">
        <v>1016</v>
      </c>
      <c r="I17" s="199">
        <v>44757</v>
      </c>
      <c r="J17" s="482"/>
    </row>
    <row r="18" spans="1:10" ht="39.6" x14ac:dyDescent="0.3">
      <c r="A18" s="195">
        <v>16</v>
      </c>
      <c r="B18" s="197">
        <v>16</v>
      </c>
      <c r="C18" s="198" t="s">
        <v>1957</v>
      </c>
      <c r="D18" s="187" t="s">
        <v>1016</v>
      </c>
      <c r="E18" s="187" t="s">
        <v>1016</v>
      </c>
      <c r="F18" s="187" t="s">
        <v>1016</v>
      </c>
      <c r="G18" s="187" t="s">
        <v>1016</v>
      </c>
      <c r="H18" s="189" t="s">
        <v>1016</v>
      </c>
      <c r="I18" s="199">
        <v>44757</v>
      </c>
      <c r="J18" s="482"/>
    </row>
    <row r="19" spans="1:10" x14ac:dyDescent="0.3">
      <c r="A19" s="195">
        <v>17</v>
      </c>
      <c r="B19" s="197">
        <v>17</v>
      </c>
      <c r="C19" s="198" t="s">
        <v>1958</v>
      </c>
      <c r="D19" s="187" t="s">
        <v>1016</v>
      </c>
      <c r="E19" s="187" t="s">
        <v>1016</v>
      </c>
      <c r="F19" s="187" t="s">
        <v>1016</v>
      </c>
      <c r="G19" s="187" t="s">
        <v>1016</v>
      </c>
      <c r="H19" s="189" t="s">
        <v>1016</v>
      </c>
      <c r="I19" s="199">
        <v>44757</v>
      </c>
      <c r="J19" s="42" t="s">
        <v>1970</v>
      </c>
    </row>
    <row r="20" spans="1:10" x14ac:dyDescent="0.3">
      <c r="A20" s="195">
        <v>18</v>
      </c>
      <c r="B20" s="197">
        <v>18</v>
      </c>
      <c r="C20" s="198" t="s">
        <v>1959</v>
      </c>
      <c r="D20" s="187" t="s">
        <v>1016</v>
      </c>
      <c r="E20" s="187" t="s">
        <v>1016</v>
      </c>
      <c r="F20" s="187" t="s">
        <v>1016</v>
      </c>
      <c r="G20" s="187" t="s">
        <v>1016</v>
      </c>
      <c r="H20" s="189" t="s">
        <v>1016</v>
      </c>
      <c r="I20" s="199">
        <v>44757</v>
      </c>
      <c r="J20" s="480" t="s">
        <v>1971</v>
      </c>
    </row>
    <row r="21" spans="1:10" x14ac:dyDescent="0.3">
      <c r="A21" s="195">
        <v>19</v>
      </c>
      <c r="B21" s="197">
        <v>19</v>
      </c>
      <c r="C21" s="198" t="s">
        <v>1960</v>
      </c>
      <c r="D21" s="187" t="s">
        <v>1016</v>
      </c>
      <c r="E21" s="187" t="s">
        <v>1016</v>
      </c>
      <c r="F21" s="187" t="s">
        <v>1016</v>
      </c>
      <c r="G21" s="187" t="s">
        <v>1016</v>
      </c>
      <c r="H21" s="189" t="s">
        <v>1016</v>
      </c>
      <c r="I21" s="199">
        <v>44757</v>
      </c>
      <c r="J21" s="482"/>
    </row>
    <row r="22" spans="1:10" ht="26.4" x14ac:dyDescent="0.3">
      <c r="A22" s="195">
        <v>20</v>
      </c>
      <c r="B22" s="197">
        <v>20</v>
      </c>
      <c r="C22" s="198" t="s">
        <v>1961</v>
      </c>
      <c r="D22" s="187" t="s">
        <v>1016</v>
      </c>
      <c r="E22" s="187" t="s">
        <v>1016</v>
      </c>
      <c r="F22" s="187" t="s">
        <v>1016</v>
      </c>
      <c r="G22" s="187" t="s">
        <v>1016</v>
      </c>
      <c r="H22" s="189" t="s">
        <v>1016</v>
      </c>
      <c r="I22" s="199">
        <v>44757</v>
      </c>
      <c r="J22" s="482"/>
    </row>
    <row r="23" spans="1:10" ht="26.4" x14ac:dyDescent="0.3">
      <c r="A23" s="195">
        <v>21</v>
      </c>
      <c r="B23" s="197">
        <v>21</v>
      </c>
      <c r="C23" s="198" t="s">
        <v>1962</v>
      </c>
      <c r="D23" s="187" t="s">
        <v>1016</v>
      </c>
      <c r="E23" s="187" t="s">
        <v>1016</v>
      </c>
      <c r="F23" s="187" t="s">
        <v>1016</v>
      </c>
      <c r="G23" s="187" t="s">
        <v>1016</v>
      </c>
      <c r="H23" s="189" t="s">
        <v>1016</v>
      </c>
      <c r="I23" s="199">
        <v>44757</v>
      </c>
      <c r="J23" s="482"/>
    </row>
    <row r="24" spans="1:10" ht="26.4" x14ac:dyDescent="0.3">
      <c r="A24" s="195">
        <v>22</v>
      </c>
      <c r="B24" s="197">
        <v>22</v>
      </c>
      <c r="C24" s="198" t="s">
        <v>1963</v>
      </c>
      <c r="D24" s="187" t="s">
        <v>1016</v>
      </c>
      <c r="E24" s="187" t="s">
        <v>1016</v>
      </c>
      <c r="F24" s="187" t="s">
        <v>1016</v>
      </c>
      <c r="G24" s="187" t="s">
        <v>1016</v>
      </c>
      <c r="H24" s="189" t="s">
        <v>1016</v>
      </c>
      <c r="I24" s="199">
        <v>44757</v>
      </c>
      <c r="J24" s="482"/>
    </row>
    <row r="25" spans="1:10" ht="26.4" x14ac:dyDescent="0.3">
      <c r="A25" s="195">
        <v>23</v>
      </c>
      <c r="B25" s="197">
        <v>23</v>
      </c>
      <c r="C25" s="198" t="s">
        <v>1964</v>
      </c>
      <c r="D25" s="187" t="s">
        <v>1016</v>
      </c>
      <c r="E25" s="187" t="s">
        <v>1016</v>
      </c>
      <c r="F25" s="187" t="s">
        <v>1016</v>
      </c>
      <c r="G25" s="187" t="s">
        <v>1016</v>
      </c>
      <c r="H25" s="189" t="s">
        <v>1016</v>
      </c>
      <c r="I25" s="199">
        <v>44757</v>
      </c>
      <c r="J25" s="482"/>
    </row>
    <row r="26" spans="1:10" ht="39.6" x14ac:dyDescent="0.3">
      <c r="A26" s="195">
        <v>24</v>
      </c>
      <c r="B26" s="197">
        <v>24</v>
      </c>
      <c r="C26" s="198" t="s">
        <v>1965</v>
      </c>
      <c r="D26" s="187" t="s">
        <v>1016</v>
      </c>
      <c r="E26" s="187" t="s">
        <v>1016</v>
      </c>
      <c r="F26" s="187" t="s">
        <v>1016</v>
      </c>
      <c r="G26" s="187" t="s">
        <v>1016</v>
      </c>
      <c r="H26" s="189" t="s">
        <v>1016</v>
      </c>
      <c r="I26" s="199">
        <v>44757</v>
      </c>
      <c r="J26" s="483"/>
    </row>
    <row r="27" spans="1:10" x14ac:dyDescent="0.3">
      <c r="A27" s="477" t="s">
        <v>1554</v>
      </c>
      <c r="B27" s="478"/>
      <c r="C27" s="479"/>
      <c r="D27" s="185">
        <f>COUNTA(D3:D26)</f>
        <v>24</v>
      </c>
      <c r="E27" s="185">
        <f>COUNTA(E3:E26)</f>
        <v>24</v>
      </c>
      <c r="F27" s="185">
        <f>COUNTA(F3:F26)</f>
        <v>24</v>
      </c>
      <c r="G27" s="185">
        <f>COUNTA(G3:G26)</f>
        <v>24</v>
      </c>
      <c r="H27" s="185">
        <f>COUNTA(H3:H26)</f>
        <v>24</v>
      </c>
      <c r="I27" s="190"/>
    </row>
    <row r="31" spans="1:10" ht="21" x14ac:dyDescent="0.3">
      <c r="C31" s="311" t="s">
        <v>4039</v>
      </c>
    </row>
  </sheetData>
  <protectedRanges>
    <protectedRange sqref="D3:I26" name="Tabel 9a"/>
  </protectedRanges>
  <mergeCells count="4">
    <mergeCell ref="A27:C27"/>
    <mergeCell ref="J4:J10"/>
    <mergeCell ref="J12:J18"/>
    <mergeCell ref="J20:J26"/>
  </mergeCells>
  <dataValidations count="2">
    <dataValidation type="list" allowBlank="1" showInputMessage="1" showErrorMessage="1" prompt="Pilih dari opsi yang tersedia" sqref="D3:H26" xr:uid="{B521059C-40A1-45C5-8984-3DF5F93D2781}">
      <formula1>$D$3:$D$3</formula1>
    </dataValidation>
    <dataValidation type="custom" allowBlank="1" showDropDown="1" showInputMessage="1" showErrorMessage="1" prompt="Masukan data yang valid. Contoh tanggal : 29 Desember 2021, maka input yang valid adalah 29/12/2021" sqref="I3:I26" xr:uid="{DE59F504-F8A5-4960-8D86-F53DBAB598A0}">
      <formula1>OR(NOT(ISERROR(DATEVALUE(I3))), AND(ISNUMBER(I3), LEFT(CELL("format", I3))="D"))</formula1>
    </dataValidation>
  </dataValidations>
  <hyperlinks>
    <hyperlink ref="J4" r:id="rId1" xr:uid="{B2FBC314-CDCD-42D5-94C9-348717DA9091}"/>
    <hyperlink ref="J12" r:id="rId2" xr:uid="{20813084-391F-429E-84FD-739447CA9934}"/>
    <hyperlink ref="J20" r:id="rId3" xr:uid="{0797600A-2A7E-485A-A579-86A512DFB607}"/>
    <hyperlink ref="C31" location="'Daftar Sheet'!A1" display="&lt;&lt;&lt; Daftar Sheet" xr:uid="{81C743D8-8C22-409D-823F-25A2F173020C}"/>
  </hyperlinks>
  <pageMargins left="0.7" right="0.7" top="0.75" bottom="0.75" header="0.3" footer="0.3"/>
  <legacyDrawing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0F51C-7DAE-4601-8AAC-55879FACD5B4}">
  <dimension ref="A2:E10"/>
  <sheetViews>
    <sheetView workbookViewId="0">
      <selection activeCell="B10" sqref="B10"/>
    </sheetView>
  </sheetViews>
  <sheetFormatPr defaultRowHeight="14.4" x14ac:dyDescent="0.3"/>
  <cols>
    <col min="2" max="2" width="28" customWidth="1"/>
    <col min="3" max="3" width="16.44140625" bestFit="1" customWidth="1"/>
    <col min="4" max="4" width="9.44140625" bestFit="1" customWidth="1"/>
    <col min="5" max="5" width="82" bestFit="1" customWidth="1"/>
  </cols>
  <sheetData>
    <row r="2" spans="1:5" ht="27.6" x14ac:dyDescent="0.3">
      <c r="A2" s="150" t="s">
        <v>51</v>
      </c>
      <c r="B2" s="150" t="s">
        <v>1972</v>
      </c>
      <c r="C2" s="150" t="s">
        <v>1973</v>
      </c>
      <c r="D2" s="168" t="s">
        <v>1974</v>
      </c>
      <c r="E2" s="202" t="s">
        <v>1477</v>
      </c>
    </row>
    <row r="3" spans="1:5" x14ac:dyDescent="0.3">
      <c r="A3" s="151">
        <v>1</v>
      </c>
      <c r="B3" s="182" t="s">
        <v>1975</v>
      </c>
      <c r="C3" s="183" t="s">
        <v>1976</v>
      </c>
      <c r="D3" s="200">
        <v>44581</v>
      </c>
      <c r="E3" s="34" t="s">
        <v>1983</v>
      </c>
    </row>
    <row r="4" spans="1:5" x14ac:dyDescent="0.3">
      <c r="A4" s="151">
        <v>2</v>
      </c>
      <c r="B4" s="182" t="s">
        <v>1977</v>
      </c>
      <c r="C4" s="184" t="s">
        <v>1978</v>
      </c>
      <c r="D4" s="201">
        <v>44581</v>
      </c>
      <c r="E4" s="34" t="s">
        <v>1985</v>
      </c>
    </row>
    <row r="5" spans="1:5" x14ac:dyDescent="0.3">
      <c r="A5" s="151">
        <v>3</v>
      </c>
      <c r="B5" s="182" t="s">
        <v>1979</v>
      </c>
      <c r="C5" s="184" t="s">
        <v>1980</v>
      </c>
      <c r="D5" s="201">
        <v>44581</v>
      </c>
      <c r="E5" s="34" t="s">
        <v>1984</v>
      </c>
    </row>
    <row r="6" spans="1:5" x14ac:dyDescent="0.3">
      <c r="A6" s="173">
        <v>4</v>
      </c>
      <c r="B6" s="289" t="s">
        <v>1981</v>
      </c>
      <c r="C6" s="175" t="s">
        <v>1982</v>
      </c>
      <c r="D6" s="290">
        <v>44581</v>
      </c>
      <c r="E6" s="206" t="s">
        <v>1986</v>
      </c>
    </row>
    <row r="7" spans="1:5" ht="27.6" x14ac:dyDescent="0.3">
      <c r="A7" s="291">
        <v>5</v>
      </c>
      <c r="B7" s="292" t="s">
        <v>4005</v>
      </c>
      <c r="C7" s="293" t="s">
        <v>4002</v>
      </c>
      <c r="D7" s="4" t="s">
        <v>4003</v>
      </c>
      <c r="E7" s="7" t="s">
        <v>4004</v>
      </c>
    </row>
    <row r="10" spans="1:5" ht="21" x14ac:dyDescent="0.3">
      <c r="B10" s="311" t="s">
        <v>4039</v>
      </c>
    </row>
  </sheetData>
  <protectedRanges>
    <protectedRange sqref="C3:D6" name="Tabel 9b"/>
  </protectedRanges>
  <dataValidations count="1">
    <dataValidation type="custom" allowBlank="1" showDropDown="1" showInputMessage="1" showErrorMessage="1" prompt="Masukan data yang valid. Contoh tanggal : 29 Desember 2021, maka input yang valid adalah 29/12/2021" sqref="D3:D6" xr:uid="{5D7F3C44-FA3A-45B6-A90A-D1722A90265B}">
      <formula1>OR(NOT(ISERROR(DATEVALUE(D3))), AND(ISNUMBER(D3), LEFT(CELL("format", D3))="D"))</formula1>
    </dataValidation>
  </dataValidations>
  <hyperlinks>
    <hyperlink ref="E3" r:id="rId1" xr:uid="{6C69F6E7-1DDD-40F6-A060-072EF14809B6}"/>
    <hyperlink ref="E5" r:id="rId2" xr:uid="{11C40DFA-18DB-46C1-A312-FB582E620567}"/>
    <hyperlink ref="E4" r:id="rId3" xr:uid="{D7FAFFC3-4B5E-47B0-B611-7791FEF13D8F}"/>
    <hyperlink ref="E6" r:id="rId4" xr:uid="{B6515BC1-6DFE-484E-A5BB-6092BFD0E237}"/>
    <hyperlink ref="E7" r:id="rId5" xr:uid="{C62EF272-1234-4376-9A12-8B406E9C7686}"/>
    <hyperlink ref="B10" location="'Daftar Sheet'!A1" display="&lt;&lt;&lt; Daftar Sheet" xr:uid="{743C1BE0-A335-4F82-AB5A-013939EDEBF6}"/>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588A-041F-432B-98CD-EBBB09E06DC6}">
  <dimension ref="A2:C8"/>
  <sheetViews>
    <sheetView workbookViewId="0">
      <selection activeCell="B8" sqref="B8"/>
    </sheetView>
  </sheetViews>
  <sheetFormatPr defaultRowHeight="14.4" x14ac:dyDescent="0.3"/>
  <cols>
    <col min="1" max="1" width="3.77734375" bestFit="1" customWidth="1"/>
    <col min="2" max="2" width="14.77734375" bestFit="1" customWidth="1"/>
    <col min="3" max="3" width="78.21875" bestFit="1" customWidth="1"/>
  </cols>
  <sheetData>
    <row r="2" spans="1:3" x14ac:dyDescent="0.3">
      <c r="A2" s="2" t="s">
        <v>51</v>
      </c>
      <c r="B2" s="267" t="s">
        <v>3813</v>
      </c>
      <c r="C2" s="267" t="s">
        <v>137</v>
      </c>
    </row>
    <row r="3" spans="1:3" ht="43.2" x14ac:dyDescent="0.3">
      <c r="A3" s="3">
        <v>1</v>
      </c>
      <c r="B3" s="222" t="s">
        <v>4099</v>
      </c>
      <c r="C3" s="125" t="s">
        <v>1909</v>
      </c>
    </row>
    <row r="4" spans="1:3" x14ac:dyDescent="0.3">
      <c r="A4" s="3">
        <v>2</v>
      </c>
      <c r="B4" s="30"/>
      <c r="C4" s="30"/>
    </row>
    <row r="5" spans="1:3" x14ac:dyDescent="0.3">
      <c r="A5" s="3">
        <v>3</v>
      </c>
      <c r="B5" s="30"/>
      <c r="C5" s="30"/>
    </row>
    <row r="8" spans="1:3" ht="21" x14ac:dyDescent="0.3">
      <c r="B8" s="311" t="s">
        <v>4039</v>
      </c>
    </row>
  </sheetData>
  <hyperlinks>
    <hyperlink ref="C3" r:id="rId1" xr:uid="{8B56A662-A7E3-4B10-B2B3-750BA54FB509}"/>
    <hyperlink ref="B8" location="'Daftar Sheet'!A1" display="&lt;&lt;&lt; Daftar Sheet" xr:uid="{FEA06918-5621-4F7D-97A5-51D6F9B22D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3</vt:i4>
      </vt:variant>
    </vt:vector>
  </HeadingPairs>
  <TitlesOfParts>
    <vt:vector size="61" baseType="lpstr">
      <vt:lpstr>Daftar Sheet</vt:lpstr>
      <vt:lpstr>PS</vt:lpstr>
      <vt:lpstr>Kebijakan</vt:lpstr>
      <vt:lpstr>1. Kondisi Eksternal</vt:lpstr>
      <vt:lpstr>3. Kesesuaian VMTS PT, UPPS, PS</vt:lpstr>
      <vt:lpstr>4. Penyusunan-Perubahan VMTS PS</vt:lpstr>
      <vt:lpstr>5. Pemahaman VMTS PS</vt:lpstr>
      <vt:lpstr>6. Strategi Pencapaian Tujuan</vt:lpstr>
      <vt:lpstr>10. Kerjasama - Pendidikan</vt:lpstr>
      <vt:lpstr>10. Kerjasama - Penelitian</vt:lpstr>
      <vt:lpstr>10. Kerjasama - PkM</vt:lpstr>
      <vt:lpstr>13. Seleksi Mahasiswa</vt:lpstr>
      <vt:lpstr>14. Peningkatan Animo</vt:lpstr>
      <vt:lpstr>15A. Layanan Mhs (Beasiswa)</vt:lpstr>
      <vt:lpstr>15B. Nalar, Minat dan Bakat Mhs</vt:lpstr>
      <vt:lpstr>16, 17, 18, 19 Data Dosen Tetap</vt:lpstr>
      <vt:lpstr>20. Pembimbingan TA</vt:lpstr>
      <vt:lpstr>21. EWMP</vt:lpstr>
      <vt:lpstr>22. Dosen Tidak Tetap</vt:lpstr>
      <vt:lpstr>Dosen Industri-Praktisi</vt:lpstr>
      <vt:lpstr>23. Rekognisi Dosen</vt:lpstr>
      <vt:lpstr>24,50,51. Penelitian Dosen-Mhs</vt:lpstr>
      <vt:lpstr>25,52,53. PkM Dosen-Mhs</vt:lpstr>
      <vt:lpstr>26&amp;66. Publikasi Dosen-Mhs</vt:lpstr>
      <vt:lpstr>27. Sitasi Dosen</vt:lpstr>
      <vt:lpstr>28&amp;67. Luaran Dosen-Mahasiswa</vt:lpstr>
      <vt:lpstr>29. Pengembangan Dosen</vt:lpstr>
      <vt:lpstr>30. Tendik</vt:lpstr>
      <vt:lpstr>31, 32, 33. Keuangan</vt:lpstr>
      <vt:lpstr>34, 35. Reliasasi dan Kecukupan</vt:lpstr>
      <vt:lpstr>37. Kurikulum</vt:lpstr>
      <vt:lpstr>38. Karakteristik Pembelajaran</vt:lpstr>
      <vt:lpstr>39. Rencana Proses Pembelajaran</vt:lpstr>
      <vt:lpstr>40. Pelaksanaan Pembelajaran</vt:lpstr>
      <vt:lpstr>41. RPS Kurikulum</vt:lpstr>
      <vt:lpstr>42. Monev Proses Pembelajaran</vt:lpstr>
      <vt:lpstr>43. Penilaian Pembelajaran</vt:lpstr>
      <vt:lpstr>44. Basic Science</vt:lpstr>
      <vt:lpstr>45. MK Capstone Design</vt:lpstr>
      <vt:lpstr>Distribusi Pembimbing TA</vt:lpstr>
      <vt:lpstr>46. MBKM</vt:lpstr>
      <vt:lpstr>46. Peserta MBKM</vt:lpstr>
      <vt:lpstr>47. Integrasi PenelitianPkMMK </vt:lpstr>
      <vt:lpstr>48. Suasana Akademik</vt:lpstr>
      <vt:lpstr>49. Kepuasan Mahasiswa</vt:lpstr>
      <vt:lpstr>50&amp;52 Roadmap Penelitian - PkM</vt:lpstr>
      <vt:lpstr>55. IPK Mahasiswa</vt:lpstr>
      <vt:lpstr>56. Prestasi Akademik Mahasiswa</vt:lpstr>
      <vt:lpstr>57. Prestasi Non-Akademik Mhs</vt:lpstr>
      <vt:lpstr>58, 59, 60. Masa Studi Lulusan</vt:lpstr>
      <vt:lpstr>61. Tracer Study</vt:lpstr>
      <vt:lpstr>62. Waktu Tunggu Lulusan</vt:lpstr>
      <vt:lpstr>63. Kesesuaian Bidang Kerja</vt:lpstr>
      <vt:lpstr>64. Tempat Kerja Lulusan</vt:lpstr>
      <vt:lpstr>65. Kepuasan Pengguna</vt:lpstr>
      <vt:lpstr>68. Penjaminan Mutu</vt:lpstr>
      <vt:lpstr>69. Dokumen SPMI</vt:lpstr>
      <vt:lpstr>71. Survey Kepuasan Stakeholder</vt:lpstr>
      <vt:lpstr>'16, 17, 18, 19 Data Dosen Tetap'!Print_Area</vt:lpstr>
      <vt:lpstr>'23. Rekognisi Dosen'!Print_Area</vt:lpstr>
      <vt:lpstr>'55. IPK Mahasiswa'!Print_Area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Fanata Yudha Nugraha</dc:creator>
  <cp:lastModifiedBy>Fanata Yudha</cp:lastModifiedBy>
  <cp:lastPrinted>2023-09-04T07:43:16Z</cp:lastPrinted>
  <dcterms:created xsi:type="dcterms:W3CDTF">2023-08-30T14:43:32Z</dcterms:created>
  <dcterms:modified xsi:type="dcterms:W3CDTF">2026-01-27T07:31:08Z</dcterms:modified>
</cp:coreProperties>
</file>